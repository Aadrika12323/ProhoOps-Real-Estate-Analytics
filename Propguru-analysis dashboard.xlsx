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adrika Srivastava\Documents\"/>
    </mc:Choice>
  </mc:AlternateContent>
  <xr:revisionPtr revIDLastSave="0" documentId="8_{03FAE403-D4C6-4F8B-8222-58BA98D72A08}" xr6:coauthVersionLast="47" xr6:coauthVersionMax="47" xr10:uidLastSave="{00000000-0000-0000-0000-000000000000}"/>
  <bookViews>
    <workbookView xWindow="-108" yWindow="-108" windowWidth="23256" windowHeight="12456" activeTab="1" xr2:uid="{8724BB41-CBDB-47DC-9A0D-4CC46BB063C6}"/>
  </bookViews>
  <sheets>
    <sheet name="Dashboard_Calculations" sheetId="4" r:id="rId1"/>
    <sheet name="Executive_Dashboard" sheetId="5" r:id="rId2"/>
    <sheet name="indian_house_prices" sheetId="2" r:id="rId3"/>
    <sheet name="Commission_Rates" sheetId="3" r:id="rId4"/>
    <sheet name="Broker_Directory" sheetId="1" r:id="rId5"/>
  </sheets>
  <definedNames>
    <definedName name="ExternalData_1" localSheetId="2" hidden="1">indian_house_prices!$A$1:$T$1003</definedName>
    <definedName name="Slicer_bedrooms">#N/A</definedName>
  </definedNames>
  <calcPr calcId="191029"/>
  <pivotCaches>
    <pivotCache cacheId="24"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2" i="2" l="1"/>
  <c r="AB3" i="2"/>
  <c r="AB4" i="2"/>
  <c r="AB5"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119" i="2"/>
  <c r="AB120" i="2"/>
  <c r="AB121" i="2"/>
  <c r="AB122" i="2"/>
  <c r="AB123" i="2"/>
  <c r="AB124" i="2"/>
  <c r="AB125" i="2"/>
  <c r="AB126" i="2"/>
  <c r="AB127" i="2"/>
  <c r="AB128" i="2"/>
  <c r="AB129" i="2"/>
  <c r="AB130" i="2"/>
  <c r="AB131" i="2"/>
  <c r="AB132" i="2"/>
  <c r="AB133" i="2"/>
  <c r="AB134" i="2"/>
  <c r="AB135" i="2"/>
  <c r="AB136" i="2"/>
  <c r="AB137" i="2"/>
  <c r="AB138" i="2"/>
  <c r="AB139" i="2"/>
  <c r="AB140" i="2"/>
  <c r="AB141" i="2"/>
  <c r="AB142" i="2"/>
  <c r="AB143" i="2"/>
  <c r="AB144" i="2"/>
  <c r="AB145" i="2"/>
  <c r="AB146" i="2"/>
  <c r="AB147" i="2"/>
  <c r="AB148" i="2"/>
  <c r="AB149" i="2"/>
  <c r="AB150" i="2"/>
  <c r="AB151" i="2"/>
  <c r="AB152" i="2"/>
  <c r="AB153" i="2"/>
  <c r="AB154" i="2"/>
  <c r="AB155" i="2"/>
  <c r="AB156" i="2"/>
  <c r="AB157" i="2"/>
  <c r="AB158" i="2"/>
  <c r="AB159" i="2"/>
  <c r="AB160" i="2"/>
  <c r="AB161" i="2"/>
  <c r="AB162" i="2"/>
  <c r="AB163" i="2"/>
  <c r="AB164" i="2"/>
  <c r="AB165" i="2"/>
  <c r="AB166" i="2"/>
  <c r="AB167" i="2"/>
  <c r="AB168" i="2"/>
  <c r="AB169" i="2"/>
  <c r="AB170" i="2"/>
  <c r="AB171" i="2"/>
  <c r="AB172" i="2"/>
  <c r="AB173" i="2"/>
  <c r="AB174" i="2"/>
  <c r="AB175" i="2"/>
  <c r="AB176" i="2"/>
  <c r="AB177" i="2"/>
  <c r="AB178" i="2"/>
  <c r="AB179" i="2"/>
  <c r="AB180" i="2"/>
  <c r="AB181" i="2"/>
  <c r="AB182" i="2"/>
  <c r="AB183" i="2"/>
  <c r="AB184" i="2"/>
  <c r="AB185" i="2"/>
  <c r="AB186" i="2"/>
  <c r="AB187" i="2"/>
  <c r="AB188" i="2"/>
  <c r="AB189" i="2"/>
  <c r="AB190" i="2"/>
  <c r="AB191" i="2"/>
  <c r="AB192" i="2"/>
  <c r="AB193" i="2"/>
  <c r="AB194" i="2"/>
  <c r="AB195" i="2"/>
  <c r="AB196" i="2"/>
  <c r="AB197" i="2"/>
  <c r="AB198" i="2"/>
  <c r="AB199" i="2"/>
  <c r="AB200" i="2"/>
  <c r="AB201" i="2"/>
  <c r="AB202" i="2"/>
  <c r="AB203" i="2"/>
  <c r="AB204" i="2"/>
  <c r="AB205" i="2"/>
  <c r="AB206" i="2"/>
  <c r="AB207" i="2"/>
  <c r="AB208" i="2"/>
  <c r="AB209" i="2"/>
  <c r="AB210" i="2"/>
  <c r="AB211"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248" i="2"/>
  <c r="AB249" i="2"/>
  <c r="AB250" i="2"/>
  <c r="AB251" i="2"/>
  <c r="AB252" i="2"/>
  <c r="AB253" i="2"/>
  <c r="AB254" i="2"/>
  <c r="AB255" i="2"/>
  <c r="AB256" i="2"/>
  <c r="AB257" i="2"/>
  <c r="AB258" i="2"/>
  <c r="AB259" i="2"/>
  <c r="AB260" i="2"/>
  <c r="AB261" i="2"/>
  <c r="AB262" i="2"/>
  <c r="AB263" i="2"/>
  <c r="AB264" i="2"/>
  <c r="AB265" i="2"/>
  <c r="AB266" i="2"/>
  <c r="AB267" i="2"/>
  <c r="AB268" i="2"/>
  <c r="AB269" i="2"/>
  <c r="AB270" i="2"/>
  <c r="AB271" i="2"/>
  <c r="AB272" i="2"/>
  <c r="AB273" i="2"/>
  <c r="AB274" i="2"/>
  <c r="AB275" i="2"/>
  <c r="AB276" i="2"/>
  <c r="AB277" i="2"/>
  <c r="AB278" i="2"/>
  <c r="AB279" i="2"/>
  <c r="AB280" i="2"/>
  <c r="AB281" i="2"/>
  <c r="AB282" i="2"/>
  <c r="AB283" i="2"/>
  <c r="AB284" i="2"/>
  <c r="AB285" i="2"/>
  <c r="AB286" i="2"/>
  <c r="AB287" i="2"/>
  <c r="AB288" i="2"/>
  <c r="AB289" i="2"/>
  <c r="AB290" i="2"/>
  <c r="AB291" i="2"/>
  <c r="AB292" i="2"/>
  <c r="AB293" i="2"/>
  <c r="AB294" i="2"/>
  <c r="AB295"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B351" i="2"/>
  <c r="AB352" i="2"/>
  <c r="AB353" i="2"/>
  <c r="AB354" i="2"/>
  <c r="AB355" i="2"/>
  <c r="AB356" i="2"/>
  <c r="AB357" i="2"/>
  <c r="AB358" i="2"/>
  <c r="AB359" i="2"/>
  <c r="AB360" i="2"/>
  <c r="AB361" i="2"/>
  <c r="AB362" i="2"/>
  <c r="AB363" i="2"/>
  <c r="AB364" i="2"/>
  <c r="AB365" i="2"/>
  <c r="AB366" i="2"/>
  <c r="AB367" i="2"/>
  <c r="AB368" i="2"/>
  <c r="AB369" i="2"/>
  <c r="AB370" i="2"/>
  <c r="AB371" i="2"/>
  <c r="AB372" i="2"/>
  <c r="AB373" i="2"/>
  <c r="AB374" i="2"/>
  <c r="AB375" i="2"/>
  <c r="AB376" i="2"/>
  <c r="AB377" i="2"/>
  <c r="AB378" i="2"/>
  <c r="AB379" i="2"/>
  <c r="AB380" i="2"/>
  <c r="AB381" i="2"/>
  <c r="AB382" i="2"/>
  <c r="AB383" i="2"/>
  <c r="AB384" i="2"/>
  <c r="AB385" i="2"/>
  <c r="AB386" i="2"/>
  <c r="AB387" i="2"/>
  <c r="AB388" i="2"/>
  <c r="AB389" i="2"/>
  <c r="AB390" i="2"/>
  <c r="AB391" i="2"/>
  <c r="AB392" i="2"/>
  <c r="AB393" i="2"/>
  <c r="AB394" i="2"/>
  <c r="AB395" i="2"/>
  <c r="AB396" i="2"/>
  <c r="AB397" i="2"/>
  <c r="AB398" i="2"/>
  <c r="AB399" i="2"/>
  <c r="AB400" i="2"/>
  <c r="AB401" i="2"/>
  <c r="AB402" i="2"/>
  <c r="AB403" i="2"/>
  <c r="AB404" i="2"/>
  <c r="AB405" i="2"/>
  <c r="AB406" i="2"/>
  <c r="AB407" i="2"/>
  <c r="AB408" i="2"/>
  <c r="AB409" i="2"/>
  <c r="AB410" i="2"/>
  <c r="AB411" i="2"/>
  <c r="AB412" i="2"/>
  <c r="AB413" i="2"/>
  <c r="AB414" i="2"/>
  <c r="AB415" i="2"/>
  <c r="AB416" i="2"/>
  <c r="AB417" i="2"/>
  <c r="AB418" i="2"/>
  <c r="AB419" i="2"/>
  <c r="AB420" i="2"/>
  <c r="AB421" i="2"/>
  <c r="AB422" i="2"/>
  <c r="AB423" i="2"/>
  <c r="AB424" i="2"/>
  <c r="AB425" i="2"/>
  <c r="AB426" i="2"/>
  <c r="AB427" i="2"/>
  <c r="AB428" i="2"/>
  <c r="AB429" i="2"/>
  <c r="AB430" i="2"/>
  <c r="AB431" i="2"/>
  <c r="AB432" i="2"/>
  <c r="AB433" i="2"/>
  <c r="AB434" i="2"/>
  <c r="AB435" i="2"/>
  <c r="AB436" i="2"/>
  <c r="AB437" i="2"/>
  <c r="AB438" i="2"/>
  <c r="AB439" i="2"/>
  <c r="AB440" i="2"/>
  <c r="AB441" i="2"/>
  <c r="AB442" i="2"/>
  <c r="AB443" i="2"/>
  <c r="AB444" i="2"/>
  <c r="AB445" i="2"/>
  <c r="AB446" i="2"/>
  <c r="AB447" i="2"/>
  <c r="AB448" i="2"/>
  <c r="AB449" i="2"/>
  <c r="AB450" i="2"/>
  <c r="AB451" i="2"/>
  <c r="AB452" i="2"/>
  <c r="AB453" i="2"/>
  <c r="AB454" i="2"/>
  <c r="AB455" i="2"/>
  <c r="AB456" i="2"/>
  <c r="AB457" i="2"/>
  <c r="AB458" i="2"/>
  <c r="AB459" i="2"/>
  <c r="AB460" i="2"/>
  <c r="AB461" i="2"/>
  <c r="AB462" i="2"/>
  <c r="AB463" i="2"/>
  <c r="AB464" i="2"/>
  <c r="AB465" i="2"/>
  <c r="AB466" i="2"/>
  <c r="AB467" i="2"/>
  <c r="AB468" i="2"/>
  <c r="AB469" i="2"/>
  <c r="AB470" i="2"/>
  <c r="AB471" i="2"/>
  <c r="AB472" i="2"/>
  <c r="AB473" i="2"/>
  <c r="AB474" i="2"/>
  <c r="AB475" i="2"/>
  <c r="AB476" i="2"/>
  <c r="AB477" i="2"/>
  <c r="AB478" i="2"/>
  <c r="AB479" i="2"/>
  <c r="AB480" i="2"/>
  <c r="AB481" i="2"/>
  <c r="AB482" i="2"/>
  <c r="AB483" i="2"/>
  <c r="AB484" i="2"/>
  <c r="AB485" i="2"/>
  <c r="AB486" i="2"/>
  <c r="AB487" i="2"/>
  <c r="AB488" i="2"/>
  <c r="AB489" i="2"/>
  <c r="AB490" i="2"/>
  <c r="AB491" i="2"/>
  <c r="AB492" i="2"/>
  <c r="AB493" i="2"/>
  <c r="AB494" i="2"/>
  <c r="AB495" i="2"/>
  <c r="AB496" i="2"/>
  <c r="AB497" i="2"/>
  <c r="AB498" i="2"/>
  <c r="AB499" i="2"/>
  <c r="AB500" i="2"/>
  <c r="AB501" i="2"/>
  <c r="AB502" i="2"/>
  <c r="AB503" i="2"/>
  <c r="AB504" i="2"/>
  <c r="AB505" i="2"/>
  <c r="AB506" i="2"/>
  <c r="AB507" i="2"/>
  <c r="AB508" i="2"/>
  <c r="AB509" i="2"/>
  <c r="AB510" i="2"/>
  <c r="AB511" i="2"/>
  <c r="AB512" i="2"/>
  <c r="AB513" i="2"/>
  <c r="AB514" i="2"/>
  <c r="AB515" i="2"/>
  <c r="AB516" i="2"/>
  <c r="AB517" i="2"/>
  <c r="AB518" i="2"/>
  <c r="AB519" i="2"/>
  <c r="AB520" i="2"/>
  <c r="AB521" i="2"/>
  <c r="AB522" i="2"/>
  <c r="AB523" i="2"/>
  <c r="AB524" i="2"/>
  <c r="AB525" i="2"/>
  <c r="AB526" i="2"/>
  <c r="AB527" i="2"/>
  <c r="AB528" i="2"/>
  <c r="AB529" i="2"/>
  <c r="AB530" i="2"/>
  <c r="AB531" i="2"/>
  <c r="AB532" i="2"/>
  <c r="AB533" i="2"/>
  <c r="AB534" i="2"/>
  <c r="AB535" i="2"/>
  <c r="AB536" i="2"/>
  <c r="AB537" i="2"/>
  <c r="AB538" i="2"/>
  <c r="AB539" i="2"/>
  <c r="AB540" i="2"/>
  <c r="AB541" i="2"/>
  <c r="AB542" i="2"/>
  <c r="AB543" i="2"/>
  <c r="AB544" i="2"/>
  <c r="AB545" i="2"/>
  <c r="AB546" i="2"/>
  <c r="AB547" i="2"/>
  <c r="AB548" i="2"/>
  <c r="AB549" i="2"/>
  <c r="AB550" i="2"/>
  <c r="AB551" i="2"/>
  <c r="AB552" i="2"/>
  <c r="AB553" i="2"/>
  <c r="AB554" i="2"/>
  <c r="AB555" i="2"/>
  <c r="AB556" i="2"/>
  <c r="AB557" i="2"/>
  <c r="AB558" i="2"/>
  <c r="AB559" i="2"/>
  <c r="AB560" i="2"/>
  <c r="AB561" i="2"/>
  <c r="AB562" i="2"/>
  <c r="AB563" i="2"/>
  <c r="AB564" i="2"/>
  <c r="AB565" i="2"/>
  <c r="AB566" i="2"/>
  <c r="AB567" i="2"/>
  <c r="AB568" i="2"/>
  <c r="AB569" i="2"/>
  <c r="AB570" i="2"/>
  <c r="AB571" i="2"/>
  <c r="AB572" i="2"/>
  <c r="AB573" i="2"/>
  <c r="AB574" i="2"/>
  <c r="AB575" i="2"/>
  <c r="AB576" i="2"/>
  <c r="AB577" i="2"/>
  <c r="AB578" i="2"/>
  <c r="AB579" i="2"/>
  <c r="AB580" i="2"/>
  <c r="AB581" i="2"/>
  <c r="AB582" i="2"/>
  <c r="AB583" i="2"/>
  <c r="AB584" i="2"/>
  <c r="AB585" i="2"/>
  <c r="AB586" i="2"/>
  <c r="AB587" i="2"/>
  <c r="AB588" i="2"/>
  <c r="AB589" i="2"/>
  <c r="AB590" i="2"/>
  <c r="AB591" i="2"/>
  <c r="AB592" i="2"/>
  <c r="AB593" i="2"/>
  <c r="AB594" i="2"/>
  <c r="AB595" i="2"/>
  <c r="AB596" i="2"/>
  <c r="AB597" i="2"/>
  <c r="AB598" i="2"/>
  <c r="AB599" i="2"/>
  <c r="AB600" i="2"/>
  <c r="AB601" i="2"/>
  <c r="AB602" i="2"/>
  <c r="AB603" i="2"/>
  <c r="AB604" i="2"/>
  <c r="AB605" i="2"/>
  <c r="AB606" i="2"/>
  <c r="AB607" i="2"/>
  <c r="AB608" i="2"/>
  <c r="AB609" i="2"/>
  <c r="AB610" i="2"/>
  <c r="AB611" i="2"/>
  <c r="AB612" i="2"/>
  <c r="AB613" i="2"/>
  <c r="AB614" i="2"/>
  <c r="AB615" i="2"/>
  <c r="AB616" i="2"/>
  <c r="AB617" i="2"/>
  <c r="AB618" i="2"/>
  <c r="AB619" i="2"/>
  <c r="AB620" i="2"/>
  <c r="AB621" i="2"/>
  <c r="AB622" i="2"/>
  <c r="AB623" i="2"/>
  <c r="AB624" i="2"/>
  <c r="AB625" i="2"/>
  <c r="AB626" i="2"/>
  <c r="AB627" i="2"/>
  <c r="AB628" i="2"/>
  <c r="AB629" i="2"/>
  <c r="AB630" i="2"/>
  <c r="AB631" i="2"/>
  <c r="AB632" i="2"/>
  <c r="AB633" i="2"/>
  <c r="AB634" i="2"/>
  <c r="AB635" i="2"/>
  <c r="AB636" i="2"/>
  <c r="AB637" i="2"/>
  <c r="AB638" i="2"/>
  <c r="AB639" i="2"/>
  <c r="AB640" i="2"/>
  <c r="AB641" i="2"/>
  <c r="AB642" i="2"/>
  <c r="AB643" i="2"/>
  <c r="AB644" i="2"/>
  <c r="AB645" i="2"/>
  <c r="AB646" i="2"/>
  <c r="AB647" i="2"/>
  <c r="AB648" i="2"/>
  <c r="AB649" i="2"/>
  <c r="AB650" i="2"/>
  <c r="AB651" i="2"/>
  <c r="AB652" i="2"/>
  <c r="AB653" i="2"/>
  <c r="AB654" i="2"/>
  <c r="AB655" i="2"/>
  <c r="AB656" i="2"/>
  <c r="AB657" i="2"/>
  <c r="AB658" i="2"/>
  <c r="AB659" i="2"/>
  <c r="AB660" i="2"/>
  <c r="AB661" i="2"/>
  <c r="AB662" i="2"/>
  <c r="AB663" i="2"/>
  <c r="AB664" i="2"/>
  <c r="AB665" i="2"/>
  <c r="AB666" i="2"/>
  <c r="AB667" i="2"/>
  <c r="AB668" i="2"/>
  <c r="AB669" i="2"/>
  <c r="AB670" i="2"/>
  <c r="AB671" i="2"/>
  <c r="AB672" i="2"/>
  <c r="AB673" i="2"/>
  <c r="AB674" i="2"/>
  <c r="AB675" i="2"/>
  <c r="AB676" i="2"/>
  <c r="AB677" i="2"/>
  <c r="AB678" i="2"/>
  <c r="AB679" i="2"/>
  <c r="AB680" i="2"/>
  <c r="AB681" i="2"/>
  <c r="AB682" i="2"/>
  <c r="AB683" i="2"/>
  <c r="AB684" i="2"/>
  <c r="AB685" i="2"/>
  <c r="AB686" i="2"/>
  <c r="AB687" i="2"/>
  <c r="AB688" i="2"/>
  <c r="AB689" i="2"/>
  <c r="AB690" i="2"/>
  <c r="AB691" i="2"/>
  <c r="AB692" i="2"/>
  <c r="AB693" i="2"/>
  <c r="AB694" i="2"/>
  <c r="AB695" i="2"/>
  <c r="AB696" i="2"/>
  <c r="AB697" i="2"/>
  <c r="AB698" i="2"/>
  <c r="AB699" i="2"/>
  <c r="AB700" i="2"/>
  <c r="AB701" i="2"/>
  <c r="AB702" i="2"/>
  <c r="AB703" i="2"/>
  <c r="AB704" i="2"/>
  <c r="AB705" i="2"/>
  <c r="AB706" i="2"/>
  <c r="AB707" i="2"/>
  <c r="AB708" i="2"/>
  <c r="AB709" i="2"/>
  <c r="AB710" i="2"/>
  <c r="AB711" i="2"/>
  <c r="AB712" i="2"/>
  <c r="AB713" i="2"/>
  <c r="AB714" i="2"/>
  <c r="AB715" i="2"/>
  <c r="AB716" i="2"/>
  <c r="AB717" i="2"/>
  <c r="AB718" i="2"/>
  <c r="AB719" i="2"/>
  <c r="AB720" i="2"/>
  <c r="AB721" i="2"/>
  <c r="AB722" i="2"/>
  <c r="AB723" i="2"/>
  <c r="AB724" i="2"/>
  <c r="AB725" i="2"/>
  <c r="AB726" i="2"/>
  <c r="AB727" i="2"/>
  <c r="AB728" i="2"/>
  <c r="AB729" i="2"/>
  <c r="AB730" i="2"/>
  <c r="AB731" i="2"/>
  <c r="AB732" i="2"/>
  <c r="AB733" i="2"/>
  <c r="AB734" i="2"/>
  <c r="AB735" i="2"/>
  <c r="AB736" i="2"/>
  <c r="AB737" i="2"/>
  <c r="AB738" i="2"/>
  <c r="AB739" i="2"/>
  <c r="AB740" i="2"/>
  <c r="AB741" i="2"/>
  <c r="AB742" i="2"/>
  <c r="AB743" i="2"/>
  <c r="AB744" i="2"/>
  <c r="AB745" i="2"/>
  <c r="AB746" i="2"/>
  <c r="AB747" i="2"/>
  <c r="AB748" i="2"/>
  <c r="AB749" i="2"/>
  <c r="AB750" i="2"/>
  <c r="AB751" i="2"/>
  <c r="AB752" i="2"/>
  <c r="AB753" i="2"/>
  <c r="AB754" i="2"/>
  <c r="AB755" i="2"/>
  <c r="AB756" i="2"/>
  <c r="AB757" i="2"/>
  <c r="AB758" i="2"/>
  <c r="AB759" i="2"/>
  <c r="AB760" i="2"/>
  <c r="AB761" i="2"/>
  <c r="AB762" i="2"/>
  <c r="AB763" i="2"/>
  <c r="AB764" i="2"/>
  <c r="AB765" i="2"/>
  <c r="AB766" i="2"/>
  <c r="AB767" i="2"/>
  <c r="AB768" i="2"/>
  <c r="AB769" i="2"/>
  <c r="AB770" i="2"/>
  <c r="AB771" i="2"/>
  <c r="AB772" i="2"/>
  <c r="AB773" i="2"/>
  <c r="AB774" i="2"/>
  <c r="AB775" i="2"/>
  <c r="AB776" i="2"/>
  <c r="AB777" i="2"/>
  <c r="AB778" i="2"/>
  <c r="AB779" i="2"/>
  <c r="AB780" i="2"/>
  <c r="AB781" i="2"/>
  <c r="AB782" i="2"/>
  <c r="AB783" i="2"/>
  <c r="AB784" i="2"/>
  <c r="AB785" i="2"/>
  <c r="AB786" i="2"/>
  <c r="AB787" i="2"/>
  <c r="AB788" i="2"/>
  <c r="AB789" i="2"/>
  <c r="AB790" i="2"/>
  <c r="AB791" i="2"/>
  <c r="AB792" i="2"/>
  <c r="AB793" i="2"/>
  <c r="AB794" i="2"/>
  <c r="AB795" i="2"/>
  <c r="AB796" i="2"/>
  <c r="AB797" i="2"/>
  <c r="AB798" i="2"/>
  <c r="AB799" i="2"/>
  <c r="AB800" i="2"/>
  <c r="AB801" i="2"/>
  <c r="AB802" i="2"/>
  <c r="AB803" i="2"/>
  <c r="AB804" i="2"/>
  <c r="AB805" i="2"/>
  <c r="AB806" i="2"/>
  <c r="AB807" i="2"/>
  <c r="AB808" i="2"/>
  <c r="AB809" i="2"/>
  <c r="AB810" i="2"/>
  <c r="AB811" i="2"/>
  <c r="AB812" i="2"/>
  <c r="AB813" i="2"/>
  <c r="AB814" i="2"/>
  <c r="AB815" i="2"/>
  <c r="AB816" i="2"/>
  <c r="AB817" i="2"/>
  <c r="AB818" i="2"/>
  <c r="AB819" i="2"/>
  <c r="AB820" i="2"/>
  <c r="AB821" i="2"/>
  <c r="AB822" i="2"/>
  <c r="AB823" i="2"/>
  <c r="AB824" i="2"/>
  <c r="AB825" i="2"/>
  <c r="AB826" i="2"/>
  <c r="AB827" i="2"/>
  <c r="AB828" i="2"/>
  <c r="AB829" i="2"/>
  <c r="AB830" i="2"/>
  <c r="AB831" i="2"/>
  <c r="AB832" i="2"/>
  <c r="AB833" i="2"/>
  <c r="AB834" i="2"/>
  <c r="AB835" i="2"/>
  <c r="AB836" i="2"/>
  <c r="AB837" i="2"/>
  <c r="AB838" i="2"/>
  <c r="AB839" i="2"/>
  <c r="AB840" i="2"/>
  <c r="AB841" i="2"/>
  <c r="AB842" i="2"/>
  <c r="AB843" i="2"/>
  <c r="AB844" i="2"/>
  <c r="AB845" i="2"/>
  <c r="AB846" i="2"/>
  <c r="AB847" i="2"/>
  <c r="AB848" i="2"/>
  <c r="AB849" i="2"/>
  <c r="AB850" i="2"/>
  <c r="AB851" i="2"/>
  <c r="AB852" i="2"/>
  <c r="AB853" i="2"/>
  <c r="AB854" i="2"/>
  <c r="AB855" i="2"/>
  <c r="AB856" i="2"/>
  <c r="AB857" i="2"/>
  <c r="AB858" i="2"/>
  <c r="AB859" i="2"/>
  <c r="AB860" i="2"/>
  <c r="AB861" i="2"/>
  <c r="AB862" i="2"/>
  <c r="AB863" i="2"/>
  <c r="AB864" i="2"/>
  <c r="AB865" i="2"/>
  <c r="AB866" i="2"/>
  <c r="AB867" i="2"/>
  <c r="AB868" i="2"/>
  <c r="AB869" i="2"/>
  <c r="AB870" i="2"/>
  <c r="AB871" i="2"/>
  <c r="AB872" i="2"/>
  <c r="AB873" i="2"/>
  <c r="AB874" i="2"/>
  <c r="AB875" i="2"/>
  <c r="AB876" i="2"/>
  <c r="AB877" i="2"/>
  <c r="AB878" i="2"/>
  <c r="AB879" i="2"/>
  <c r="AB880" i="2"/>
  <c r="AB881" i="2"/>
  <c r="AB882" i="2"/>
  <c r="AB883" i="2"/>
  <c r="AB884" i="2"/>
  <c r="AB885" i="2"/>
  <c r="AB886" i="2"/>
  <c r="AB887" i="2"/>
  <c r="AB888" i="2"/>
  <c r="AB889" i="2"/>
  <c r="AB890" i="2"/>
  <c r="AB891" i="2"/>
  <c r="AB892" i="2"/>
  <c r="AB893" i="2"/>
  <c r="AB894" i="2"/>
  <c r="AB895" i="2"/>
  <c r="AB896" i="2"/>
  <c r="AB897" i="2"/>
  <c r="AB898" i="2"/>
  <c r="AB899" i="2"/>
  <c r="AB900" i="2"/>
  <c r="AB901" i="2"/>
  <c r="AB902" i="2"/>
  <c r="AB903" i="2"/>
  <c r="AB904" i="2"/>
  <c r="AB905" i="2"/>
  <c r="AB906" i="2"/>
  <c r="AB907" i="2"/>
  <c r="AB908" i="2"/>
  <c r="AB909" i="2"/>
  <c r="AB910" i="2"/>
  <c r="AB911" i="2"/>
  <c r="AB912" i="2"/>
  <c r="AB913" i="2"/>
  <c r="AB914" i="2"/>
  <c r="AB915" i="2"/>
  <c r="AB916" i="2"/>
  <c r="AB917" i="2"/>
  <c r="AB918" i="2"/>
  <c r="AB919" i="2"/>
  <c r="AB920" i="2"/>
  <c r="AB921" i="2"/>
  <c r="AB922" i="2"/>
  <c r="AB923" i="2"/>
  <c r="AB924" i="2"/>
  <c r="AB925" i="2"/>
  <c r="AB926" i="2"/>
  <c r="AB927" i="2"/>
  <c r="AB928" i="2"/>
  <c r="AB929" i="2"/>
  <c r="AB930" i="2"/>
  <c r="AB931" i="2"/>
  <c r="AB932" i="2"/>
  <c r="AB933" i="2"/>
  <c r="AB934" i="2"/>
  <c r="AB935" i="2"/>
  <c r="AB936" i="2"/>
  <c r="AB937" i="2"/>
  <c r="AB938" i="2"/>
  <c r="AB939" i="2"/>
  <c r="AB940" i="2"/>
  <c r="AB941" i="2"/>
  <c r="AB942" i="2"/>
  <c r="AB943" i="2"/>
  <c r="AB944" i="2"/>
  <c r="AB945" i="2"/>
  <c r="AB946" i="2"/>
  <c r="AB947" i="2"/>
  <c r="AB948" i="2"/>
  <c r="AB949" i="2"/>
  <c r="AB950" i="2"/>
  <c r="AB951" i="2"/>
  <c r="AB952" i="2"/>
  <c r="AB953" i="2"/>
  <c r="AB954" i="2"/>
  <c r="AB955" i="2"/>
  <c r="AB956" i="2"/>
  <c r="AB957" i="2"/>
  <c r="AB958" i="2"/>
  <c r="AB959" i="2"/>
  <c r="AB960" i="2"/>
  <c r="AB961" i="2"/>
  <c r="AB962" i="2"/>
  <c r="AB963" i="2"/>
  <c r="AB964" i="2"/>
  <c r="AB965" i="2"/>
  <c r="AB966" i="2"/>
  <c r="AB967" i="2"/>
  <c r="AB968" i="2"/>
  <c r="AB969" i="2"/>
  <c r="AB970" i="2"/>
  <c r="AB971" i="2"/>
  <c r="AB972" i="2"/>
  <c r="AB973" i="2"/>
  <c r="AB974" i="2"/>
  <c r="AB975" i="2"/>
  <c r="AB976" i="2"/>
  <c r="AB977" i="2"/>
  <c r="AB978" i="2"/>
  <c r="AB979" i="2"/>
  <c r="AB980" i="2"/>
  <c r="AB981" i="2"/>
  <c r="AB982" i="2"/>
  <c r="AB983" i="2"/>
  <c r="AB984" i="2"/>
  <c r="AB985" i="2"/>
  <c r="AB986" i="2"/>
  <c r="AB987" i="2"/>
  <c r="AB988" i="2"/>
  <c r="AB989" i="2"/>
  <c r="AB990" i="2"/>
  <c r="AB991" i="2"/>
  <c r="AB992" i="2"/>
  <c r="AB993" i="2"/>
  <c r="AB994" i="2"/>
  <c r="AB995" i="2"/>
  <c r="AB996" i="2"/>
  <c r="AB997" i="2"/>
  <c r="AB998" i="2"/>
  <c r="AB999" i="2"/>
  <c r="AB1000" i="2"/>
  <c r="AB1001" i="2"/>
  <c r="AB1002" i="2"/>
  <c r="AB1003" i="2"/>
  <c r="AA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552" i="2"/>
  <c r="AA553" i="2"/>
  <c r="AA554" i="2"/>
  <c r="AA555" i="2"/>
  <c r="AA556" i="2"/>
  <c r="AA557" i="2"/>
  <c r="AA558" i="2"/>
  <c r="AA559" i="2"/>
  <c r="AA560" i="2"/>
  <c r="AA561" i="2"/>
  <c r="AA562" i="2"/>
  <c r="AA563" i="2"/>
  <c r="AA564" i="2"/>
  <c r="AA565" i="2"/>
  <c r="AA566" i="2"/>
  <c r="AA567" i="2"/>
  <c r="AA568" i="2"/>
  <c r="AA569" i="2"/>
  <c r="AA570" i="2"/>
  <c r="AA571" i="2"/>
  <c r="AA572" i="2"/>
  <c r="AA573" i="2"/>
  <c r="AA574" i="2"/>
  <c r="AA575" i="2"/>
  <c r="AA576" i="2"/>
  <c r="AA577" i="2"/>
  <c r="AA578" i="2"/>
  <c r="AA579" i="2"/>
  <c r="AA580" i="2"/>
  <c r="AA581" i="2"/>
  <c r="AA582" i="2"/>
  <c r="AA583" i="2"/>
  <c r="AA584" i="2"/>
  <c r="AA585" i="2"/>
  <c r="AA586" i="2"/>
  <c r="AA587" i="2"/>
  <c r="AA588" i="2"/>
  <c r="AA589" i="2"/>
  <c r="AA590" i="2"/>
  <c r="AA591" i="2"/>
  <c r="AA592" i="2"/>
  <c r="AA593" i="2"/>
  <c r="AA594" i="2"/>
  <c r="AA595" i="2"/>
  <c r="AA596" i="2"/>
  <c r="AA597" i="2"/>
  <c r="AA598" i="2"/>
  <c r="AA599" i="2"/>
  <c r="AA600" i="2"/>
  <c r="AA601" i="2"/>
  <c r="AA602" i="2"/>
  <c r="AA603" i="2"/>
  <c r="AA604" i="2"/>
  <c r="AA605" i="2"/>
  <c r="AA606" i="2"/>
  <c r="AA607" i="2"/>
  <c r="AA608" i="2"/>
  <c r="AA609" i="2"/>
  <c r="AA610" i="2"/>
  <c r="AA611" i="2"/>
  <c r="AA612" i="2"/>
  <c r="AA613" i="2"/>
  <c r="AA614" i="2"/>
  <c r="AA615" i="2"/>
  <c r="AA616" i="2"/>
  <c r="AA617" i="2"/>
  <c r="AA618" i="2"/>
  <c r="AA619" i="2"/>
  <c r="AA620" i="2"/>
  <c r="AA621" i="2"/>
  <c r="AA622" i="2"/>
  <c r="AA623" i="2"/>
  <c r="AA624" i="2"/>
  <c r="AA625" i="2"/>
  <c r="AA626" i="2"/>
  <c r="AA627" i="2"/>
  <c r="AA628" i="2"/>
  <c r="AA629" i="2"/>
  <c r="AA630" i="2"/>
  <c r="AA631" i="2"/>
  <c r="AA632" i="2"/>
  <c r="AA633" i="2"/>
  <c r="AA634" i="2"/>
  <c r="AA635" i="2"/>
  <c r="AA636" i="2"/>
  <c r="AA637" i="2"/>
  <c r="AA638" i="2"/>
  <c r="AA639" i="2"/>
  <c r="AA640" i="2"/>
  <c r="AA641" i="2"/>
  <c r="AA642" i="2"/>
  <c r="AA643" i="2"/>
  <c r="AA644" i="2"/>
  <c r="AA645" i="2"/>
  <c r="AA646" i="2"/>
  <c r="AA647" i="2"/>
  <c r="AA648" i="2"/>
  <c r="AA649" i="2"/>
  <c r="AA650" i="2"/>
  <c r="AA651" i="2"/>
  <c r="AA652" i="2"/>
  <c r="AA653" i="2"/>
  <c r="AA654" i="2"/>
  <c r="AA655" i="2"/>
  <c r="AA656" i="2"/>
  <c r="AA657" i="2"/>
  <c r="AA658" i="2"/>
  <c r="AA659" i="2"/>
  <c r="AA660" i="2"/>
  <c r="AA661" i="2"/>
  <c r="AA662" i="2"/>
  <c r="AA663" i="2"/>
  <c r="AA664" i="2"/>
  <c r="AA665" i="2"/>
  <c r="AA666" i="2"/>
  <c r="AA667" i="2"/>
  <c r="AA668" i="2"/>
  <c r="AA669" i="2"/>
  <c r="AA670" i="2"/>
  <c r="AA671" i="2"/>
  <c r="AA672" i="2"/>
  <c r="AA673" i="2"/>
  <c r="AA674" i="2"/>
  <c r="AA675" i="2"/>
  <c r="AA676" i="2"/>
  <c r="AA677" i="2"/>
  <c r="AA678" i="2"/>
  <c r="AA679" i="2"/>
  <c r="AA680" i="2"/>
  <c r="AA681" i="2"/>
  <c r="AA682" i="2"/>
  <c r="AA683" i="2"/>
  <c r="AA684" i="2"/>
  <c r="AA685" i="2"/>
  <c r="AA686" i="2"/>
  <c r="AA687" i="2"/>
  <c r="AA688" i="2"/>
  <c r="AA689" i="2"/>
  <c r="AA690" i="2"/>
  <c r="AA691" i="2"/>
  <c r="AA692" i="2"/>
  <c r="AA693" i="2"/>
  <c r="AA694" i="2"/>
  <c r="AA695" i="2"/>
  <c r="AA696" i="2"/>
  <c r="AA697" i="2"/>
  <c r="AA698" i="2"/>
  <c r="AA699" i="2"/>
  <c r="AA700" i="2"/>
  <c r="AA701" i="2"/>
  <c r="AA702" i="2"/>
  <c r="AA703" i="2"/>
  <c r="AA704" i="2"/>
  <c r="AA705" i="2"/>
  <c r="AA706" i="2"/>
  <c r="AA707" i="2"/>
  <c r="AA708" i="2"/>
  <c r="AA709" i="2"/>
  <c r="AA710" i="2"/>
  <c r="AA711" i="2"/>
  <c r="AA712" i="2"/>
  <c r="AA713" i="2"/>
  <c r="AA714" i="2"/>
  <c r="AA715" i="2"/>
  <c r="AA716" i="2"/>
  <c r="AA717" i="2"/>
  <c r="AA718" i="2"/>
  <c r="AA719" i="2"/>
  <c r="AA720" i="2"/>
  <c r="AA721" i="2"/>
  <c r="AA722" i="2"/>
  <c r="AA723" i="2"/>
  <c r="AA724" i="2"/>
  <c r="AA725" i="2"/>
  <c r="AA726" i="2"/>
  <c r="AA727" i="2"/>
  <c r="AA728" i="2"/>
  <c r="AA729" i="2"/>
  <c r="AA730" i="2"/>
  <c r="AA731" i="2"/>
  <c r="AA732" i="2"/>
  <c r="AA733" i="2"/>
  <c r="AA734" i="2"/>
  <c r="AA735" i="2"/>
  <c r="AA736" i="2"/>
  <c r="AA737" i="2"/>
  <c r="AA738" i="2"/>
  <c r="AA739" i="2"/>
  <c r="AA740" i="2"/>
  <c r="AA741" i="2"/>
  <c r="AA742" i="2"/>
  <c r="AA743" i="2"/>
  <c r="AA744" i="2"/>
  <c r="AA745" i="2"/>
  <c r="AA746" i="2"/>
  <c r="AA747" i="2"/>
  <c r="AA748" i="2"/>
  <c r="AA749" i="2"/>
  <c r="AA750" i="2"/>
  <c r="AA751" i="2"/>
  <c r="AA752" i="2"/>
  <c r="AA753" i="2"/>
  <c r="AA754" i="2"/>
  <c r="AA755" i="2"/>
  <c r="AA756" i="2"/>
  <c r="AA757" i="2"/>
  <c r="AA758" i="2"/>
  <c r="AA759" i="2"/>
  <c r="AA760" i="2"/>
  <c r="AA761" i="2"/>
  <c r="AA762" i="2"/>
  <c r="AA763" i="2"/>
  <c r="AA764" i="2"/>
  <c r="AA765" i="2"/>
  <c r="AA766" i="2"/>
  <c r="AA767" i="2"/>
  <c r="AA768" i="2"/>
  <c r="AA769" i="2"/>
  <c r="AA770" i="2"/>
  <c r="AA771" i="2"/>
  <c r="AA772" i="2"/>
  <c r="AA773" i="2"/>
  <c r="AA774" i="2"/>
  <c r="AA775" i="2"/>
  <c r="AA776" i="2"/>
  <c r="AA777" i="2"/>
  <c r="AA778" i="2"/>
  <c r="AA779" i="2"/>
  <c r="AA780" i="2"/>
  <c r="AA781" i="2"/>
  <c r="AA782" i="2"/>
  <c r="AA783" i="2"/>
  <c r="AA784" i="2"/>
  <c r="AA785" i="2"/>
  <c r="AA786" i="2"/>
  <c r="AA787" i="2"/>
  <c r="AA788" i="2"/>
  <c r="AA789" i="2"/>
  <c r="AA790" i="2"/>
  <c r="AA791" i="2"/>
  <c r="AA792" i="2"/>
  <c r="AA793" i="2"/>
  <c r="AA794" i="2"/>
  <c r="AA795" i="2"/>
  <c r="AA796" i="2"/>
  <c r="AA797" i="2"/>
  <c r="AA798" i="2"/>
  <c r="AA799" i="2"/>
  <c r="AA800" i="2"/>
  <c r="AA801" i="2"/>
  <c r="AA802" i="2"/>
  <c r="AA803" i="2"/>
  <c r="AA804" i="2"/>
  <c r="AA805" i="2"/>
  <c r="AA806" i="2"/>
  <c r="AA807" i="2"/>
  <c r="AA808" i="2"/>
  <c r="AA809" i="2"/>
  <c r="AA810" i="2"/>
  <c r="AA811" i="2"/>
  <c r="AA812" i="2"/>
  <c r="AA813" i="2"/>
  <c r="AA814" i="2"/>
  <c r="AA815" i="2"/>
  <c r="AA816" i="2"/>
  <c r="AA817" i="2"/>
  <c r="AA818" i="2"/>
  <c r="AA819" i="2"/>
  <c r="AA820" i="2"/>
  <c r="AA821" i="2"/>
  <c r="AA822" i="2"/>
  <c r="AA823" i="2"/>
  <c r="AA824" i="2"/>
  <c r="AA825" i="2"/>
  <c r="AA826" i="2"/>
  <c r="AA827" i="2"/>
  <c r="AA828" i="2"/>
  <c r="AA829" i="2"/>
  <c r="AA830" i="2"/>
  <c r="AA831" i="2"/>
  <c r="AA832" i="2"/>
  <c r="AA833" i="2"/>
  <c r="AA834" i="2"/>
  <c r="AA835" i="2"/>
  <c r="AA836" i="2"/>
  <c r="AA837" i="2"/>
  <c r="AA838" i="2"/>
  <c r="AA839" i="2"/>
  <c r="AA840" i="2"/>
  <c r="AA841" i="2"/>
  <c r="AA842" i="2"/>
  <c r="AA843" i="2"/>
  <c r="AA844" i="2"/>
  <c r="AA845" i="2"/>
  <c r="AA846" i="2"/>
  <c r="AA847" i="2"/>
  <c r="AA848" i="2"/>
  <c r="AA849" i="2"/>
  <c r="AA850" i="2"/>
  <c r="AA851" i="2"/>
  <c r="AA852" i="2"/>
  <c r="AA853" i="2"/>
  <c r="AA854" i="2"/>
  <c r="AA855" i="2"/>
  <c r="AA856" i="2"/>
  <c r="AA857" i="2"/>
  <c r="AA858" i="2"/>
  <c r="AA859" i="2"/>
  <c r="AA860" i="2"/>
  <c r="AA861" i="2"/>
  <c r="AA862" i="2"/>
  <c r="AA863" i="2"/>
  <c r="AA864" i="2"/>
  <c r="AA865" i="2"/>
  <c r="AA866" i="2"/>
  <c r="AA867" i="2"/>
  <c r="AA868" i="2"/>
  <c r="AA869" i="2"/>
  <c r="AA870" i="2"/>
  <c r="AA871" i="2"/>
  <c r="AA872" i="2"/>
  <c r="AA873" i="2"/>
  <c r="AA874" i="2"/>
  <c r="AA875" i="2"/>
  <c r="AA876" i="2"/>
  <c r="AA877" i="2"/>
  <c r="AA878" i="2"/>
  <c r="AA879" i="2"/>
  <c r="AA880" i="2"/>
  <c r="AA881" i="2"/>
  <c r="AA882" i="2"/>
  <c r="AA883" i="2"/>
  <c r="AA884" i="2"/>
  <c r="AA885" i="2"/>
  <c r="AA886" i="2"/>
  <c r="AA887" i="2"/>
  <c r="AA888" i="2"/>
  <c r="AA889" i="2"/>
  <c r="AA890" i="2"/>
  <c r="AA891" i="2"/>
  <c r="AA892" i="2"/>
  <c r="AA893" i="2"/>
  <c r="AA894" i="2"/>
  <c r="AA895" i="2"/>
  <c r="AA896" i="2"/>
  <c r="AA897" i="2"/>
  <c r="AA898" i="2"/>
  <c r="AA899" i="2"/>
  <c r="AA900" i="2"/>
  <c r="AA901" i="2"/>
  <c r="AA902" i="2"/>
  <c r="AA903" i="2"/>
  <c r="AA904" i="2"/>
  <c r="AA905" i="2"/>
  <c r="AA906" i="2"/>
  <c r="AA907" i="2"/>
  <c r="AA908" i="2"/>
  <c r="AA909" i="2"/>
  <c r="AA910" i="2"/>
  <c r="AA911" i="2"/>
  <c r="AA912" i="2"/>
  <c r="AA913" i="2"/>
  <c r="AA914" i="2"/>
  <c r="AA915" i="2"/>
  <c r="AA916" i="2"/>
  <c r="AA917" i="2"/>
  <c r="AA918" i="2"/>
  <c r="AA919" i="2"/>
  <c r="AA920" i="2"/>
  <c r="AA921" i="2"/>
  <c r="AA922" i="2"/>
  <c r="AA923" i="2"/>
  <c r="AA924" i="2"/>
  <c r="AA925" i="2"/>
  <c r="AA926" i="2"/>
  <c r="AA927" i="2"/>
  <c r="AA928" i="2"/>
  <c r="AA929" i="2"/>
  <c r="AA930" i="2"/>
  <c r="AA931" i="2"/>
  <c r="AA932" i="2"/>
  <c r="AA933" i="2"/>
  <c r="AA934" i="2"/>
  <c r="AA935" i="2"/>
  <c r="AA936" i="2"/>
  <c r="AA937" i="2"/>
  <c r="AA938" i="2"/>
  <c r="AA939" i="2"/>
  <c r="AA940" i="2"/>
  <c r="AA941" i="2"/>
  <c r="AA942" i="2"/>
  <c r="AA943" i="2"/>
  <c r="AA944" i="2"/>
  <c r="AA945" i="2"/>
  <c r="AA946" i="2"/>
  <c r="AA947" i="2"/>
  <c r="AA948" i="2"/>
  <c r="AA949" i="2"/>
  <c r="AA950" i="2"/>
  <c r="AA951" i="2"/>
  <c r="AA952" i="2"/>
  <c r="AA953" i="2"/>
  <c r="AA954" i="2"/>
  <c r="AA955" i="2"/>
  <c r="AA956" i="2"/>
  <c r="AA957" i="2"/>
  <c r="AA958" i="2"/>
  <c r="AA959" i="2"/>
  <c r="AA960" i="2"/>
  <c r="AA961" i="2"/>
  <c r="AA962" i="2"/>
  <c r="AA963" i="2"/>
  <c r="AA964" i="2"/>
  <c r="AA965" i="2"/>
  <c r="AA966" i="2"/>
  <c r="AA967" i="2"/>
  <c r="AA968" i="2"/>
  <c r="AA969" i="2"/>
  <c r="AA970" i="2"/>
  <c r="AA971" i="2"/>
  <c r="AA972" i="2"/>
  <c r="AA973" i="2"/>
  <c r="AA974" i="2"/>
  <c r="AA975" i="2"/>
  <c r="AA976" i="2"/>
  <c r="AA977" i="2"/>
  <c r="AA978" i="2"/>
  <c r="AA979" i="2"/>
  <c r="AA980" i="2"/>
  <c r="AA981" i="2"/>
  <c r="AA982" i="2"/>
  <c r="AA983" i="2"/>
  <c r="AA984" i="2"/>
  <c r="AA985" i="2"/>
  <c r="AA986" i="2"/>
  <c r="AA987" i="2"/>
  <c r="AA988" i="2"/>
  <c r="AA989" i="2"/>
  <c r="AA990" i="2"/>
  <c r="AA991" i="2"/>
  <c r="AA992" i="2"/>
  <c r="AA993" i="2"/>
  <c r="AA994" i="2"/>
  <c r="AA995" i="2"/>
  <c r="AA996" i="2"/>
  <c r="AA997" i="2"/>
  <c r="AA998" i="2"/>
  <c r="AA999" i="2"/>
  <c r="AA1000" i="2"/>
  <c r="AA1001" i="2"/>
  <c r="AA1002" i="2"/>
  <c r="AA1003" i="2"/>
  <c r="Z4" i="2"/>
  <c r="Z5" i="2"/>
  <c r="Z6" i="2"/>
  <c r="Z7" i="2"/>
  <c r="Z9" i="2"/>
  <c r="Z10" i="2"/>
  <c r="Z11" i="2"/>
  <c r="Z13" i="2"/>
  <c r="Z14" i="2"/>
  <c r="Z15" i="2"/>
  <c r="Z16" i="2"/>
  <c r="Z17" i="2"/>
  <c r="Z18" i="2"/>
  <c r="Z19" i="2"/>
  <c r="Z20" i="2"/>
  <c r="Z23" i="2"/>
  <c r="Z24" i="2"/>
  <c r="Z28" i="2"/>
  <c r="Z29" i="2"/>
  <c r="Z31" i="2"/>
  <c r="Z34" i="2"/>
  <c r="Z35" i="2"/>
  <c r="Z36" i="2"/>
  <c r="Z37" i="2"/>
  <c r="Z39" i="2"/>
  <c r="Z40" i="2"/>
  <c r="Z42" i="2"/>
  <c r="Z44" i="2"/>
  <c r="Z45" i="2"/>
  <c r="Z46" i="2"/>
  <c r="Z47" i="2"/>
  <c r="Z48" i="2"/>
  <c r="Z49" i="2"/>
  <c r="Z50" i="2"/>
  <c r="Z51" i="2"/>
  <c r="Z52" i="2"/>
  <c r="Z58" i="2"/>
  <c r="Z61" i="2"/>
  <c r="Z62" i="2"/>
  <c r="Z63" i="2"/>
  <c r="Z64" i="2"/>
  <c r="Z68" i="2"/>
  <c r="Z69" i="2"/>
  <c r="Z70" i="2"/>
  <c r="Z72" i="2"/>
  <c r="Z73" i="2"/>
  <c r="Z74" i="2"/>
  <c r="Z75" i="2"/>
  <c r="Z76" i="2"/>
  <c r="Z77" i="2"/>
  <c r="Z78" i="2"/>
  <c r="Z84" i="2"/>
  <c r="Z86" i="2"/>
  <c r="Z88" i="2"/>
  <c r="Z89" i="2"/>
  <c r="Z90" i="2"/>
  <c r="Z91" i="2"/>
  <c r="Z92" i="2"/>
  <c r="Z93" i="2"/>
  <c r="Z95" i="2"/>
  <c r="Z96" i="2"/>
  <c r="Z97" i="2"/>
  <c r="Z99" i="2"/>
  <c r="Z100" i="2"/>
  <c r="Z101" i="2"/>
  <c r="Z103" i="2"/>
  <c r="Z104" i="2"/>
  <c r="Z105" i="2"/>
  <c r="Z106" i="2"/>
  <c r="Z107" i="2"/>
  <c r="Z108" i="2"/>
  <c r="Z110" i="2"/>
  <c r="Z111" i="2"/>
  <c r="Z112" i="2"/>
  <c r="Z113" i="2"/>
  <c r="Z114" i="2"/>
  <c r="Z115" i="2"/>
  <c r="Z116" i="2"/>
  <c r="Z117" i="2"/>
  <c r="Z118" i="2"/>
  <c r="Z120" i="2"/>
  <c r="Z122" i="2"/>
  <c r="Z123" i="2"/>
  <c r="Z124" i="2"/>
  <c r="Z125" i="2"/>
  <c r="Z126" i="2"/>
  <c r="Z127" i="2"/>
  <c r="Z128" i="2"/>
  <c r="Z129" i="2"/>
  <c r="Z132" i="2"/>
  <c r="Z133" i="2"/>
  <c r="Z134" i="2"/>
  <c r="Z135" i="2"/>
  <c r="Z137" i="2"/>
  <c r="Z138" i="2"/>
  <c r="Z139" i="2"/>
  <c r="Z140" i="2"/>
  <c r="Z141" i="2"/>
  <c r="Z143" i="2"/>
  <c r="Z144" i="2"/>
  <c r="Z145" i="2"/>
  <c r="Z146" i="2"/>
  <c r="Z148" i="2"/>
  <c r="Z149" i="2"/>
  <c r="Z150" i="2"/>
  <c r="Z151" i="2"/>
  <c r="Z152" i="2"/>
  <c r="Z153" i="2"/>
  <c r="Z154" i="2"/>
  <c r="Z156" i="2"/>
  <c r="Z157" i="2"/>
  <c r="Z158" i="2"/>
  <c r="Z159" i="2"/>
  <c r="Z161" i="2"/>
  <c r="Z162" i="2"/>
  <c r="Z163" i="2"/>
  <c r="Z166" i="2"/>
  <c r="Z169" i="2"/>
  <c r="Z170" i="2"/>
  <c r="Z171" i="2"/>
  <c r="Z172" i="2"/>
  <c r="Z173" i="2"/>
  <c r="Z174" i="2"/>
  <c r="Z175" i="2"/>
  <c r="Z176" i="2"/>
  <c r="Z178" i="2"/>
  <c r="Z179" i="2"/>
  <c r="Z180" i="2"/>
  <c r="Z181" i="2"/>
  <c r="Z183" i="2"/>
  <c r="Z184" i="2"/>
  <c r="Z185" i="2"/>
  <c r="Z186" i="2"/>
  <c r="Z187" i="2"/>
  <c r="Z188" i="2"/>
  <c r="Z189" i="2"/>
  <c r="Z190" i="2"/>
  <c r="Z191" i="2"/>
  <c r="Z192" i="2"/>
  <c r="Z194" i="2"/>
  <c r="Z197" i="2"/>
  <c r="Z198" i="2"/>
  <c r="Z199" i="2"/>
  <c r="Z200" i="2"/>
  <c r="Z201" i="2"/>
  <c r="Z203" i="2"/>
  <c r="Z204" i="2"/>
  <c r="Z207" i="2"/>
  <c r="Z208" i="2"/>
  <c r="Z209" i="2"/>
  <c r="Z211" i="2"/>
  <c r="Z212" i="2"/>
  <c r="Z214" i="2"/>
  <c r="Z217" i="2"/>
  <c r="Z219" i="2"/>
  <c r="Z221" i="2"/>
  <c r="Z222" i="2"/>
  <c r="Z223" i="2"/>
  <c r="Z224" i="2"/>
  <c r="Z227" i="2"/>
  <c r="Z228" i="2"/>
  <c r="Z229" i="2"/>
  <c r="Z230" i="2"/>
  <c r="Z232" i="2"/>
  <c r="Z233" i="2"/>
  <c r="Z234" i="2"/>
  <c r="Z235" i="2"/>
  <c r="Z236" i="2"/>
  <c r="Z238" i="2"/>
  <c r="Z241" i="2"/>
  <c r="Z242" i="2"/>
  <c r="Z244" i="2"/>
  <c r="Z245" i="2"/>
  <c r="Z247" i="2"/>
  <c r="Z248" i="2"/>
  <c r="Z250" i="2"/>
  <c r="Z251" i="2"/>
  <c r="Z252" i="2"/>
  <c r="Z253" i="2"/>
  <c r="Z255" i="2"/>
  <c r="Z258" i="2"/>
  <c r="Z259" i="2"/>
  <c r="Z260" i="2"/>
  <c r="Z261" i="2"/>
  <c r="Z263" i="2"/>
  <c r="Z264" i="2"/>
  <c r="Z265" i="2"/>
  <c r="Z266" i="2"/>
  <c r="Z267" i="2"/>
  <c r="Z268" i="2"/>
  <c r="Z269" i="2"/>
  <c r="Z270" i="2"/>
  <c r="Z271" i="2"/>
  <c r="Z272" i="2"/>
  <c r="Z273" i="2"/>
  <c r="Z274" i="2"/>
  <c r="Z275" i="2"/>
  <c r="Z282" i="2"/>
  <c r="Z283" i="2"/>
  <c r="Z284" i="2"/>
  <c r="Z285" i="2"/>
  <c r="Z287" i="2"/>
  <c r="Z289" i="2"/>
  <c r="Z290" i="2"/>
  <c r="Z294" i="2"/>
  <c r="Z295" i="2"/>
  <c r="Z296" i="2"/>
  <c r="Z298" i="2"/>
  <c r="Z299" i="2"/>
  <c r="Z300" i="2"/>
  <c r="Z303" i="2"/>
  <c r="Z304" i="2"/>
  <c r="Z305" i="2"/>
  <c r="Z306" i="2"/>
  <c r="Z307" i="2"/>
  <c r="Z310" i="2"/>
  <c r="Z312" i="2"/>
  <c r="Z313" i="2"/>
  <c r="Z316" i="2"/>
  <c r="Z318" i="2"/>
  <c r="Z320" i="2"/>
  <c r="Z322" i="2"/>
  <c r="Z323" i="2"/>
  <c r="Z324" i="2"/>
  <c r="Z325" i="2"/>
  <c r="Z326" i="2"/>
  <c r="Z327" i="2"/>
  <c r="Z329" i="2"/>
  <c r="Z330" i="2"/>
  <c r="Z332" i="2"/>
  <c r="Z333" i="2"/>
  <c r="Z334" i="2"/>
  <c r="Z335" i="2"/>
  <c r="Z336" i="2"/>
  <c r="Z337" i="2"/>
  <c r="Z338" i="2"/>
  <c r="Z339" i="2"/>
  <c r="Z340" i="2"/>
  <c r="Z342" i="2"/>
  <c r="Z343" i="2"/>
  <c r="Z344" i="2"/>
  <c r="Z346" i="2"/>
  <c r="Z347" i="2"/>
  <c r="Z349" i="2"/>
  <c r="Z350" i="2"/>
  <c r="Z351" i="2"/>
  <c r="Z352" i="2"/>
  <c r="Z353" i="2"/>
  <c r="Z354" i="2"/>
  <c r="Z355" i="2"/>
  <c r="Z356" i="2"/>
  <c r="Z357" i="2"/>
  <c r="Z358" i="2"/>
  <c r="Z360" i="2"/>
  <c r="Z361" i="2"/>
  <c r="Z362" i="2"/>
  <c r="Z366" i="2"/>
  <c r="Z367" i="2"/>
  <c r="Z371" i="2"/>
  <c r="Z372" i="2"/>
  <c r="Z373" i="2"/>
  <c r="Z374" i="2"/>
  <c r="Z375" i="2"/>
  <c r="Z376" i="2"/>
  <c r="Z377" i="2"/>
  <c r="Z379" i="2"/>
  <c r="Z381" i="2"/>
  <c r="Z382" i="2"/>
  <c r="Z383" i="2"/>
  <c r="Z385" i="2"/>
  <c r="Z386" i="2"/>
  <c r="Z387" i="2"/>
  <c r="Z388" i="2"/>
  <c r="Z391" i="2"/>
  <c r="Z392" i="2"/>
  <c r="Z393" i="2"/>
  <c r="Z394" i="2"/>
  <c r="Z396" i="2"/>
  <c r="Z397" i="2"/>
  <c r="Z399" i="2"/>
  <c r="Z400" i="2"/>
  <c r="Z401" i="2"/>
  <c r="Z402" i="2"/>
  <c r="Z405" i="2"/>
  <c r="Z406" i="2"/>
  <c r="Z407" i="2"/>
  <c r="Z408" i="2"/>
  <c r="Z410" i="2"/>
  <c r="Z411" i="2"/>
  <c r="Z412" i="2"/>
  <c r="Z414" i="2"/>
  <c r="Z415" i="2"/>
  <c r="Z416" i="2"/>
  <c r="Z417" i="2"/>
  <c r="Z420" i="2"/>
  <c r="Z421" i="2"/>
  <c r="Z422" i="2"/>
  <c r="Z423" i="2"/>
  <c r="Z424" i="2"/>
  <c r="Z426" i="2"/>
  <c r="Z428" i="2"/>
  <c r="Z429" i="2"/>
  <c r="Z430" i="2"/>
  <c r="Z431" i="2"/>
  <c r="Z433" i="2"/>
  <c r="Z434" i="2"/>
  <c r="Z435" i="2"/>
  <c r="Z436" i="2"/>
  <c r="Z437" i="2"/>
  <c r="Z438" i="2"/>
  <c r="Z439" i="2"/>
  <c r="Z441" i="2"/>
  <c r="Z445" i="2"/>
  <c r="Z446" i="2"/>
  <c r="Z449" i="2"/>
  <c r="Z450" i="2"/>
  <c r="Z453" i="2"/>
  <c r="Z454" i="2"/>
  <c r="Z455" i="2"/>
  <c r="Z456" i="2"/>
  <c r="Z457" i="2"/>
  <c r="Z458" i="2"/>
  <c r="Z459" i="2"/>
  <c r="Z460" i="2"/>
  <c r="Z461" i="2"/>
  <c r="Z463" i="2"/>
  <c r="Z464" i="2"/>
  <c r="Z467" i="2"/>
  <c r="Z469" i="2"/>
  <c r="Z470" i="2"/>
  <c r="Z471" i="2"/>
  <c r="Z472" i="2"/>
  <c r="Z473" i="2"/>
  <c r="Z474" i="2"/>
  <c r="Z476" i="2"/>
  <c r="Z477" i="2"/>
  <c r="Z478" i="2"/>
  <c r="Z479" i="2"/>
  <c r="Z480" i="2"/>
  <c r="Z481" i="2"/>
  <c r="Z483" i="2"/>
  <c r="Z484" i="2"/>
  <c r="Z485" i="2"/>
  <c r="Z486" i="2"/>
  <c r="Z488" i="2"/>
  <c r="Z489" i="2"/>
  <c r="Z490" i="2"/>
  <c r="Z491" i="2"/>
  <c r="Z492" i="2"/>
  <c r="Z494" i="2"/>
  <c r="Z495" i="2"/>
  <c r="Z496" i="2"/>
  <c r="Z497" i="2"/>
  <c r="Z499" i="2"/>
  <c r="Z501" i="2"/>
  <c r="Z502" i="2"/>
  <c r="Z504" i="2"/>
  <c r="Z506" i="2"/>
  <c r="Z509" i="2"/>
  <c r="Z510" i="2"/>
  <c r="Z511" i="2"/>
  <c r="Z512" i="2"/>
  <c r="Z514" i="2"/>
  <c r="Z515" i="2"/>
  <c r="Z516" i="2"/>
  <c r="Z518" i="2"/>
  <c r="Z522" i="2"/>
  <c r="Z523" i="2"/>
  <c r="Z525" i="2"/>
  <c r="Z532" i="2"/>
  <c r="Z533" i="2"/>
  <c r="Z534" i="2"/>
  <c r="Z536" i="2"/>
  <c r="Z537" i="2"/>
  <c r="Z538" i="2"/>
  <c r="Z539" i="2"/>
  <c r="Z540" i="2"/>
  <c r="Z541" i="2"/>
  <c r="Z542" i="2"/>
  <c r="Z544" i="2"/>
  <c r="Z545" i="2"/>
  <c r="Z546" i="2"/>
  <c r="Z547" i="2"/>
  <c r="Z548" i="2"/>
  <c r="Z550" i="2"/>
  <c r="Z553" i="2"/>
  <c r="Z555" i="2"/>
  <c r="Z557" i="2"/>
  <c r="Z562" i="2"/>
  <c r="Z563" i="2"/>
  <c r="Z564" i="2"/>
  <c r="Z565" i="2"/>
  <c r="Z566" i="2"/>
  <c r="Z567" i="2"/>
  <c r="Z568" i="2"/>
  <c r="Z569" i="2"/>
  <c r="Z570" i="2"/>
  <c r="Z571" i="2"/>
  <c r="Z573" i="2"/>
  <c r="Z575" i="2"/>
  <c r="Z577" i="2"/>
  <c r="Z578" i="2"/>
  <c r="Z579" i="2"/>
  <c r="Z580" i="2"/>
  <c r="Z581" i="2"/>
  <c r="Z582" i="2"/>
  <c r="Z585" i="2"/>
  <c r="Z586" i="2"/>
  <c r="Z587" i="2"/>
  <c r="Z590" i="2"/>
  <c r="Z591" i="2"/>
  <c r="Z592" i="2"/>
  <c r="Z594" i="2"/>
  <c r="Z596" i="2"/>
  <c r="Z597" i="2"/>
  <c r="Z598" i="2"/>
  <c r="Z600" i="2"/>
  <c r="Z602" i="2"/>
  <c r="Z603" i="2"/>
  <c r="Z604" i="2"/>
  <c r="Z605" i="2"/>
  <c r="Z608" i="2"/>
  <c r="Z609" i="2"/>
  <c r="Z610" i="2"/>
  <c r="Z612" i="2"/>
  <c r="Z613" i="2"/>
  <c r="Z614" i="2"/>
  <c r="Z615" i="2"/>
  <c r="Z617" i="2"/>
  <c r="Z618" i="2"/>
  <c r="Z619" i="2"/>
  <c r="Z621" i="2"/>
  <c r="Z624" i="2"/>
  <c r="Z625" i="2"/>
  <c r="Z626" i="2"/>
  <c r="Z627" i="2"/>
  <c r="Z628" i="2"/>
  <c r="Z629" i="2"/>
  <c r="Z631" i="2"/>
  <c r="Z632" i="2"/>
  <c r="Z633" i="2"/>
  <c r="Z634" i="2"/>
  <c r="Z635" i="2"/>
  <c r="Z638" i="2"/>
  <c r="Z639" i="2"/>
  <c r="Z640" i="2"/>
  <c r="Z643" i="2"/>
  <c r="Z644" i="2"/>
  <c r="Z645" i="2"/>
  <c r="Z646" i="2"/>
  <c r="Z648" i="2"/>
  <c r="Z650" i="2"/>
  <c r="Z651" i="2"/>
  <c r="Z652" i="2"/>
  <c r="Z654" i="2"/>
  <c r="Z657" i="2"/>
  <c r="Z658" i="2"/>
  <c r="Z659" i="2"/>
  <c r="Z660" i="2"/>
  <c r="Z661" i="2"/>
  <c r="Z662" i="2"/>
  <c r="Z663" i="2"/>
  <c r="Z664" i="2"/>
  <c r="Z665" i="2"/>
  <c r="Z666" i="2"/>
  <c r="Z667" i="2"/>
  <c r="Z668" i="2"/>
  <c r="Z670" i="2"/>
  <c r="Z672" i="2"/>
  <c r="Z674" i="2"/>
  <c r="Z675" i="2"/>
  <c r="Z676" i="2"/>
  <c r="Z680" i="2"/>
  <c r="Z682" i="2"/>
  <c r="Z683" i="2"/>
  <c r="Z684" i="2"/>
  <c r="Z685" i="2"/>
  <c r="Z686" i="2"/>
  <c r="Z690" i="2"/>
  <c r="Z693" i="2"/>
  <c r="Z695" i="2"/>
  <c r="Z698" i="2"/>
  <c r="Z699" i="2"/>
  <c r="Z700" i="2"/>
  <c r="Z701" i="2"/>
  <c r="Z702" i="2"/>
  <c r="Z704" i="2"/>
  <c r="Z705" i="2"/>
  <c r="Z706" i="2"/>
  <c r="Z709" i="2"/>
  <c r="Z710" i="2"/>
  <c r="Z711" i="2"/>
  <c r="Z712" i="2"/>
  <c r="Z713" i="2"/>
  <c r="Z714" i="2"/>
  <c r="Z715" i="2"/>
  <c r="Z716" i="2"/>
  <c r="Z721" i="2"/>
  <c r="Z723" i="2"/>
  <c r="Z724" i="2"/>
  <c r="Z727" i="2"/>
  <c r="Z729" i="2"/>
  <c r="Z734" i="2"/>
  <c r="Z735" i="2"/>
  <c r="Z736" i="2"/>
  <c r="Z738" i="2"/>
  <c r="Z739" i="2"/>
  <c r="Z741" i="2"/>
  <c r="Z743" i="2"/>
  <c r="Z746" i="2"/>
  <c r="Z747" i="2"/>
  <c r="Z751" i="2"/>
  <c r="Z752" i="2"/>
  <c r="Z753" i="2"/>
  <c r="Z754" i="2"/>
  <c r="Z756" i="2"/>
  <c r="Z757" i="2"/>
  <c r="Z759" i="2"/>
  <c r="Z760" i="2"/>
  <c r="Z761" i="2"/>
  <c r="Z762" i="2"/>
  <c r="Z764" i="2"/>
  <c r="Z766" i="2"/>
  <c r="Z767" i="2"/>
  <c r="Z768" i="2"/>
  <c r="Z769" i="2"/>
  <c r="Z772" i="2"/>
  <c r="Z773" i="2"/>
  <c r="Z774" i="2"/>
  <c r="Z775" i="2"/>
  <c r="Z776" i="2"/>
  <c r="Z779" i="2"/>
  <c r="Z781" i="2"/>
  <c r="Z783" i="2"/>
  <c r="Z784" i="2"/>
  <c r="Z785" i="2"/>
  <c r="Z786" i="2"/>
  <c r="Z787" i="2"/>
  <c r="Z788" i="2"/>
  <c r="Z789" i="2"/>
  <c r="Z790" i="2"/>
  <c r="Z792" i="2"/>
  <c r="Z793" i="2"/>
  <c r="Z795" i="2"/>
  <c r="Z796" i="2"/>
  <c r="Z797" i="2"/>
  <c r="Z798" i="2"/>
  <c r="Z801" i="2"/>
  <c r="Z802" i="2"/>
  <c r="Z804" i="2"/>
  <c r="Z805" i="2"/>
  <c r="Z806" i="2"/>
  <c r="Z807" i="2"/>
  <c r="Z808" i="2"/>
  <c r="Z811" i="2"/>
  <c r="Z812" i="2"/>
  <c r="Z813" i="2"/>
  <c r="Z817" i="2"/>
  <c r="Z818" i="2"/>
  <c r="Z819" i="2"/>
  <c r="Z821" i="2"/>
  <c r="Z823" i="2"/>
  <c r="Z824" i="2"/>
  <c r="Z825" i="2"/>
  <c r="Z826" i="2"/>
  <c r="Z827" i="2"/>
  <c r="Z828" i="2"/>
  <c r="Z829" i="2"/>
  <c r="Z831" i="2"/>
  <c r="Z832" i="2"/>
  <c r="Z833" i="2"/>
  <c r="Z834" i="2"/>
  <c r="Z836" i="2"/>
  <c r="Z838" i="2"/>
  <c r="Z839" i="2"/>
  <c r="Z840" i="2"/>
  <c r="Z841" i="2"/>
  <c r="Z842" i="2"/>
  <c r="Z844" i="2"/>
  <c r="Z848" i="2"/>
  <c r="Z849" i="2"/>
  <c r="Z853" i="2"/>
  <c r="Z855" i="2"/>
  <c r="Z856" i="2"/>
  <c r="Z858" i="2"/>
  <c r="Z860" i="2"/>
  <c r="Z861" i="2"/>
  <c r="Z862" i="2"/>
  <c r="Z866" i="2"/>
  <c r="Z867" i="2"/>
  <c r="Z868" i="2"/>
  <c r="Z869" i="2"/>
  <c r="Z871" i="2"/>
  <c r="Z872" i="2"/>
  <c r="Z873" i="2"/>
  <c r="Z874" i="2"/>
  <c r="Z876" i="2"/>
  <c r="Z877" i="2"/>
  <c r="Z878" i="2"/>
  <c r="Z879" i="2"/>
  <c r="Z880" i="2"/>
  <c r="Z881" i="2"/>
  <c r="Z884" i="2"/>
  <c r="Z885" i="2"/>
  <c r="Z886" i="2"/>
  <c r="Z888" i="2"/>
  <c r="Z889" i="2"/>
  <c r="Z891" i="2"/>
  <c r="Z892" i="2"/>
  <c r="Z894" i="2"/>
  <c r="Z896" i="2"/>
  <c r="Z897" i="2"/>
  <c r="Z898" i="2"/>
  <c r="Z900" i="2"/>
  <c r="Z901" i="2"/>
  <c r="Z902" i="2"/>
  <c r="Z904" i="2"/>
  <c r="Z905" i="2"/>
  <c r="Z906" i="2"/>
  <c r="Z907" i="2"/>
  <c r="Z908" i="2"/>
  <c r="Z909" i="2"/>
  <c r="Z911" i="2"/>
  <c r="Z913" i="2"/>
  <c r="Z914" i="2"/>
  <c r="Z916" i="2"/>
  <c r="Z917" i="2"/>
  <c r="Z918" i="2"/>
  <c r="Z920" i="2"/>
  <c r="Z922" i="2"/>
  <c r="Z923" i="2"/>
  <c r="Z924" i="2"/>
  <c r="Z925" i="2"/>
  <c r="Z926" i="2"/>
  <c r="Z928" i="2"/>
  <c r="Z929" i="2"/>
  <c r="Z930" i="2"/>
  <c r="Z931" i="2"/>
  <c r="Z934" i="2"/>
  <c r="Z935" i="2"/>
  <c r="Z936" i="2"/>
  <c r="Z937" i="2"/>
  <c r="Z938" i="2"/>
  <c r="Z940" i="2"/>
  <c r="Z941" i="2"/>
  <c r="Z942" i="2"/>
  <c r="Z943" i="2"/>
  <c r="Z944" i="2"/>
  <c r="Z946" i="2"/>
  <c r="Z947" i="2"/>
  <c r="Z949" i="2"/>
  <c r="Z951" i="2"/>
  <c r="Z952" i="2"/>
  <c r="Z953" i="2"/>
  <c r="Z954" i="2"/>
  <c r="Z956" i="2"/>
  <c r="Z958" i="2"/>
  <c r="Z961" i="2"/>
  <c r="Z962" i="2"/>
  <c r="Z963" i="2"/>
  <c r="Z964" i="2"/>
  <c r="Z965" i="2"/>
  <c r="Z967" i="2"/>
  <c r="Z968" i="2"/>
  <c r="Z969" i="2"/>
  <c r="Z971" i="2"/>
  <c r="Z972" i="2"/>
  <c r="Z974" i="2"/>
  <c r="Z975" i="2"/>
  <c r="Z976" i="2"/>
  <c r="Z977" i="2"/>
  <c r="Z978" i="2"/>
  <c r="Z979" i="2"/>
  <c r="Z982" i="2"/>
  <c r="Z983" i="2"/>
  <c r="Z985" i="2"/>
  <c r="Z986" i="2"/>
  <c r="Z987" i="2"/>
  <c r="Z988" i="2"/>
  <c r="Z989" i="2"/>
  <c r="Z990" i="2"/>
  <c r="Z991" i="2"/>
  <c r="Z993" i="2"/>
  <c r="Z994" i="2"/>
  <c r="Z995" i="2"/>
  <c r="Z997" i="2"/>
  <c r="Z998" i="2"/>
  <c r="Z1000" i="2"/>
  <c r="Z2" i="2"/>
  <c r="Y23" i="2"/>
  <c r="Y24" i="2"/>
  <c r="Y36" i="2"/>
  <c r="Y47" i="2"/>
  <c r="Y72" i="2"/>
  <c r="Y83" i="2"/>
  <c r="Z83" i="2" s="1"/>
  <c r="Y84" i="2"/>
  <c r="Y85" i="2"/>
  <c r="Z85" i="2" s="1"/>
  <c r="Y107" i="2"/>
  <c r="Y108" i="2"/>
  <c r="Y119" i="2"/>
  <c r="Z119" i="2" s="1"/>
  <c r="Y121" i="2"/>
  <c r="Z121" i="2" s="1"/>
  <c r="Y125" i="2"/>
  <c r="Y127" i="2"/>
  <c r="Y144" i="2"/>
  <c r="Y155" i="2"/>
  <c r="Z155" i="2" s="1"/>
  <c r="Y156" i="2"/>
  <c r="Y161" i="2"/>
  <c r="Y191" i="2"/>
  <c r="Y192" i="2"/>
  <c r="Y203" i="2"/>
  <c r="Y204" i="2"/>
  <c r="Y211" i="2"/>
  <c r="Y228" i="2"/>
  <c r="Y240" i="2"/>
  <c r="Z240" i="2" s="1"/>
  <c r="Y251" i="2"/>
  <c r="Y252" i="2"/>
  <c r="Y287" i="2"/>
  <c r="Y288" i="2"/>
  <c r="Z288" i="2" s="1"/>
  <c r="Y293" i="2"/>
  <c r="Z293" i="2" s="1"/>
  <c r="Y299" i="2"/>
  <c r="Y324" i="2"/>
  <c r="Y335" i="2"/>
  <c r="Y336" i="2"/>
  <c r="Y371" i="2"/>
  <c r="Y372" i="2"/>
  <c r="Y373" i="2"/>
  <c r="Y384" i="2"/>
  <c r="Z384" i="2" s="1"/>
  <c r="Y392" i="2"/>
  <c r="Y420" i="2"/>
  <c r="Y431" i="2"/>
  <c r="Y432" i="2"/>
  <c r="Z432" i="2" s="1"/>
  <c r="Y437" i="2"/>
  <c r="Y456" i="2"/>
  <c r="Y468" i="2"/>
  <c r="Z468" i="2" s="1"/>
  <c r="Y479" i="2"/>
  <c r="Y480" i="2"/>
  <c r="Y504" i="2"/>
  <c r="Y515" i="2"/>
  <c r="Y516" i="2"/>
  <c r="Y517" i="2"/>
  <c r="Z517" i="2" s="1"/>
  <c r="Y527" i="2"/>
  <c r="Z527" i="2" s="1"/>
  <c r="Y552" i="2"/>
  <c r="Z552" i="2" s="1"/>
  <c r="Y563" i="2"/>
  <c r="Y564" i="2"/>
  <c r="Y576" i="2"/>
  <c r="Z576" i="2" s="1"/>
  <c r="Y587" i="2"/>
  <c r="Y624" i="2"/>
  <c r="Y635" i="2"/>
  <c r="Y636" i="2"/>
  <c r="Z636" i="2" s="1"/>
  <c r="Y648" i="2"/>
  <c r="Y671" i="2"/>
  <c r="Z671" i="2" s="1"/>
  <c r="Y683" i="2"/>
  <c r="Y684" i="2"/>
  <c r="Y696" i="2"/>
  <c r="Z696" i="2" s="1"/>
  <c r="Y703" i="2"/>
  <c r="Z703" i="2" s="1"/>
  <c r="Y731" i="2"/>
  <c r="Z731" i="2" s="1"/>
  <c r="Y732" i="2"/>
  <c r="Z732" i="2" s="1"/>
  <c r="Y743" i="2"/>
  <c r="Y756" i="2"/>
  <c r="Y768" i="2"/>
  <c r="Y804" i="2"/>
  <c r="Y805" i="2"/>
  <c r="Y827" i="2"/>
  <c r="Y828" i="2"/>
  <c r="Y833" i="2"/>
  <c r="Y840" i="2"/>
  <c r="Y851" i="2"/>
  <c r="Z851" i="2" s="1"/>
  <c r="Y888" i="2"/>
  <c r="Y900" i="2"/>
  <c r="Y912" i="2"/>
  <c r="Z912" i="2" s="1"/>
  <c r="Y948" i="2"/>
  <c r="Z948" i="2" s="1"/>
  <c r="Y949" i="2"/>
  <c r="Y959" i="2"/>
  <c r="Z959" i="2" s="1"/>
  <c r="X2" i="2"/>
  <c r="Y2" i="2" s="1"/>
  <c r="X3" i="2"/>
  <c r="Y3" i="2" s="1"/>
  <c r="Z3" i="2" s="1"/>
  <c r="X4" i="2"/>
  <c r="Y4" i="2" s="1"/>
  <c r="X5" i="2"/>
  <c r="Y5" i="2" s="1"/>
  <c r="X6" i="2"/>
  <c r="Y6" i="2" s="1"/>
  <c r="X7" i="2"/>
  <c r="Y7" i="2" s="1"/>
  <c r="X8" i="2"/>
  <c r="Y8" i="2" s="1"/>
  <c r="Z8" i="2" s="1"/>
  <c r="X9" i="2"/>
  <c r="Y9" i="2" s="1"/>
  <c r="X10" i="2"/>
  <c r="Y10" i="2" s="1"/>
  <c r="X11" i="2"/>
  <c r="Y11" i="2" s="1"/>
  <c r="X12" i="2"/>
  <c r="Y12" i="2" s="1"/>
  <c r="Z12" i="2" s="1"/>
  <c r="X13" i="2"/>
  <c r="Y13" i="2" s="1"/>
  <c r="X14" i="2"/>
  <c r="Y14" i="2" s="1"/>
  <c r="X15" i="2"/>
  <c r="Y15" i="2" s="1"/>
  <c r="X16" i="2"/>
  <c r="Y16" i="2" s="1"/>
  <c r="X17" i="2"/>
  <c r="Y17" i="2" s="1"/>
  <c r="X18" i="2"/>
  <c r="Y18" i="2" s="1"/>
  <c r="X19" i="2"/>
  <c r="Y19" i="2" s="1"/>
  <c r="X20" i="2"/>
  <c r="Y20" i="2" s="1"/>
  <c r="X21" i="2"/>
  <c r="Y21" i="2" s="1"/>
  <c r="Z21" i="2" s="1"/>
  <c r="X22" i="2"/>
  <c r="Y22" i="2" s="1"/>
  <c r="Z22" i="2" s="1"/>
  <c r="X23" i="2"/>
  <c r="X24" i="2"/>
  <c r="X25" i="2"/>
  <c r="Y25" i="2" s="1"/>
  <c r="Z25" i="2" s="1"/>
  <c r="X26" i="2"/>
  <c r="Y26" i="2" s="1"/>
  <c r="Z26" i="2" s="1"/>
  <c r="X27" i="2"/>
  <c r="Y27" i="2" s="1"/>
  <c r="Z27" i="2" s="1"/>
  <c r="X28" i="2"/>
  <c r="Y28" i="2" s="1"/>
  <c r="X29" i="2"/>
  <c r="Y29" i="2" s="1"/>
  <c r="X30" i="2"/>
  <c r="Y30" i="2" s="1"/>
  <c r="Z30" i="2" s="1"/>
  <c r="X31" i="2"/>
  <c r="Y31" i="2" s="1"/>
  <c r="X32" i="2"/>
  <c r="Y32" i="2" s="1"/>
  <c r="Z32" i="2" s="1"/>
  <c r="X33" i="2"/>
  <c r="Y33" i="2" s="1"/>
  <c r="Z33" i="2" s="1"/>
  <c r="X34" i="2"/>
  <c r="Y34" i="2" s="1"/>
  <c r="X35" i="2"/>
  <c r="Y35" i="2" s="1"/>
  <c r="X36" i="2"/>
  <c r="X37" i="2"/>
  <c r="Y37" i="2" s="1"/>
  <c r="X38" i="2"/>
  <c r="Y38" i="2" s="1"/>
  <c r="Z38" i="2" s="1"/>
  <c r="X39" i="2"/>
  <c r="Y39" i="2" s="1"/>
  <c r="X40" i="2"/>
  <c r="Y40" i="2" s="1"/>
  <c r="X41" i="2"/>
  <c r="Y41" i="2" s="1"/>
  <c r="Z41" i="2" s="1"/>
  <c r="X42" i="2"/>
  <c r="Y42" i="2" s="1"/>
  <c r="X43" i="2"/>
  <c r="Y43" i="2" s="1"/>
  <c r="Z43" i="2" s="1"/>
  <c r="X44" i="2"/>
  <c r="Y44" i="2" s="1"/>
  <c r="X45" i="2"/>
  <c r="Y45" i="2" s="1"/>
  <c r="X46" i="2"/>
  <c r="Y46" i="2" s="1"/>
  <c r="X47" i="2"/>
  <c r="X48" i="2"/>
  <c r="Y48" i="2" s="1"/>
  <c r="X49" i="2"/>
  <c r="Y49" i="2" s="1"/>
  <c r="X50" i="2"/>
  <c r="Y50" i="2" s="1"/>
  <c r="X51" i="2"/>
  <c r="Y51" i="2" s="1"/>
  <c r="X52" i="2"/>
  <c r="Y52" i="2" s="1"/>
  <c r="X53" i="2"/>
  <c r="Y53" i="2" s="1"/>
  <c r="Z53" i="2" s="1"/>
  <c r="X54" i="2"/>
  <c r="Y54" i="2" s="1"/>
  <c r="Z54" i="2" s="1"/>
  <c r="X55" i="2"/>
  <c r="Y55" i="2" s="1"/>
  <c r="Z55" i="2" s="1"/>
  <c r="X56" i="2"/>
  <c r="Y56" i="2" s="1"/>
  <c r="Z56" i="2" s="1"/>
  <c r="X57" i="2"/>
  <c r="Y57" i="2" s="1"/>
  <c r="Z57" i="2" s="1"/>
  <c r="X58" i="2"/>
  <c r="Y58" i="2" s="1"/>
  <c r="X59" i="2"/>
  <c r="Y59" i="2" s="1"/>
  <c r="Z59" i="2" s="1"/>
  <c r="X60" i="2"/>
  <c r="Y60" i="2" s="1"/>
  <c r="Z60" i="2" s="1"/>
  <c r="X61" i="2"/>
  <c r="Y61" i="2" s="1"/>
  <c r="X62" i="2"/>
  <c r="Y62" i="2" s="1"/>
  <c r="X63" i="2"/>
  <c r="Y63" i="2" s="1"/>
  <c r="X64" i="2"/>
  <c r="Y64" i="2" s="1"/>
  <c r="X65" i="2"/>
  <c r="Y65" i="2" s="1"/>
  <c r="Z65" i="2" s="1"/>
  <c r="X66" i="2"/>
  <c r="Y66" i="2" s="1"/>
  <c r="Z66" i="2" s="1"/>
  <c r="X67" i="2"/>
  <c r="Y67" i="2" s="1"/>
  <c r="Z67" i="2" s="1"/>
  <c r="X68" i="2"/>
  <c r="Y68" i="2" s="1"/>
  <c r="X69" i="2"/>
  <c r="Y69" i="2" s="1"/>
  <c r="X70" i="2"/>
  <c r="Y70" i="2" s="1"/>
  <c r="X71" i="2"/>
  <c r="Y71" i="2" s="1"/>
  <c r="Z71" i="2" s="1"/>
  <c r="X72" i="2"/>
  <c r="X73" i="2"/>
  <c r="Y73" i="2" s="1"/>
  <c r="X74" i="2"/>
  <c r="Y74" i="2" s="1"/>
  <c r="X75" i="2"/>
  <c r="Y75" i="2" s="1"/>
  <c r="X76" i="2"/>
  <c r="Y76" i="2" s="1"/>
  <c r="X77" i="2"/>
  <c r="Y77" i="2" s="1"/>
  <c r="X78" i="2"/>
  <c r="Y78" i="2" s="1"/>
  <c r="X79" i="2"/>
  <c r="Y79" i="2" s="1"/>
  <c r="Z79" i="2" s="1"/>
  <c r="X80" i="2"/>
  <c r="Y80" i="2" s="1"/>
  <c r="Z80" i="2" s="1"/>
  <c r="X81" i="2"/>
  <c r="Y81" i="2" s="1"/>
  <c r="Z81" i="2" s="1"/>
  <c r="X82" i="2"/>
  <c r="Y82" i="2" s="1"/>
  <c r="Z82" i="2" s="1"/>
  <c r="X83" i="2"/>
  <c r="X84" i="2"/>
  <c r="X85" i="2"/>
  <c r="X86" i="2"/>
  <c r="Y86" i="2" s="1"/>
  <c r="X87" i="2"/>
  <c r="Y87" i="2" s="1"/>
  <c r="Z87" i="2" s="1"/>
  <c r="X88" i="2"/>
  <c r="Y88" i="2" s="1"/>
  <c r="X89" i="2"/>
  <c r="Y89" i="2" s="1"/>
  <c r="X90" i="2"/>
  <c r="Y90" i="2" s="1"/>
  <c r="X91" i="2"/>
  <c r="Y91" i="2" s="1"/>
  <c r="X92" i="2"/>
  <c r="Y92" i="2" s="1"/>
  <c r="X93" i="2"/>
  <c r="Y93" i="2" s="1"/>
  <c r="X94" i="2"/>
  <c r="Y94" i="2" s="1"/>
  <c r="Z94" i="2" s="1"/>
  <c r="X95" i="2"/>
  <c r="Y95" i="2" s="1"/>
  <c r="X96" i="2"/>
  <c r="Y96" i="2" s="1"/>
  <c r="X97" i="2"/>
  <c r="Y97" i="2" s="1"/>
  <c r="X98" i="2"/>
  <c r="Y98" i="2" s="1"/>
  <c r="Z98" i="2" s="1"/>
  <c r="X99" i="2"/>
  <c r="Y99" i="2" s="1"/>
  <c r="X100" i="2"/>
  <c r="Y100" i="2" s="1"/>
  <c r="X101" i="2"/>
  <c r="Y101" i="2" s="1"/>
  <c r="X102" i="2"/>
  <c r="Y102" i="2" s="1"/>
  <c r="Z102" i="2" s="1"/>
  <c r="X103" i="2"/>
  <c r="Y103" i="2" s="1"/>
  <c r="X104" i="2"/>
  <c r="Y104" i="2" s="1"/>
  <c r="X105" i="2"/>
  <c r="Y105" i="2" s="1"/>
  <c r="X106" i="2"/>
  <c r="Y106" i="2" s="1"/>
  <c r="X107" i="2"/>
  <c r="X108" i="2"/>
  <c r="X109" i="2"/>
  <c r="Y109" i="2" s="1"/>
  <c r="Z109" i="2" s="1"/>
  <c r="X110" i="2"/>
  <c r="Y110" i="2" s="1"/>
  <c r="X111" i="2"/>
  <c r="Y111" i="2" s="1"/>
  <c r="X112" i="2"/>
  <c r="Y112" i="2" s="1"/>
  <c r="X113" i="2"/>
  <c r="Y113" i="2" s="1"/>
  <c r="X114" i="2"/>
  <c r="Y114" i="2" s="1"/>
  <c r="X115" i="2"/>
  <c r="Y115" i="2" s="1"/>
  <c r="X116" i="2"/>
  <c r="Y116" i="2" s="1"/>
  <c r="X117" i="2"/>
  <c r="Y117" i="2" s="1"/>
  <c r="X118" i="2"/>
  <c r="Y118" i="2" s="1"/>
  <c r="X119" i="2"/>
  <c r="X120" i="2"/>
  <c r="Y120" i="2" s="1"/>
  <c r="X121" i="2"/>
  <c r="X122" i="2"/>
  <c r="Y122" i="2" s="1"/>
  <c r="X123" i="2"/>
  <c r="Y123" i="2" s="1"/>
  <c r="X124" i="2"/>
  <c r="Y124" i="2" s="1"/>
  <c r="X125" i="2"/>
  <c r="X126" i="2"/>
  <c r="Y126" i="2" s="1"/>
  <c r="X127" i="2"/>
  <c r="X128" i="2"/>
  <c r="Y128" i="2" s="1"/>
  <c r="X129" i="2"/>
  <c r="Y129" i="2" s="1"/>
  <c r="X130" i="2"/>
  <c r="Y130" i="2" s="1"/>
  <c r="Z130" i="2" s="1"/>
  <c r="X131" i="2"/>
  <c r="Y131" i="2" s="1"/>
  <c r="Z131" i="2" s="1"/>
  <c r="X132" i="2"/>
  <c r="Y132" i="2" s="1"/>
  <c r="X133" i="2"/>
  <c r="Y133" i="2" s="1"/>
  <c r="X134" i="2"/>
  <c r="Y134" i="2" s="1"/>
  <c r="X135" i="2"/>
  <c r="Y135" i="2" s="1"/>
  <c r="X136" i="2"/>
  <c r="Y136" i="2" s="1"/>
  <c r="Z136" i="2" s="1"/>
  <c r="X137" i="2"/>
  <c r="Y137" i="2" s="1"/>
  <c r="X138" i="2"/>
  <c r="Y138" i="2" s="1"/>
  <c r="X139" i="2"/>
  <c r="Y139" i="2" s="1"/>
  <c r="X140" i="2"/>
  <c r="Y140" i="2" s="1"/>
  <c r="X141" i="2"/>
  <c r="Y141" i="2" s="1"/>
  <c r="X142" i="2"/>
  <c r="Y142" i="2" s="1"/>
  <c r="Z142" i="2" s="1"/>
  <c r="X143" i="2"/>
  <c r="Y143" i="2" s="1"/>
  <c r="X144" i="2"/>
  <c r="X145" i="2"/>
  <c r="Y145" i="2" s="1"/>
  <c r="X146" i="2"/>
  <c r="Y146" i="2" s="1"/>
  <c r="X147" i="2"/>
  <c r="Y147" i="2" s="1"/>
  <c r="Z147" i="2" s="1"/>
  <c r="X148" i="2"/>
  <c r="Y148" i="2" s="1"/>
  <c r="X149" i="2"/>
  <c r="Y149" i="2" s="1"/>
  <c r="X150" i="2"/>
  <c r="Y150" i="2" s="1"/>
  <c r="X151" i="2"/>
  <c r="Y151" i="2" s="1"/>
  <c r="X152" i="2"/>
  <c r="Y152" i="2" s="1"/>
  <c r="X153" i="2"/>
  <c r="Y153" i="2" s="1"/>
  <c r="X154" i="2"/>
  <c r="Y154" i="2" s="1"/>
  <c r="X155" i="2"/>
  <c r="X156" i="2"/>
  <c r="X157" i="2"/>
  <c r="Y157" i="2" s="1"/>
  <c r="X158" i="2"/>
  <c r="Y158" i="2" s="1"/>
  <c r="X159" i="2"/>
  <c r="Y159" i="2" s="1"/>
  <c r="X160" i="2"/>
  <c r="Y160" i="2" s="1"/>
  <c r="Z160" i="2" s="1"/>
  <c r="X161" i="2"/>
  <c r="X162" i="2"/>
  <c r="Y162" i="2" s="1"/>
  <c r="X163" i="2"/>
  <c r="Y163" i="2" s="1"/>
  <c r="X164" i="2"/>
  <c r="Y164" i="2" s="1"/>
  <c r="Z164" i="2" s="1"/>
  <c r="X165" i="2"/>
  <c r="Y165" i="2" s="1"/>
  <c r="Z165" i="2" s="1"/>
  <c r="X166" i="2"/>
  <c r="Y166" i="2" s="1"/>
  <c r="X167" i="2"/>
  <c r="Y167" i="2" s="1"/>
  <c r="Z167" i="2" s="1"/>
  <c r="X168" i="2"/>
  <c r="Y168" i="2" s="1"/>
  <c r="Z168" i="2" s="1"/>
  <c r="X169" i="2"/>
  <c r="Y169" i="2" s="1"/>
  <c r="X170" i="2"/>
  <c r="Y170" i="2" s="1"/>
  <c r="X171" i="2"/>
  <c r="Y171" i="2" s="1"/>
  <c r="X172" i="2"/>
  <c r="Y172" i="2" s="1"/>
  <c r="X173" i="2"/>
  <c r="Y173" i="2" s="1"/>
  <c r="X174" i="2"/>
  <c r="Y174" i="2" s="1"/>
  <c r="X175" i="2"/>
  <c r="Y175" i="2" s="1"/>
  <c r="X176" i="2"/>
  <c r="Y176" i="2" s="1"/>
  <c r="X177" i="2"/>
  <c r="Y177" i="2" s="1"/>
  <c r="Z177" i="2" s="1"/>
  <c r="X178" i="2"/>
  <c r="Y178" i="2" s="1"/>
  <c r="X179" i="2"/>
  <c r="Y179" i="2" s="1"/>
  <c r="X180" i="2"/>
  <c r="Y180" i="2" s="1"/>
  <c r="X181" i="2"/>
  <c r="Y181" i="2" s="1"/>
  <c r="X182" i="2"/>
  <c r="Y182" i="2" s="1"/>
  <c r="Z182" i="2" s="1"/>
  <c r="X183" i="2"/>
  <c r="Y183" i="2" s="1"/>
  <c r="X184" i="2"/>
  <c r="Y184" i="2" s="1"/>
  <c r="X185" i="2"/>
  <c r="Y185" i="2" s="1"/>
  <c r="X186" i="2"/>
  <c r="Y186" i="2" s="1"/>
  <c r="X187" i="2"/>
  <c r="Y187" i="2" s="1"/>
  <c r="X188" i="2"/>
  <c r="Y188" i="2" s="1"/>
  <c r="X189" i="2"/>
  <c r="Y189" i="2" s="1"/>
  <c r="X190" i="2"/>
  <c r="Y190" i="2" s="1"/>
  <c r="X191" i="2"/>
  <c r="X192" i="2"/>
  <c r="X193" i="2"/>
  <c r="Y193" i="2" s="1"/>
  <c r="Z193" i="2" s="1"/>
  <c r="X194" i="2"/>
  <c r="Y194" i="2" s="1"/>
  <c r="X195" i="2"/>
  <c r="Y195" i="2" s="1"/>
  <c r="Z195" i="2" s="1"/>
  <c r="X196" i="2"/>
  <c r="Y196" i="2" s="1"/>
  <c r="Z196" i="2" s="1"/>
  <c r="X197" i="2"/>
  <c r="Y197" i="2" s="1"/>
  <c r="X198" i="2"/>
  <c r="Y198" i="2" s="1"/>
  <c r="X199" i="2"/>
  <c r="Y199" i="2" s="1"/>
  <c r="X200" i="2"/>
  <c r="Y200" i="2" s="1"/>
  <c r="X201" i="2"/>
  <c r="Y201" i="2" s="1"/>
  <c r="X202" i="2"/>
  <c r="Y202" i="2" s="1"/>
  <c r="Z202" i="2" s="1"/>
  <c r="X203" i="2"/>
  <c r="X204" i="2"/>
  <c r="X205" i="2"/>
  <c r="Y205" i="2" s="1"/>
  <c r="Z205" i="2" s="1"/>
  <c r="X206" i="2"/>
  <c r="Y206" i="2" s="1"/>
  <c r="Z206" i="2" s="1"/>
  <c r="X207" i="2"/>
  <c r="Y207" i="2" s="1"/>
  <c r="X208" i="2"/>
  <c r="Y208" i="2" s="1"/>
  <c r="X209" i="2"/>
  <c r="Y209" i="2" s="1"/>
  <c r="X210" i="2"/>
  <c r="Y210" i="2" s="1"/>
  <c r="Z210" i="2" s="1"/>
  <c r="X211" i="2"/>
  <c r="X212" i="2"/>
  <c r="Y212" i="2" s="1"/>
  <c r="X213" i="2"/>
  <c r="Y213" i="2" s="1"/>
  <c r="Z213" i="2" s="1"/>
  <c r="X214" i="2"/>
  <c r="Y214" i="2" s="1"/>
  <c r="X215" i="2"/>
  <c r="Y215" i="2" s="1"/>
  <c r="Z215" i="2" s="1"/>
  <c r="X216" i="2"/>
  <c r="Y216" i="2" s="1"/>
  <c r="Z216" i="2" s="1"/>
  <c r="X217" i="2"/>
  <c r="Y217" i="2" s="1"/>
  <c r="X218" i="2"/>
  <c r="Y218" i="2" s="1"/>
  <c r="Z218" i="2" s="1"/>
  <c r="X219" i="2"/>
  <c r="Y219" i="2" s="1"/>
  <c r="X220" i="2"/>
  <c r="Y220" i="2" s="1"/>
  <c r="Z220" i="2" s="1"/>
  <c r="X221" i="2"/>
  <c r="Y221" i="2" s="1"/>
  <c r="X222" i="2"/>
  <c r="Y222" i="2" s="1"/>
  <c r="X223" i="2"/>
  <c r="Y223" i="2" s="1"/>
  <c r="X224" i="2"/>
  <c r="Y224" i="2" s="1"/>
  <c r="X225" i="2"/>
  <c r="Y225" i="2" s="1"/>
  <c r="Z225" i="2" s="1"/>
  <c r="X226" i="2"/>
  <c r="Y226" i="2" s="1"/>
  <c r="Z226" i="2" s="1"/>
  <c r="X227" i="2"/>
  <c r="Y227" i="2" s="1"/>
  <c r="X228" i="2"/>
  <c r="X229" i="2"/>
  <c r="Y229" i="2" s="1"/>
  <c r="X230" i="2"/>
  <c r="Y230" i="2" s="1"/>
  <c r="X231" i="2"/>
  <c r="Y231" i="2" s="1"/>
  <c r="Z231" i="2" s="1"/>
  <c r="X232" i="2"/>
  <c r="Y232" i="2" s="1"/>
  <c r="X233" i="2"/>
  <c r="Y233" i="2" s="1"/>
  <c r="X234" i="2"/>
  <c r="Y234" i="2" s="1"/>
  <c r="X235" i="2"/>
  <c r="Y235" i="2" s="1"/>
  <c r="X236" i="2"/>
  <c r="Y236" i="2" s="1"/>
  <c r="X237" i="2"/>
  <c r="Y237" i="2" s="1"/>
  <c r="Z237" i="2" s="1"/>
  <c r="X238" i="2"/>
  <c r="Y238" i="2" s="1"/>
  <c r="X239" i="2"/>
  <c r="Y239" i="2" s="1"/>
  <c r="Z239" i="2" s="1"/>
  <c r="X240" i="2"/>
  <c r="X241" i="2"/>
  <c r="Y241" i="2" s="1"/>
  <c r="X242" i="2"/>
  <c r="Y242" i="2" s="1"/>
  <c r="X243" i="2"/>
  <c r="Y243" i="2" s="1"/>
  <c r="Z243" i="2" s="1"/>
  <c r="X244" i="2"/>
  <c r="Y244" i="2" s="1"/>
  <c r="X245" i="2"/>
  <c r="Y245" i="2" s="1"/>
  <c r="X246" i="2"/>
  <c r="Y246" i="2" s="1"/>
  <c r="Z246" i="2" s="1"/>
  <c r="X247" i="2"/>
  <c r="Y247" i="2" s="1"/>
  <c r="X248" i="2"/>
  <c r="Y248" i="2" s="1"/>
  <c r="X249" i="2"/>
  <c r="Y249" i="2" s="1"/>
  <c r="Z249" i="2" s="1"/>
  <c r="X250" i="2"/>
  <c r="Y250" i="2" s="1"/>
  <c r="X251" i="2"/>
  <c r="X252" i="2"/>
  <c r="X253" i="2"/>
  <c r="Y253" i="2" s="1"/>
  <c r="X254" i="2"/>
  <c r="Y254" i="2" s="1"/>
  <c r="Z254" i="2" s="1"/>
  <c r="X255" i="2"/>
  <c r="Y255" i="2" s="1"/>
  <c r="X256" i="2"/>
  <c r="Y256" i="2" s="1"/>
  <c r="Z256" i="2" s="1"/>
  <c r="X257" i="2"/>
  <c r="Y257" i="2" s="1"/>
  <c r="Z257" i="2" s="1"/>
  <c r="X258" i="2"/>
  <c r="Y258" i="2" s="1"/>
  <c r="X259" i="2"/>
  <c r="Y259" i="2" s="1"/>
  <c r="X260" i="2"/>
  <c r="Y260" i="2" s="1"/>
  <c r="X261" i="2"/>
  <c r="Y261" i="2" s="1"/>
  <c r="X262" i="2"/>
  <c r="Y262" i="2" s="1"/>
  <c r="Z262" i="2" s="1"/>
  <c r="X263" i="2"/>
  <c r="Y263" i="2" s="1"/>
  <c r="X264" i="2"/>
  <c r="Y264" i="2" s="1"/>
  <c r="X265" i="2"/>
  <c r="Y265" i="2" s="1"/>
  <c r="X266" i="2"/>
  <c r="Y266" i="2" s="1"/>
  <c r="X267" i="2"/>
  <c r="Y267" i="2" s="1"/>
  <c r="X268" i="2"/>
  <c r="Y268" i="2" s="1"/>
  <c r="X269" i="2"/>
  <c r="Y269" i="2" s="1"/>
  <c r="X270" i="2"/>
  <c r="Y270" i="2" s="1"/>
  <c r="X271" i="2"/>
  <c r="Y271" i="2" s="1"/>
  <c r="X272" i="2"/>
  <c r="Y272" i="2" s="1"/>
  <c r="X273" i="2"/>
  <c r="Y273" i="2" s="1"/>
  <c r="X274" i="2"/>
  <c r="Y274" i="2" s="1"/>
  <c r="X275" i="2"/>
  <c r="Y275" i="2" s="1"/>
  <c r="X276" i="2"/>
  <c r="Y276" i="2" s="1"/>
  <c r="Z276" i="2" s="1"/>
  <c r="X277" i="2"/>
  <c r="Y277" i="2" s="1"/>
  <c r="Z277" i="2" s="1"/>
  <c r="X278" i="2"/>
  <c r="Y278" i="2" s="1"/>
  <c r="Z278" i="2" s="1"/>
  <c r="X279" i="2"/>
  <c r="Y279" i="2" s="1"/>
  <c r="Z279" i="2" s="1"/>
  <c r="X280" i="2"/>
  <c r="Y280" i="2" s="1"/>
  <c r="Z280" i="2" s="1"/>
  <c r="X281" i="2"/>
  <c r="Y281" i="2" s="1"/>
  <c r="Z281" i="2" s="1"/>
  <c r="X282" i="2"/>
  <c r="Y282" i="2" s="1"/>
  <c r="X283" i="2"/>
  <c r="Y283" i="2" s="1"/>
  <c r="X284" i="2"/>
  <c r="Y284" i="2" s="1"/>
  <c r="X285" i="2"/>
  <c r="Y285" i="2" s="1"/>
  <c r="X286" i="2"/>
  <c r="Y286" i="2" s="1"/>
  <c r="Z286" i="2" s="1"/>
  <c r="X287" i="2"/>
  <c r="X288" i="2"/>
  <c r="X289" i="2"/>
  <c r="Y289" i="2" s="1"/>
  <c r="X290" i="2"/>
  <c r="Y290" i="2" s="1"/>
  <c r="X291" i="2"/>
  <c r="Y291" i="2" s="1"/>
  <c r="Z291" i="2" s="1"/>
  <c r="X292" i="2"/>
  <c r="Y292" i="2" s="1"/>
  <c r="Z292" i="2" s="1"/>
  <c r="X293" i="2"/>
  <c r="X294" i="2"/>
  <c r="Y294" i="2" s="1"/>
  <c r="X295" i="2"/>
  <c r="Y295" i="2" s="1"/>
  <c r="X296" i="2"/>
  <c r="Y296" i="2" s="1"/>
  <c r="X297" i="2"/>
  <c r="Y297" i="2" s="1"/>
  <c r="Z297" i="2" s="1"/>
  <c r="X298" i="2"/>
  <c r="Y298" i="2" s="1"/>
  <c r="X299" i="2"/>
  <c r="X300" i="2"/>
  <c r="Y300" i="2" s="1"/>
  <c r="X301" i="2"/>
  <c r="Y301" i="2" s="1"/>
  <c r="Z301" i="2" s="1"/>
  <c r="X302" i="2"/>
  <c r="Y302" i="2" s="1"/>
  <c r="Z302" i="2" s="1"/>
  <c r="X303" i="2"/>
  <c r="Y303" i="2" s="1"/>
  <c r="X304" i="2"/>
  <c r="Y304" i="2" s="1"/>
  <c r="X305" i="2"/>
  <c r="Y305" i="2" s="1"/>
  <c r="X306" i="2"/>
  <c r="Y306" i="2" s="1"/>
  <c r="X307" i="2"/>
  <c r="Y307" i="2" s="1"/>
  <c r="X308" i="2"/>
  <c r="Y308" i="2" s="1"/>
  <c r="Z308" i="2" s="1"/>
  <c r="X309" i="2"/>
  <c r="Y309" i="2" s="1"/>
  <c r="Z309" i="2" s="1"/>
  <c r="X310" i="2"/>
  <c r="Y310" i="2" s="1"/>
  <c r="X311" i="2"/>
  <c r="Y311" i="2" s="1"/>
  <c r="Z311" i="2" s="1"/>
  <c r="X312" i="2"/>
  <c r="Y312" i="2" s="1"/>
  <c r="X313" i="2"/>
  <c r="Y313" i="2" s="1"/>
  <c r="X314" i="2"/>
  <c r="Y314" i="2" s="1"/>
  <c r="Z314" i="2" s="1"/>
  <c r="X315" i="2"/>
  <c r="Y315" i="2" s="1"/>
  <c r="Z315" i="2" s="1"/>
  <c r="X316" i="2"/>
  <c r="Y316" i="2" s="1"/>
  <c r="X317" i="2"/>
  <c r="Y317" i="2" s="1"/>
  <c r="Z317" i="2" s="1"/>
  <c r="X318" i="2"/>
  <c r="Y318" i="2" s="1"/>
  <c r="X319" i="2"/>
  <c r="Y319" i="2" s="1"/>
  <c r="Z319" i="2" s="1"/>
  <c r="X320" i="2"/>
  <c r="Y320" i="2" s="1"/>
  <c r="X321" i="2"/>
  <c r="Y321" i="2" s="1"/>
  <c r="Z321" i="2" s="1"/>
  <c r="X322" i="2"/>
  <c r="Y322" i="2" s="1"/>
  <c r="X323" i="2"/>
  <c r="Y323" i="2" s="1"/>
  <c r="X324" i="2"/>
  <c r="X325" i="2"/>
  <c r="Y325" i="2" s="1"/>
  <c r="X326" i="2"/>
  <c r="Y326" i="2" s="1"/>
  <c r="X327" i="2"/>
  <c r="Y327" i="2" s="1"/>
  <c r="X328" i="2"/>
  <c r="Y328" i="2" s="1"/>
  <c r="Z328" i="2" s="1"/>
  <c r="X329" i="2"/>
  <c r="Y329" i="2" s="1"/>
  <c r="X330" i="2"/>
  <c r="Y330" i="2" s="1"/>
  <c r="X331" i="2"/>
  <c r="Y331" i="2" s="1"/>
  <c r="Z331" i="2" s="1"/>
  <c r="X332" i="2"/>
  <c r="Y332" i="2" s="1"/>
  <c r="X333" i="2"/>
  <c r="Y333" i="2" s="1"/>
  <c r="X334" i="2"/>
  <c r="Y334" i="2" s="1"/>
  <c r="X335" i="2"/>
  <c r="X336" i="2"/>
  <c r="X337" i="2"/>
  <c r="Y337" i="2" s="1"/>
  <c r="X338" i="2"/>
  <c r="Y338" i="2" s="1"/>
  <c r="X339" i="2"/>
  <c r="Y339" i="2" s="1"/>
  <c r="X340" i="2"/>
  <c r="Y340" i="2" s="1"/>
  <c r="X341" i="2"/>
  <c r="Y341" i="2" s="1"/>
  <c r="Z341" i="2" s="1"/>
  <c r="X342" i="2"/>
  <c r="Y342" i="2" s="1"/>
  <c r="X343" i="2"/>
  <c r="Y343" i="2" s="1"/>
  <c r="X344" i="2"/>
  <c r="Y344" i="2" s="1"/>
  <c r="X345" i="2"/>
  <c r="Y345" i="2" s="1"/>
  <c r="Z345" i="2" s="1"/>
  <c r="X346" i="2"/>
  <c r="Y346" i="2" s="1"/>
  <c r="X347" i="2"/>
  <c r="Y347" i="2" s="1"/>
  <c r="X348" i="2"/>
  <c r="Y348" i="2" s="1"/>
  <c r="Z348" i="2" s="1"/>
  <c r="X349" i="2"/>
  <c r="Y349" i="2" s="1"/>
  <c r="X350" i="2"/>
  <c r="Y350" i="2" s="1"/>
  <c r="X351" i="2"/>
  <c r="Y351" i="2" s="1"/>
  <c r="X352" i="2"/>
  <c r="Y352" i="2" s="1"/>
  <c r="X353" i="2"/>
  <c r="Y353" i="2" s="1"/>
  <c r="X354" i="2"/>
  <c r="Y354" i="2" s="1"/>
  <c r="X355" i="2"/>
  <c r="Y355" i="2" s="1"/>
  <c r="X356" i="2"/>
  <c r="Y356" i="2" s="1"/>
  <c r="X357" i="2"/>
  <c r="Y357" i="2" s="1"/>
  <c r="X358" i="2"/>
  <c r="Y358" i="2" s="1"/>
  <c r="X359" i="2"/>
  <c r="Y359" i="2" s="1"/>
  <c r="Z359" i="2" s="1"/>
  <c r="X360" i="2"/>
  <c r="Y360" i="2" s="1"/>
  <c r="X361" i="2"/>
  <c r="Y361" i="2" s="1"/>
  <c r="X362" i="2"/>
  <c r="Y362" i="2" s="1"/>
  <c r="X363" i="2"/>
  <c r="Y363" i="2" s="1"/>
  <c r="Z363" i="2" s="1"/>
  <c r="X364" i="2"/>
  <c r="Y364" i="2" s="1"/>
  <c r="Z364" i="2" s="1"/>
  <c r="X365" i="2"/>
  <c r="Y365" i="2" s="1"/>
  <c r="Z365" i="2" s="1"/>
  <c r="X366" i="2"/>
  <c r="Y366" i="2" s="1"/>
  <c r="X367" i="2"/>
  <c r="Y367" i="2" s="1"/>
  <c r="X368" i="2"/>
  <c r="Y368" i="2" s="1"/>
  <c r="Z368" i="2" s="1"/>
  <c r="X369" i="2"/>
  <c r="Y369" i="2" s="1"/>
  <c r="Z369" i="2" s="1"/>
  <c r="X370" i="2"/>
  <c r="Y370" i="2" s="1"/>
  <c r="Z370" i="2" s="1"/>
  <c r="X371" i="2"/>
  <c r="X372" i="2"/>
  <c r="X373" i="2"/>
  <c r="X374" i="2"/>
  <c r="Y374" i="2" s="1"/>
  <c r="X375" i="2"/>
  <c r="Y375" i="2" s="1"/>
  <c r="X376" i="2"/>
  <c r="Y376" i="2" s="1"/>
  <c r="X377" i="2"/>
  <c r="Y377" i="2" s="1"/>
  <c r="X378" i="2"/>
  <c r="Y378" i="2" s="1"/>
  <c r="Z378" i="2" s="1"/>
  <c r="X379" i="2"/>
  <c r="Y379" i="2" s="1"/>
  <c r="X380" i="2"/>
  <c r="Y380" i="2" s="1"/>
  <c r="Z380" i="2" s="1"/>
  <c r="X381" i="2"/>
  <c r="Y381" i="2" s="1"/>
  <c r="X382" i="2"/>
  <c r="Y382" i="2" s="1"/>
  <c r="X383" i="2"/>
  <c r="Y383" i="2" s="1"/>
  <c r="X384" i="2"/>
  <c r="X385" i="2"/>
  <c r="Y385" i="2" s="1"/>
  <c r="X386" i="2"/>
  <c r="Y386" i="2" s="1"/>
  <c r="X387" i="2"/>
  <c r="Y387" i="2" s="1"/>
  <c r="X388" i="2"/>
  <c r="Y388" i="2" s="1"/>
  <c r="X389" i="2"/>
  <c r="Y389" i="2" s="1"/>
  <c r="Z389" i="2" s="1"/>
  <c r="X390" i="2"/>
  <c r="Y390" i="2" s="1"/>
  <c r="Z390" i="2" s="1"/>
  <c r="X391" i="2"/>
  <c r="Y391" i="2" s="1"/>
  <c r="X392" i="2"/>
  <c r="X393" i="2"/>
  <c r="Y393" i="2" s="1"/>
  <c r="X394" i="2"/>
  <c r="Y394" i="2" s="1"/>
  <c r="X395" i="2"/>
  <c r="Y395" i="2" s="1"/>
  <c r="Z395" i="2" s="1"/>
  <c r="X396" i="2"/>
  <c r="Y396" i="2" s="1"/>
  <c r="X397" i="2"/>
  <c r="Y397" i="2" s="1"/>
  <c r="X398" i="2"/>
  <c r="Y398" i="2" s="1"/>
  <c r="Z398" i="2" s="1"/>
  <c r="X399" i="2"/>
  <c r="Y399" i="2" s="1"/>
  <c r="X400" i="2"/>
  <c r="Y400" i="2" s="1"/>
  <c r="X401" i="2"/>
  <c r="Y401" i="2" s="1"/>
  <c r="X402" i="2"/>
  <c r="Y402" i="2" s="1"/>
  <c r="X403" i="2"/>
  <c r="Y403" i="2" s="1"/>
  <c r="Z403" i="2" s="1"/>
  <c r="X404" i="2"/>
  <c r="Y404" i="2" s="1"/>
  <c r="Z404" i="2" s="1"/>
  <c r="X405" i="2"/>
  <c r="Y405" i="2" s="1"/>
  <c r="X406" i="2"/>
  <c r="Y406" i="2" s="1"/>
  <c r="X407" i="2"/>
  <c r="Y407" i="2" s="1"/>
  <c r="X408" i="2"/>
  <c r="Y408" i="2" s="1"/>
  <c r="X409" i="2"/>
  <c r="Y409" i="2" s="1"/>
  <c r="Z409" i="2" s="1"/>
  <c r="X410" i="2"/>
  <c r="Y410" i="2" s="1"/>
  <c r="X411" i="2"/>
  <c r="Y411" i="2" s="1"/>
  <c r="X412" i="2"/>
  <c r="Y412" i="2" s="1"/>
  <c r="X413" i="2"/>
  <c r="Y413" i="2" s="1"/>
  <c r="Z413" i="2" s="1"/>
  <c r="X414" i="2"/>
  <c r="Y414" i="2" s="1"/>
  <c r="X415" i="2"/>
  <c r="Y415" i="2" s="1"/>
  <c r="X416" i="2"/>
  <c r="Y416" i="2" s="1"/>
  <c r="X417" i="2"/>
  <c r="Y417" i="2" s="1"/>
  <c r="X418" i="2"/>
  <c r="Y418" i="2" s="1"/>
  <c r="Z418" i="2" s="1"/>
  <c r="X419" i="2"/>
  <c r="Y419" i="2" s="1"/>
  <c r="Z419" i="2" s="1"/>
  <c r="X420" i="2"/>
  <c r="X421" i="2"/>
  <c r="Y421" i="2" s="1"/>
  <c r="X422" i="2"/>
  <c r="Y422" i="2" s="1"/>
  <c r="X423" i="2"/>
  <c r="Y423" i="2" s="1"/>
  <c r="X424" i="2"/>
  <c r="Y424" i="2" s="1"/>
  <c r="X425" i="2"/>
  <c r="Y425" i="2" s="1"/>
  <c r="Z425" i="2" s="1"/>
  <c r="X426" i="2"/>
  <c r="Y426" i="2" s="1"/>
  <c r="X427" i="2"/>
  <c r="Y427" i="2" s="1"/>
  <c r="Z427" i="2" s="1"/>
  <c r="X428" i="2"/>
  <c r="Y428" i="2" s="1"/>
  <c r="X429" i="2"/>
  <c r="Y429" i="2" s="1"/>
  <c r="X430" i="2"/>
  <c r="Y430" i="2" s="1"/>
  <c r="X431" i="2"/>
  <c r="X432" i="2"/>
  <c r="X433" i="2"/>
  <c r="Y433" i="2" s="1"/>
  <c r="X434" i="2"/>
  <c r="Y434" i="2" s="1"/>
  <c r="X435" i="2"/>
  <c r="Y435" i="2" s="1"/>
  <c r="X436" i="2"/>
  <c r="Y436" i="2" s="1"/>
  <c r="X437" i="2"/>
  <c r="X438" i="2"/>
  <c r="Y438" i="2" s="1"/>
  <c r="X439" i="2"/>
  <c r="Y439" i="2" s="1"/>
  <c r="X440" i="2"/>
  <c r="Y440" i="2" s="1"/>
  <c r="Z440" i="2" s="1"/>
  <c r="X441" i="2"/>
  <c r="Y441" i="2" s="1"/>
  <c r="X442" i="2"/>
  <c r="Y442" i="2" s="1"/>
  <c r="Z442" i="2" s="1"/>
  <c r="X443" i="2"/>
  <c r="Y443" i="2" s="1"/>
  <c r="Z443" i="2" s="1"/>
  <c r="X444" i="2"/>
  <c r="Y444" i="2" s="1"/>
  <c r="Z444" i="2" s="1"/>
  <c r="X445" i="2"/>
  <c r="Y445" i="2" s="1"/>
  <c r="X446" i="2"/>
  <c r="Y446" i="2" s="1"/>
  <c r="X447" i="2"/>
  <c r="Y447" i="2" s="1"/>
  <c r="Z447" i="2" s="1"/>
  <c r="X448" i="2"/>
  <c r="Y448" i="2" s="1"/>
  <c r="Z448" i="2" s="1"/>
  <c r="X449" i="2"/>
  <c r="Y449" i="2" s="1"/>
  <c r="X450" i="2"/>
  <c r="Y450" i="2" s="1"/>
  <c r="X451" i="2"/>
  <c r="Y451" i="2" s="1"/>
  <c r="Z451" i="2" s="1"/>
  <c r="X452" i="2"/>
  <c r="Y452" i="2" s="1"/>
  <c r="Z452" i="2" s="1"/>
  <c r="X453" i="2"/>
  <c r="Y453" i="2" s="1"/>
  <c r="X454" i="2"/>
  <c r="Y454" i="2" s="1"/>
  <c r="X455" i="2"/>
  <c r="Y455" i="2" s="1"/>
  <c r="X456" i="2"/>
  <c r="X457" i="2"/>
  <c r="Y457" i="2" s="1"/>
  <c r="X458" i="2"/>
  <c r="Y458" i="2" s="1"/>
  <c r="X459" i="2"/>
  <c r="Y459" i="2" s="1"/>
  <c r="X460" i="2"/>
  <c r="Y460" i="2" s="1"/>
  <c r="X461" i="2"/>
  <c r="Y461" i="2" s="1"/>
  <c r="X462" i="2"/>
  <c r="Y462" i="2" s="1"/>
  <c r="Z462" i="2" s="1"/>
  <c r="X463" i="2"/>
  <c r="Y463" i="2" s="1"/>
  <c r="X464" i="2"/>
  <c r="Y464" i="2" s="1"/>
  <c r="X465" i="2"/>
  <c r="Y465" i="2" s="1"/>
  <c r="Z465" i="2" s="1"/>
  <c r="X466" i="2"/>
  <c r="Y466" i="2" s="1"/>
  <c r="Z466" i="2" s="1"/>
  <c r="X467" i="2"/>
  <c r="Y467" i="2" s="1"/>
  <c r="X468" i="2"/>
  <c r="X469" i="2"/>
  <c r="Y469" i="2" s="1"/>
  <c r="X470" i="2"/>
  <c r="Y470" i="2" s="1"/>
  <c r="X471" i="2"/>
  <c r="Y471" i="2" s="1"/>
  <c r="X472" i="2"/>
  <c r="Y472" i="2" s="1"/>
  <c r="X473" i="2"/>
  <c r="Y473" i="2" s="1"/>
  <c r="X474" i="2"/>
  <c r="Y474" i="2" s="1"/>
  <c r="X475" i="2"/>
  <c r="Y475" i="2" s="1"/>
  <c r="Z475" i="2" s="1"/>
  <c r="X476" i="2"/>
  <c r="Y476" i="2" s="1"/>
  <c r="X477" i="2"/>
  <c r="Y477" i="2" s="1"/>
  <c r="X478" i="2"/>
  <c r="Y478" i="2" s="1"/>
  <c r="X479" i="2"/>
  <c r="X480" i="2"/>
  <c r="X481" i="2"/>
  <c r="Y481" i="2" s="1"/>
  <c r="X482" i="2"/>
  <c r="Y482" i="2" s="1"/>
  <c r="Z482" i="2" s="1"/>
  <c r="X483" i="2"/>
  <c r="Y483" i="2" s="1"/>
  <c r="X484" i="2"/>
  <c r="Y484" i="2" s="1"/>
  <c r="X485" i="2"/>
  <c r="Y485" i="2" s="1"/>
  <c r="X486" i="2"/>
  <c r="Y486" i="2" s="1"/>
  <c r="X487" i="2"/>
  <c r="Y487" i="2" s="1"/>
  <c r="Z487" i="2" s="1"/>
  <c r="X488" i="2"/>
  <c r="Y488" i="2" s="1"/>
  <c r="X489" i="2"/>
  <c r="Y489" i="2" s="1"/>
  <c r="X490" i="2"/>
  <c r="Y490" i="2" s="1"/>
  <c r="X491" i="2"/>
  <c r="Y491" i="2" s="1"/>
  <c r="X492" i="2"/>
  <c r="Y492" i="2" s="1"/>
  <c r="X493" i="2"/>
  <c r="Y493" i="2" s="1"/>
  <c r="Z493" i="2" s="1"/>
  <c r="X494" i="2"/>
  <c r="Y494" i="2" s="1"/>
  <c r="X495" i="2"/>
  <c r="Y495" i="2" s="1"/>
  <c r="X496" i="2"/>
  <c r="Y496" i="2" s="1"/>
  <c r="X497" i="2"/>
  <c r="Y497" i="2" s="1"/>
  <c r="X498" i="2"/>
  <c r="Y498" i="2" s="1"/>
  <c r="Z498" i="2" s="1"/>
  <c r="X499" i="2"/>
  <c r="Y499" i="2" s="1"/>
  <c r="X500" i="2"/>
  <c r="Y500" i="2" s="1"/>
  <c r="Z500" i="2" s="1"/>
  <c r="X501" i="2"/>
  <c r="Y501" i="2" s="1"/>
  <c r="X502" i="2"/>
  <c r="Y502" i="2" s="1"/>
  <c r="X503" i="2"/>
  <c r="Y503" i="2" s="1"/>
  <c r="Z503" i="2" s="1"/>
  <c r="X504" i="2"/>
  <c r="X505" i="2"/>
  <c r="Y505" i="2" s="1"/>
  <c r="Z505" i="2" s="1"/>
  <c r="X506" i="2"/>
  <c r="Y506" i="2" s="1"/>
  <c r="X507" i="2"/>
  <c r="Y507" i="2" s="1"/>
  <c r="Z507" i="2" s="1"/>
  <c r="X508" i="2"/>
  <c r="Y508" i="2" s="1"/>
  <c r="Z508" i="2" s="1"/>
  <c r="X509" i="2"/>
  <c r="Y509" i="2" s="1"/>
  <c r="X510" i="2"/>
  <c r="Y510" i="2" s="1"/>
  <c r="X511" i="2"/>
  <c r="Y511" i="2" s="1"/>
  <c r="X512" i="2"/>
  <c r="Y512" i="2" s="1"/>
  <c r="X513" i="2"/>
  <c r="Y513" i="2" s="1"/>
  <c r="Z513" i="2" s="1"/>
  <c r="X514" i="2"/>
  <c r="Y514" i="2" s="1"/>
  <c r="X515" i="2"/>
  <c r="X516" i="2"/>
  <c r="X517" i="2"/>
  <c r="X518" i="2"/>
  <c r="Y518" i="2" s="1"/>
  <c r="X519" i="2"/>
  <c r="Y519" i="2" s="1"/>
  <c r="Z519" i="2" s="1"/>
  <c r="X520" i="2"/>
  <c r="Y520" i="2" s="1"/>
  <c r="Z520" i="2" s="1"/>
  <c r="X521" i="2"/>
  <c r="Y521" i="2" s="1"/>
  <c r="Z521" i="2" s="1"/>
  <c r="X522" i="2"/>
  <c r="Y522" i="2" s="1"/>
  <c r="X523" i="2"/>
  <c r="Y523" i="2" s="1"/>
  <c r="X524" i="2"/>
  <c r="Y524" i="2" s="1"/>
  <c r="Z524" i="2" s="1"/>
  <c r="X525" i="2"/>
  <c r="Y525" i="2" s="1"/>
  <c r="X526" i="2"/>
  <c r="Y526" i="2" s="1"/>
  <c r="Z526" i="2" s="1"/>
  <c r="X527" i="2"/>
  <c r="X528" i="2"/>
  <c r="Y528" i="2" s="1"/>
  <c r="Z528" i="2" s="1"/>
  <c r="X529" i="2"/>
  <c r="Y529" i="2" s="1"/>
  <c r="Z529" i="2" s="1"/>
  <c r="X530" i="2"/>
  <c r="Y530" i="2" s="1"/>
  <c r="Z530" i="2" s="1"/>
  <c r="X531" i="2"/>
  <c r="Y531" i="2" s="1"/>
  <c r="Z531" i="2" s="1"/>
  <c r="X532" i="2"/>
  <c r="Y532" i="2" s="1"/>
  <c r="X533" i="2"/>
  <c r="Y533" i="2" s="1"/>
  <c r="X534" i="2"/>
  <c r="Y534" i="2" s="1"/>
  <c r="X535" i="2"/>
  <c r="Y535" i="2" s="1"/>
  <c r="Z535" i="2" s="1"/>
  <c r="X536" i="2"/>
  <c r="Y536" i="2" s="1"/>
  <c r="X537" i="2"/>
  <c r="Y537" i="2" s="1"/>
  <c r="X538" i="2"/>
  <c r="Y538" i="2" s="1"/>
  <c r="X539" i="2"/>
  <c r="Y539" i="2" s="1"/>
  <c r="X540" i="2"/>
  <c r="Y540" i="2" s="1"/>
  <c r="X541" i="2"/>
  <c r="Y541" i="2" s="1"/>
  <c r="X542" i="2"/>
  <c r="Y542" i="2" s="1"/>
  <c r="X543" i="2"/>
  <c r="Y543" i="2" s="1"/>
  <c r="Z543" i="2" s="1"/>
  <c r="X544" i="2"/>
  <c r="Y544" i="2" s="1"/>
  <c r="X545" i="2"/>
  <c r="Y545" i="2" s="1"/>
  <c r="X546" i="2"/>
  <c r="Y546" i="2" s="1"/>
  <c r="X547" i="2"/>
  <c r="Y547" i="2" s="1"/>
  <c r="X548" i="2"/>
  <c r="Y548" i="2" s="1"/>
  <c r="X549" i="2"/>
  <c r="Y549" i="2" s="1"/>
  <c r="Z549" i="2" s="1"/>
  <c r="X550" i="2"/>
  <c r="Y550" i="2" s="1"/>
  <c r="X551" i="2"/>
  <c r="Y551" i="2" s="1"/>
  <c r="Z551" i="2" s="1"/>
  <c r="X552" i="2"/>
  <c r="X553" i="2"/>
  <c r="Y553" i="2" s="1"/>
  <c r="X554" i="2"/>
  <c r="Y554" i="2" s="1"/>
  <c r="Z554" i="2" s="1"/>
  <c r="X555" i="2"/>
  <c r="Y555" i="2" s="1"/>
  <c r="X556" i="2"/>
  <c r="Y556" i="2" s="1"/>
  <c r="Z556" i="2" s="1"/>
  <c r="X557" i="2"/>
  <c r="Y557" i="2" s="1"/>
  <c r="X558" i="2"/>
  <c r="Y558" i="2" s="1"/>
  <c r="Z558" i="2" s="1"/>
  <c r="X559" i="2"/>
  <c r="Y559" i="2" s="1"/>
  <c r="Z559" i="2" s="1"/>
  <c r="X560" i="2"/>
  <c r="Y560" i="2" s="1"/>
  <c r="Z560" i="2" s="1"/>
  <c r="X561" i="2"/>
  <c r="Y561" i="2" s="1"/>
  <c r="Z561" i="2" s="1"/>
  <c r="X562" i="2"/>
  <c r="Y562" i="2" s="1"/>
  <c r="X563" i="2"/>
  <c r="X564" i="2"/>
  <c r="X565" i="2"/>
  <c r="Y565" i="2" s="1"/>
  <c r="X566" i="2"/>
  <c r="Y566" i="2" s="1"/>
  <c r="X567" i="2"/>
  <c r="Y567" i="2" s="1"/>
  <c r="X568" i="2"/>
  <c r="Y568" i="2" s="1"/>
  <c r="X569" i="2"/>
  <c r="Y569" i="2" s="1"/>
  <c r="X570" i="2"/>
  <c r="Y570" i="2" s="1"/>
  <c r="X571" i="2"/>
  <c r="Y571" i="2" s="1"/>
  <c r="X572" i="2"/>
  <c r="Y572" i="2" s="1"/>
  <c r="Z572" i="2" s="1"/>
  <c r="X573" i="2"/>
  <c r="Y573" i="2" s="1"/>
  <c r="X574" i="2"/>
  <c r="Y574" i="2" s="1"/>
  <c r="Z574" i="2" s="1"/>
  <c r="X575" i="2"/>
  <c r="Y575" i="2" s="1"/>
  <c r="X576" i="2"/>
  <c r="X577" i="2"/>
  <c r="Y577" i="2" s="1"/>
  <c r="X578" i="2"/>
  <c r="Y578" i="2" s="1"/>
  <c r="X579" i="2"/>
  <c r="Y579" i="2" s="1"/>
  <c r="X580" i="2"/>
  <c r="Y580" i="2" s="1"/>
  <c r="X581" i="2"/>
  <c r="Y581" i="2" s="1"/>
  <c r="X582" i="2"/>
  <c r="Y582" i="2" s="1"/>
  <c r="X583" i="2"/>
  <c r="Y583" i="2" s="1"/>
  <c r="Z583" i="2" s="1"/>
  <c r="X584" i="2"/>
  <c r="Y584" i="2" s="1"/>
  <c r="Z584" i="2" s="1"/>
  <c r="X585" i="2"/>
  <c r="Y585" i="2" s="1"/>
  <c r="X586" i="2"/>
  <c r="Y586" i="2" s="1"/>
  <c r="X587" i="2"/>
  <c r="X588" i="2"/>
  <c r="Y588" i="2" s="1"/>
  <c r="Z588" i="2" s="1"/>
  <c r="X589" i="2"/>
  <c r="Y589" i="2" s="1"/>
  <c r="Z589" i="2" s="1"/>
  <c r="X590" i="2"/>
  <c r="Y590" i="2" s="1"/>
  <c r="X591" i="2"/>
  <c r="Y591" i="2" s="1"/>
  <c r="X592" i="2"/>
  <c r="Y592" i="2" s="1"/>
  <c r="X593" i="2"/>
  <c r="Y593" i="2" s="1"/>
  <c r="Z593" i="2" s="1"/>
  <c r="X594" i="2"/>
  <c r="Y594" i="2" s="1"/>
  <c r="X595" i="2"/>
  <c r="Y595" i="2" s="1"/>
  <c r="Z595" i="2" s="1"/>
  <c r="X596" i="2"/>
  <c r="Y596" i="2" s="1"/>
  <c r="X597" i="2"/>
  <c r="Y597" i="2" s="1"/>
  <c r="X598" i="2"/>
  <c r="Y598" i="2" s="1"/>
  <c r="X599" i="2"/>
  <c r="Y599" i="2" s="1"/>
  <c r="Z599" i="2" s="1"/>
  <c r="X600" i="2"/>
  <c r="Y600" i="2" s="1"/>
  <c r="X601" i="2"/>
  <c r="Y601" i="2" s="1"/>
  <c r="Z601" i="2" s="1"/>
  <c r="X602" i="2"/>
  <c r="Y602" i="2" s="1"/>
  <c r="X603" i="2"/>
  <c r="Y603" i="2" s="1"/>
  <c r="X604" i="2"/>
  <c r="Y604" i="2" s="1"/>
  <c r="X605" i="2"/>
  <c r="Y605" i="2" s="1"/>
  <c r="X606" i="2"/>
  <c r="Y606" i="2" s="1"/>
  <c r="Z606" i="2" s="1"/>
  <c r="X607" i="2"/>
  <c r="Y607" i="2" s="1"/>
  <c r="Z607" i="2" s="1"/>
  <c r="X608" i="2"/>
  <c r="Y608" i="2" s="1"/>
  <c r="X609" i="2"/>
  <c r="Y609" i="2" s="1"/>
  <c r="X610" i="2"/>
  <c r="Y610" i="2" s="1"/>
  <c r="X611" i="2"/>
  <c r="Y611" i="2" s="1"/>
  <c r="Z611" i="2" s="1"/>
  <c r="X612" i="2"/>
  <c r="Y612" i="2" s="1"/>
  <c r="X613" i="2"/>
  <c r="Y613" i="2" s="1"/>
  <c r="X614" i="2"/>
  <c r="Y614" i="2" s="1"/>
  <c r="X615" i="2"/>
  <c r="Y615" i="2" s="1"/>
  <c r="X616" i="2"/>
  <c r="Y616" i="2" s="1"/>
  <c r="Z616" i="2" s="1"/>
  <c r="X617" i="2"/>
  <c r="Y617" i="2" s="1"/>
  <c r="X618" i="2"/>
  <c r="Y618" i="2" s="1"/>
  <c r="X619" i="2"/>
  <c r="Y619" i="2" s="1"/>
  <c r="X620" i="2"/>
  <c r="Y620" i="2" s="1"/>
  <c r="Z620" i="2" s="1"/>
  <c r="X621" i="2"/>
  <c r="Y621" i="2" s="1"/>
  <c r="X622" i="2"/>
  <c r="Y622" i="2" s="1"/>
  <c r="Z622" i="2" s="1"/>
  <c r="X623" i="2"/>
  <c r="Y623" i="2" s="1"/>
  <c r="Z623" i="2" s="1"/>
  <c r="X624" i="2"/>
  <c r="X625" i="2"/>
  <c r="Y625" i="2" s="1"/>
  <c r="X626" i="2"/>
  <c r="Y626" i="2" s="1"/>
  <c r="X627" i="2"/>
  <c r="Y627" i="2" s="1"/>
  <c r="X628" i="2"/>
  <c r="Y628" i="2" s="1"/>
  <c r="X629" i="2"/>
  <c r="Y629" i="2" s="1"/>
  <c r="X630" i="2"/>
  <c r="Y630" i="2" s="1"/>
  <c r="Z630" i="2" s="1"/>
  <c r="X631" i="2"/>
  <c r="Y631" i="2" s="1"/>
  <c r="X632" i="2"/>
  <c r="Y632" i="2" s="1"/>
  <c r="X633" i="2"/>
  <c r="Y633" i="2" s="1"/>
  <c r="X634" i="2"/>
  <c r="Y634" i="2" s="1"/>
  <c r="X635" i="2"/>
  <c r="X636" i="2"/>
  <c r="X637" i="2"/>
  <c r="Y637" i="2" s="1"/>
  <c r="Z637" i="2" s="1"/>
  <c r="X638" i="2"/>
  <c r="Y638" i="2" s="1"/>
  <c r="X639" i="2"/>
  <c r="Y639" i="2" s="1"/>
  <c r="X640" i="2"/>
  <c r="Y640" i="2" s="1"/>
  <c r="X641" i="2"/>
  <c r="Y641" i="2" s="1"/>
  <c r="Z641" i="2" s="1"/>
  <c r="X642" i="2"/>
  <c r="Y642" i="2" s="1"/>
  <c r="Z642" i="2" s="1"/>
  <c r="X643" i="2"/>
  <c r="Y643" i="2" s="1"/>
  <c r="X644" i="2"/>
  <c r="Y644" i="2" s="1"/>
  <c r="X645" i="2"/>
  <c r="Y645" i="2" s="1"/>
  <c r="X646" i="2"/>
  <c r="Y646" i="2" s="1"/>
  <c r="X647" i="2"/>
  <c r="Y647" i="2" s="1"/>
  <c r="Z647" i="2" s="1"/>
  <c r="X648" i="2"/>
  <c r="X649" i="2"/>
  <c r="Y649" i="2" s="1"/>
  <c r="Z649" i="2" s="1"/>
  <c r="X650" i="2"/>
  <c r="Y650" i="2" s="1"/>
  <c r="X651" i="2"/>
  <c r="Y651" i="2" s="1"/>
  <c r="X652" i="2"/>
  <c r="Y652" i="2" s="1"/>
  <c r="X653" i="2"/>
  <c r="Y653" i="2" s="1"/>
  <c r="Z653" i="2" s="1"/>
  <c r="X654" i="2"/>
  <c r="Y654" i="2" s="1"/>
  <c r="X655" i="2"/>
  <c r="Y655" i="2" s="1"/>
  <c r="Z655" i="2" s="1"/>
  <c r="X656" i="2"/>
  <c r="Y656" i="2" s="1"/>
  <c r="Z656" i="2" s="1"/>
  <c r="X657" i="2"/>
  <c r="Y657" i="2" s="1"/>
  <c r="X658" i="2"/>
  <c r="Y658" i="2" s="1"/>
  <c r="X659" i="2"/>
  <c r="Y659" i="2" s="1"/>
  <c r="X660" i="2"/>
  <c r="Y660" i="2" s="1"/>
  <c r="X661" i="2"/>
  <c r="Y661" i="2" s="1"/>
  <c r="X662" i="2"/>
  <c r="Y662" i="2" s="1"/>
  <c r="X663" i="2"/>
  <c r="Y663" i="2" s="1"/>
  <c r="X664" i="2"/>
  <c r="Y664" i="2" s="1"/>
  <c r="X665" i="2"/>
  <c r="Y665" i="2" s="1"/>
  <c r="X666" i="2"/>
  <c r="Y666" i="2" s="1"/>
  <c r="X667" i="2"/>
  <c r="Y667" i="2" s="1"/>
  <c r="X668" i="2"/>
  <c r="Y668" i="2" s="1"/>
  <c r="X669" i="2"/>
  <c r="Y669" i="2" s="1"/>
  <c r="Z669" i="2" s="1"/>
  <c r="X670" i="2"/>
  <c r="Y670" i="2" s="1"/>
  <c r="X671" i="2"/>
  <c r="X672" i="2"/>
  <c r="Y672" i="2" s="1"/>
  <c r="X673" i="2"/>
  <c r="Y673" i="2" s="1"/>
  <c r="Z673" i="2" s="1"/>
  <c r="X674" i="2"/>
  <c r="Y674" i="2" s="1"/>
  <c r="X675" i="2"/>
  <c r="Y675" i="2" s="1"/>
  <c r="X676" i="2"/>
  <c r="Y676" i="2" s="1"/>
  <c r="X677" i="2"/>
  <c r="Y677" i="2" s="1"/>
  <c r="Z677" i="2" s="1"/>
  <c r="X678" i="2"/>
  <c r="Y678" i="2" s="1"/>
  <c r="Z678" i="2" s="1"/>
  <c r="X679" i="2"/>
  <c r="Y679" i="2" s="1"/>
  <c r="Z679" i="2" s="1"/>
  <c r="X680" i="2"/>
  <c r="Y680" i="2" s="1"/>
  <c r="X681" i="2"/>
  <c r="Y681" i="2" s="1"/>
  <c r="Z681" i="2" s="1"/>
  <c r="X682" i="2"/>
  <c r="Y682" i="2" s="1"/>
  <c r="X683" i="2"/>
  <c r="X684" i="2"/>
  <c r="X685" i="2"/>
  <c r="Y685" i="2" s="1"/>
  <c r="X686" i="2"/>
  <c r="Y686" i="2" s="1"/>
  <c r="X687" i="2"/>
  <c r="Y687" i="2" s="1"/>
  <c r="Z687" i="2" s="1"/>
  <c r="X688" i="2"/>
  <c r="Y688" i="2" s="1"/>
  <c r="Z688" i="2" s="1"/>
  <c r="X689" i="2"/>
  <c r="Y689" i="2" s="1"/>
  <c r="Z689" i="2" s="1"/>
  <c r="X690" i="2"/>
  <c r="Y690" i="2" s="1"/>
  <c r="X691" i="2"/>
  <c r="Y691" i="2" s="1"/>
  <c r="Z691" i="2" s="1"/>
  <c r="X692" i="2"/>
  <c r="Y692" i="2" s="1"/>
  <c r="Z692" i="2" s="1"/>
  <c r="X693" i="2"/>
  <c r="Y693" i="2" s="1"/>
  <c r="X694" i="2"/>
  <c r="Y694" i="2" s="1"/>
  <c r="Z694" i="2" s="1"/>
  <c r="X695" i="2"/>
  <c r="Y695" i="2" s="1"/>
  <c r="X696" i="2"/>
  <c r="X697" i="2"/>
  <c r="Y697" i="2" s="1"/>
  <c r="Z697" i="2" s="1"/>
  <c r="X698" i="2"/>
  <c r="Y698" i="2" s="1"/>
  <c r="X699" i="2"/>
  <c r="Y699" i="2" s="1"/>
  <c r="X700" i="2"/>
  <c r="Y700" i="2" s="1"/>
  <c r="X701" i="2"/>
  <c r="Y701" i="2" s="1"/>
  <c r="X702" i="2"/>
  <c r="Y702" i="2" s="1"/>
  <c r="X703" i="2"/>
  <c r="X704" i="2"/>
  <c r="Y704" i="2" s="1"/>
  <c r="X705" i="2"/>
  <c r="Y705" i="2" s="1"/>
  <c r="X706" i="2"/>
  <c r="Y706" i="2" s="1"/>
  <c r="X707" i="2"/>
  <c r="Y707" i="2" s="1"/>
  <c r="Z707" i="2" s="1"/>
  <c r="X708" i="2"/>
  <c r="Y708" i="2" s="1"/>
  <c r="Z708" i="2" s="1"/>
  <c r="X709" i="2"/>
  <c r="Y709" i="2" s="1"/>
  <c r="X710" i="2"/>
  <c r="Y710" i="2" s="1"/>
  <c r="X711" i="2"/>
  <c r="Y711" i="2" s="1"/>
  <c r="X712" i="2"/>
  <c r="Y712" i="2" s="1"/>
  <c r="X713" i="2"/>
  <c r="Y713" i="2" s="1"/>
  <c r="X714" i="2"/>
  <c r="Y714" i="2" s="1"/>
  <c r="X715" i="2"/>
  <c r="Y715" i="2" s="1"/>
  <c r="X716" i="2"/>
  <c r="Y716" i="2" s="1"/>
  <c r="X717" i="2"/>
  <c r="Y717" i="2" s="1"/>
  <c r="Z717" i="2" s="1"/>
  <c r="X718" i="2"/>
  <c r="Y718" i="2" s="1"/>
  <c r="Z718" i="2" s="1"/>
  <c r="X719" i="2"/>
  <c r="Y719" i="2" s="1"/>
  <c r="Z719" i="2" s="1"/>
  <c r="X720" i="2"/>
  <c r="Y720" i="2" s="1"/>
  <c r="Z720" i="2" s="1"/>
  <c r="X721" i="2"/>
  <c r="Y721" i="2" s="1"/>
  <c r="X722" i="2"/>
  <c r="Y722" i="2" s="1"/>
  <c r="Z722" i="2" s="1"/>
  <c r="X723" i="2"/>
  <c r="Y723" i="2" s="1"/>
  <c r="X724" i="2"/>
  <c r="Y724" i="2" s="1"/>
  <c r="X725" i="2"/>
  <c r="Y725" i="2" s="1"/>
  <c r="Z725" i="2" s="1"/>
  <c r="X726" i="2"/>
  <c r="Y726" i="2" s="1"/>
  <c r="Z726" i="2" s="1"/>
  <c r="X727" i="2"/>
  <c r="Y727" i="2" s="1"/>
  <c r="X728" i="2"/>
  <c r="Y728" i="2" s="1"/>
  <c r="Z728" i="2" s="1"/>
  <c r="X729" i="2"/>
  <c r="Y729" i="2" s="1"/>
  <c r="X730" i="2"/>
  <c r="Y730" i="2" s="1"/>
  <c r="Z730" i="2" s="1"/>
  <c r="X731" i="2"/>
  <c r="X732" i="2"/>
  <c r="X733" i="2"/>
  <c r="Y733" i="2" s="1"/>
  <c r="Z733" i="2" s="1"/>
  <c r="X734" i="2"/>
  <c r="Y734" i="2" s="1"/>
  <c r="X735" i="2"/>
  <c r="Y735" i="2" s="1"/>
  <c r="X736" i="2"/>
  <c r="Y736" i="2" s="1"/>
  <c r="X737" i="2"/>
  <c r="Y737" i="2" s="1"/>
  <c r="Z737" i="2" s="1"/>
  <c r="X738" i="2"/>
  <c r="Y738" i="2" s="1"/>
  <c r="X739" i="2"/>
  <c r="Y739" i="2" s="1"/>
  <c r="X740" i="2"/>
  <c r="Y740" i="2" s="1"/>
  <c r="Z740" i="2" s="1"/>
  <c r="X741" i="2"/>
  <c r="Y741" i="2" s="1"/>
  <c r="X742" i="2"/>
  <c r="Y742" i="2" s="1"/>
  <c r="Z742" i="2" s="1"/>
  <c r="X743" i="2"/>
  <c r="X744" i="2"/>
  <c r="Y744" i="2" s="1"/>
  <c r="Z744" i="2" s="1"/>
  <c r="X745" i="2"/>
  <c r="Y745" i="2" s="1"/>
  <c r="Z745" i="2" s="1"/>
  <c r="X746" i="2"/>
  <c r="Y746" i="2" s="1"/>
  <c r="X747" i="2"/>
  <c r="Y747" i="2" s="1"/>
  <c r="X748" i="2"/>
  <c r="Y748" i="2" s="1"/>
  <c r="Z748" i="2" s="1"/>
  <c r="X749" i="2"/>
  <c r="Y749" i="2" s="1"/>
  <c r="Z749" i="2" s="1"/>
  <c r="X750" i="2"/>
  <c r="Y750" i="2" s="1"/>
  <c r="Z750" i="2" s="1"/>
  <c r="X751" i="2"/>
  <c r="Y751" i="2" s="1"/>
  <c r="X752" i="2"/>
  <c r="Y752" i="2" s="1"/>
  <c r="X753" i="2"/>
  <c r="Y753" i="2" s="1"/>
  <c r="X754" i="2"/>
  <c r="Y754" i="2" s="1"/>
  <c r="X755" i="2"/>
  <c r="Y755" i="2" s="1"/>
  <c r="Z755" i="2" s="1"/>
  <c r="X756" i="2"/>
  <c r="X757" i="2"/>
  <c r="Y757" i="2" s="1"/>
  <c r="X758" i="2"/>
  <c r="Y758" i="2" s="1"/>
  <c r="Z758" i="2" s="1"/>
  <c r="X759" i="2"/>
  <c r="Y759" i="2" s="1"/>
  <c r="X760" i="2"/>
  <c r="Y760" i="2" s="1"/>
  <c r="X761" i="2"/>
  <c r="Y761" i="2" s="1"/>
  <c r="X762" i="2"/>
  <c r="Y762" i="2" s="1"/>
  <c r="X763" i="2"/>
  <c r="Y763" i="2" s="1"/>
  <c r="Z763" i="2" s="1"/>
  <c r="X764" i="2"/>
  <c r="Y764" i="2" s="1"/>
  <c r="X765" i="2"/>
  <c r="Y765" i="2" s="1"/>
  <c r="Z765" i="2" s="1"/>
  <c r="X766" i="2"/>
  <c r="Y766" i="2" s="1"/>
  <c r="X767" i="2"/>
  <c r="Y767" i="2" s="1"/>
  <c r="X768" i="2"/>
  <c r="X769" i="2"/>
  <c r="Y769" i="2" s="1"/>
  <c r="X770" i="2"/>
  <c r="Y770" i="2" s="1"/>
  <c r="Z770" i="2" s="1"/>
  <c r="X771" i="2"/>
  <c r="Y771" i="2" s="1"/>
  <c r="Z771" i="2" s="1"/>
  <c r="X772" i="2"/>
  <c r="Y772" i="2" s="1"/>
  <c r="X773" i="2"/>
  <c r="Y773" i="2" s="1"/>
  <c r="X774" i="2"/>
  <c r="Y774" i="2" s="1"/>
  <c r="X775" i="2"/>
  <c r="Y775" i="2" s="1"/>
  <c r="X776" i="2"/>
  <c r="Y776" i="2" s="1"/>
  <c r="X777" i="2"/>
  <c r="Y777" i="2" s="1"/>
  <c r="Z777" i="2" s="1"/>
  <c r="X778" i="2"/>
  <c r="Y778" i="2" s="1"/>
  <c r="Z778" i="2" s="1"/>
  <c r="X779" i="2"/>
  <c r="Y779" i="2" s="1"/>
  <c r="X780" i="2"/>
  <c r="Y780" i="2" s="1"/>
  <c r="Z780" i="2" s="1"/>
  <c r="X781" i="2"/>
  <c r="Y781" i="2" s="1"/>
  <c r="X782" i="2"/>
  <c r="Y782" i="2" s="1"/>
  <c r="Z782" i="2" s="1"/>
  <c r="X783" i="2"/>
  <c r="Y783" i="2" s="1"/>
  <c r="X784" i="2"/>
  <c r="Y784" i="2" s="1"/>
  <c r="X785" i="2"/>
  <c r="Y785" i="2" s="1"/>
  <c r="X786" i="2"/>
  <c r="Y786" i="2" s="1"/>
  <c r="X787" i="2"/>
  <c r="Y787" i="2" s="1"/>
  <c r="X788" i="2"/>
  <c r="Y788" i="2" s="1"/>
  <c r="X789" i="2"/>
  <c r="Y789" i="2" s="1"/>
  <c r="X790" i="2"/>
  <c r="Y790" i="2" s="1"/>
  <c r="X791" i="2"/>
  <c r="Y791" i="2" s="1"/>
  <c r="Z791" i="2" s="1"/>
  <c r="X792" i="2"/>
  <c r="Y792" i="2" s="1"/>
  <c r="X793" i="2"/>
  <c r="Y793" i="2" s="1"/>
  <c r="X794" i="2"/>
  <c r="Y794" i="2" s="1"/>
  <c r="Z794" i="2" s="1"/>
  <c r="X795" i="2"/>
  <c r="Y795" i="2" s="1"/>
  <c r="X796" i="2"/>
  <c r="Y796" i="2" s="1"/>
  <c r="X797" i="2"/>
  <c r="Y797" i="2" s="1"/>
  <c r="X798" i="2"/>
  <c r="Y798" i="2" s="1"/>
  <c r="X799" i="2"/>
  <c r="Y799" i="2" s="1"/>
  <c r="Z799" i="2" s="1"/>
  <c r="X800" i="2"/>
  <c r="Y800" i="2" s="1"/>
  <c r="Z800" i="2" s="1"/>
  <c r="X801" i="2"/>
  <c r="Y801" i="2" s="1"/>
  <c r="X802" i="2"/>
  <c r="Y802" i="2" s="1"/>
  <c r="X803" i="2"/>
  <c r="Y803" i="2" s="1"/>
  <c r="Z803" i="2" s="1"/>
  <c r="X804" i="2"/>
  <c r="X805" i="2"/>
  <c r="X806" i="2"/>
  <c r="Y806" i="2" s="1"/>
  <c r="X807" i="2"/>
  <c r="Y807" i="2" s="1"/>
  <c r="X808" i="2"/>
  <c r="Y808" i="2" s="1"/>
  <c r="X809" i="2"/>
  <c r="Y809" i="2" s="1"/>
  <c r="Z809" i="2" s="1"/>
  <c r="X810" i="2"/>
  <c r="Y810" i="2" s="1"/>
  <c r="Z810" i="2" s="1"/>
  <c r="X811" i="2"/>
  <c r="Y811" i="2" s="1"/>
  <c r="X812" i="2"/>
  <c r="Y812" i="2" s="1"/>
  <c r="X813" i="2"/>
  <c r="Y813" i="2" s="1"/>
  <c r="X814" i="2"/>
  <c r="Y814" i="2" s="1"/>
  <c r="Z814" i="2" s="1"/>
  <c r="X815" i="2"/>
  <c r="Y815" i="2" s="1"/>
  <c r="Z815" i="2" s="1"/>
  <c r="X816" i="2"/>
  <c r="Y816" i="2" s="1"/>
  <c r="Z816" i="2" s="1"/>
  <c r="X817" i="2"/>
  <c r="Y817" i="2" s="1"/>
  <c r="X818" i="2"/>
  <c r="Y818" i="2" s="1"/>
  <c r="X819" i="2"/>
  <c r="Y819" i="2" s="1"/>
  <c r="X820" i="2"/>
  <c r="Y820" i="2" s="1"/>
  <c r="Z820" i="2" s="1"/>
  <c r="X821" i="2"/>
  <c r="Y821" i="2" s="1"/>
  <c r="X822" i="2"/>
  <c r="Y822" i="2" s="1"/>
  <c r="Z822" i="2" s="1"/>
  <c r="X823" i="2"/>
  <c r="Y823" i="2" s="1"/>
  <c r="X824" i="2"/>
  <c r="Y824" i="2" s="1"/>
  <c r="X825" i="2"/>
  <c r="Y825" i="2" s="1"/>
  <c r="X826" i="2"/>
  <c r="Y826" i="2" s="1"/>
  <c r="X827" i="2"/>
  <c r="X828" i="2"/>
  <c r="X829" i="2"/>
  <c r="Y829" i="2" s="1"/>
  <c r="X830" i="2"/>
  <c r="Y830" i="2" s="1"/>
  <c r="Z830" i="2" s="1"/>
  <c r="X831" i="2"/>
  <c r="Y831" i="2" s="1"/>
  <c r="X832" i="2"/>
  <c r="Y832" i="2" s="1"/>
  <c r="X833" i="2"/>
  <c r="X834" i="2"/>
  <c r="Y834" i="2" s="1"/>
  <c r="X835" i="2"/>
  <c r="Y835" i="2" s="1"/>
  <c r="Z835" i="2" s="1"/>
  <c r="X836" i="2"/>
  <c r="Y836" i="2" s="1"/>
  <c r="X837" i="2"/>
  <c r="Y837" i="2" s="1"/>
  <c r="Z837" i="2" s="1"/>
  <c r="X838" i="2"/>
  <c r="Y838" i="2" s="1"/>
  <c r="X839" i="2"/>
  <c r="Y839" i="2" s="1"/>
  <c r="X840" i="2"/>
  <c r="X841" i="2"/>
  <c r="Y841" i="2" s="1"/>
  <c r="X842" i="2"/>
  <c r="Y842" i="2" s="1"/>
  <c r="X843" i="2"/>
  <c r="Y843" i="2" s="1"/>
  <c r="Z843" i="2" s="1"/>
  <c r="X844" i="2"/>
  <c r="Y844" i="2" s="1"/>
  <c r="X845" i="2"/>
  <c r="Y845" i="2" s="1"/>
  <c r="Z845" i="2" s="1"/>
  <c r="X846" i="2"/>
  <c r="Y846" i="2" s="1"/>
  <c r="Z846" i="2" s="1"/>
  <c r="X847" i="2"/>
  <c r="Y847" i="2" s="1"/>
  <c r="Z847" i="2" s="1"/>
  <c r="X848" i="2"/>
  <c r="Y848" i="2" s="1"/>
  <c r="X849" i="2"/>
  <c r="Y849" i="2" s="1"/>
  <c r="X850" i="2"/>
  <c r="Y850" i="2" s="1"/>
  <c r="Z850" i="2" s="1"/>
  <c r="X851" i="2"/>
  <c r="X852" i="2"/>
  <c r="Y852" i="2" s="1"/>
  <c r="Z852" i="2" s="1"/>
  <c r="X853" i="2"/>
  <c r="Y853" i="2" s="1"/>
  <c r="X854" i="2"/>
  <c r="Y854" i="2" s="1"/>
  <c r="Z854" i="2" s="1"/>
  <c r="X855" i="2"/>
  <c r="Y855" i="2" s="1"/>
  <c r="X856" i="2"/>
  <c r="Y856" i="2" s="1"/>
  <c r="X857" i="2"/>
  <c r="Y857" i="2" s="1"/>
  <c r="Z857" i="2" s="1"/>
  <c r="X858" i="2"/>
  <c r="Y858" i="2" s="1"/>
  <c r="X859" i="2"/>
  <c r="Y859" i="2" s="1"/>
  <c r="Z859" i="2" s="1"/>
  <c r="X860" i="2"/>
  <c r="Y860" i="2" s="1"/>
  <c r="X861" i="2"/>
  <c r="Y861" i="2" s="1"/>
  <c r="X862" i="2"/>
  <c r="Y862" i="2" s="1"/>
  <c r="X863" i="2"/>
  <c r="Y863" i="2" s="1"/>
  <c r="Z863" i="2" s="1"/>
  <c r="X864" i="2"/>
  <c r="Y864" i="2" s="1"/>
  <c r="Z864" i="2" s="1"/>
  <c r="X865" i="2"/>
  <c r="Y865" i="2" s="1"/>
  <c r="Z865" i="2" s="1"/>
  <c r="X866" i="2"/>
  <c r="Y866" i="2" s="1"/>
  <c r="X867" i="2"/>
  <c r="Y867" i="2" s="1"/>
  <c r="X868" i="2"/>
  <c r="Y868" i="2" s="1"/>
  <c r="X869" i="2"/>
  <c r="Y869" i="2" s="1"/>
  <c r="X870" i="2"/>
  <c r="Y870" i="2" s="1"/>
  <c r="Z870" i="2" s="1"/>
  <c r="X871" i="2"/>
  <c r="Y871" i="2" s="1"/>
  <c r="X872" i="2"/>
  <c r="Y872" i="2" s="1"/>
  <c r="X873" i="2"/>
  <c r="Y873" i="2" s="1"/>
  <c r="X874" i="2"/>
  <c r="Y874" i="2" s="1"/>
  <c r="X875" i="2"/>
  <c r="Y875" i="2" s="1"/>
  <c r="Z875" i="2" s="1"/>
  <c r="X876" i="2"/>
  <c r="Y876" i="2" s="1"/>
  <c r="X877" i="2"/>
  <c r="Y877" i="2" s="1"/>
  <c r="X878" i="2"/>
  <c r="Y878" i="2" s="1"/>
  <c r="X879" i="2"/>
  <c r="Y879" i="2" s="1"/>
  <c r="X880" i="2"/>
  <c r="Y880" i="2" s="1"/>
  <c r="X881" i="2"/>
  <c r="Y881" i="2" s="1"/>
  <c r="X882" i="2"/>
  <c r="Y882" i="2" s="1"/>
  <c r="Z882" i="2" s="1"/>
  <c r="X883" i="2"/>
  <c r="Y883" i="2" s="1"/>
  <c r="Z883" i="2" s="1"/>
  <c r="X884" i="2"/>
  <c r="Y884" i="2" s="1"/>
  <c r="X885" i="2"/>
  <c r="Y885" i="2" s="1"/>
  <c r="X886" i="2"/>
  <c r="Y886" i="2" s="1"/>
  <c r="X887" i="2"/>
  <c r="Y887" i="2" s="1"/>
  <c r="Z887" i="2" s="1"/>
  <c r="X888" i="2"/>
  <c r="X889" i="2"/>
  <c r="Y889" i="2" s="1"/>
  <c r="X890" i="2"/>
  <c r="Y890" i="2" s="1"/>
  <c r="Z890" i="2" s="1"/>
  <c r="X891" i="2"/>
  <c r="Y891" i="2" s="1"/>
  <c r="X892" i="2"/>
  <c r="Y892" i="2" s="1"/>
  <c r="X893" i="2"/>
  <c r="Y893" i="2" s="1"/>
  <c r="Z893" i="2" s="1"/>
  <c r="X894" i="2"/>
  <c r="Y894" i="2" s="1"/>
  <c r="X895" i="2"/>
  <c r="Y895" i="2" s="1"/>
  <c r="Z895" i="2" s="1"/>
  <c r="X896" i="2"/>
  <c r="Y896" i="2" s="1"/>
  <c r="X897" i="2"/>
  <c r="Y897" i="2" s="1"/>
  <c r="X898" i="2"/>
  <c r="Y898" i="2" s="1"/>
  <c r="X899" i="2"/>
  <c r="Y899" i="2" s="1"/>
  <c r="Z899" i="2" s="1"/>
  <c r="X900" i="2"/>
  <c r="X901" i="2"/>
  <c r="Y901" i="2" s="1"/>
  <c r="X902" i="2"/>
  <c r="Y902" i="2" s="1"/>
  <c r="X903" i="2"/>
  <c r="Y903" i="2" s="1"/>
  <c r="Z903" i="2" s="1"/>
  <c r="X904" i="2"/>
  <c r="Y904" i="2" s="1"/>
  <c r="X905" i="2"/>
  <c r="Y905" i="2" s="1"/>
  <c r="X906" i="2"/>
  <c r="Y906" i="2" s="1"/>
  <c r="X907" i="2"/>
  <c r="Y907" i="2" s="1"/>
  <c r="X908" i="2"/>
  <c r="Y908" i="2" s="1"/>
  <c r="X909" i="2"/>
  <c r="Y909" i="2" s="1"/>
  <c r="X910" i="2"/>
  <c r="Y910" i="2" s="1"/>
  <c r="Z910" i="2" s="1"/>
  <c r="X911" i="2"/>
  <c r="Y911" i="2" s="1"/>
  <c r="X912" i="2"/>
  <c r="X913" i="2"/>
  <c r="Y913" i="2" s="1"/>
  <c r="X914" i="2"/>
  <c r="Y914" i="2" s="1"/>
  <c r="X915" i="2"/>
  <c r="Y915" i="2" s="1"/>
  <c r="Z915" i="2" s="1"/>
  <c r="X916" i="2"/>
  <c r="Y916" i="2" s="1"/>
  <c r="X917" i="2"/>
  <c r="Y917" i="2" s="1"/>
  <c r="X918" i="2"/>
  <c r="Y918" i="2" s="1"/>
  <c r="X919" i="2"/>
  <c r="Y919" i="2" s="1"/>
  <c r="Z919" i="2" s="1"/>
  <c r="X920" i="2"/>
  <c r="Y920" i="2" s="1"/>
  <c r="X921" i="2"/>
  <c r="Y921" i="2" s="1"/>
  <c r="Z921" i="2" s="1"/>
  <c r="X922" i="2"/>
  <c r="Y922" i="2" s="1"/>
  <c r="X923" i="2"/>
  <c r="Y923" i="2" s="1"/>
  <c r="X924" i="2"/>
  <c r="Y924" i="2" s="1"/>
  <c r="X925" i="2"/>
  <c r="Y925" i="2" s="1"/>
  <c r="X926" i="2"/>
  <c r="Y926" i="2" s="1"/>
  <c r="X927" i="2"/>
  <c r="Y927" i="2" s="1"/>
  <c r="Z927" i="2" s="1"/>
  <c r="X928" i="2"/>
  <c r="Y928" i="2" s="1"/>
  <c r="X929" i="2"/>
  <c r="Y929" i="2" s="1"/>
  <c r="X930" i="2"/>
  <c r="Y930" i="2" s="1"/>
  <c r="X931" i="2"/>
  <c r="Y931" i="2" s="1"/>
  <c r="X932" i="2"/>
  <c r="Y932" i="2" s="1"/>
  <c r="Z932" i="2" s="1"/>
  <c r="X933" i="2"/>
  <c r="Y933" i="2" s="1"/>
  <c r="Z933" i="2" s="1"/>
  <c r="X934" i="2"/>
  <c r="Y934" i="2" s="1"/>
  <c r="X935" i="2"/>
  <c r="Y935" i="2" s="1"/>
  <c r="X936" i="2"/>
  <c r="Y936" i="2" s="1"/>
  <c r="X937" i="2"/>
  <c r="Y937" i="2" s="1"/>
  <c r="X938" i="2"/>
  <c r="Y938" i="2" s="1"/>
  <c r="X939" i="2"/>
  <c r="Y939" i="2" s="1"/>
  <c r="Z939" i="2" s="1"/>
  <c r="X940" i="2"/>
  <c r="Y940" i="2" s="1"/>
  <c r="X941" i="2"/>
  <c r="Y941" i="2" s="1"/>
  <c r="X942" i="2"/>
  <c r="Y942" i="2" s="1"/>
  <c r="X943" i="2"/>
  <c r="Y943" i="2" s="1"/>
  <c r="X944" i="2"/>
  <c r="Y944" i="2" s="1"/>
  <c r="X945" i="2"/>
  <c r="Y945" i="2" s="1"/>
  <c r="Z945" i="2" s="1"/>
  <c r="X946" i="2"/>
  <c r="Y946" i="2" s="1"/>
  <c r="X947" i="2"/>
  <c r="Y947" i="2" s="1"/>
  <c r="X948" i="2"/>
  <c r="X949" i="2"/>
  <c r="X950" i="2"/>
  <c r="Y950" i="2" s="1"/>
  <c r="Z950" i="2" s="1"/>
  <c r="X951" i="2"/>
  <c r="Y951" i="2" s="1"/>
  <c r="X952" i="2"/>
  <c r="Y952" i="2" s="1"/>
  <c r="X953" i="2"/>
  <c r="Y953" i="2" s="1"/>
  <c r="X954" i="2"/>
  <c r="Y954" i="2" s="1"/>
  <c r="X955" i="2"/>
  <c r="Y955" i="2" s="1"/>
  <c r="Z955" i="2" s="1"/>
  <c r="X956" i="2"/>
  <c r="Y956" i="2" s="1"/>
  <c r="X957" i="2"/>
  <c r="Y957" i="2" s="1"/>
  <c r="Z957" i="2" s="1"/>
  <c r="X958" i="2"/>
  <c r="Y958" i="2" s="1"/>
  <c r="X959" i="2"/>
  <c r="X960" i="2"/>
  <c r="Y960" i="2" s="1"/>
  <c r="Z960" i="2" s="1"/>
  <c r="X961" i="2"/>
  <c r="Y961" i="2" s="1"/>
  <c r="X962" i="2"/>
  <c r="Y962" i="2" s="1"/>
  <c r="X963" i="2"/>
  <c r="Y963" i="2" s="1"/>
  <c r="X964" i="2"/>
  <c r="Y964" i="2" s="1"/>
  <c r="X965" i="2"/>
  <c r="Y965" i="2" s="1"/>
  <c r="X966" i="2"/>
  <c r="Y966" i="2" s="1"/>
  <c r="Z966" i="2" s="1"/>
  <c r="X967" i="2"/>
  <c r="Y967" i="2" s="1"/>
  <c r="X968" i="2"/>
  <c r="Y968" i="2" s="1"/>
  <c r="X969" i="2"/>
  <c r="Y969" i="2" s="1"/>
  <c r="X970" i="2"/>
  <c r="Y970" i="2" s="1"/>
  <c r="Z970" i="2" s="1"/>
  <c r="X971" i="2"/>
  <c r="Y971" i="2" s="1"/>
  <c r="X972" i="2"/>
  <c r="Y972" i="2" s="1"/>
  <c r="X973" i="2"/>
  <c r="Y973" i="2" s="1"/>
  <c r="Z973" i="2" s="1"/>
  <c r="X974" i="2"/>
  <c r="Y974" i="2" s="1"/>
  <c r="X975" i="2"/>
  <c r="Y975" i="2" s="1"/>
  <c r="X976" i="2"/>
  <c r="Y976" i="2" s="1"/>
  <c r="X977" i="2"/>
  <c r="Y977" i="2" s="1"/>
  <c r="X978" i="2"/>
  <c r="Y978" i="2" s="1"/>
  <c r="X979" i="2"/>
  <c r="Y979" i="2" s="1"/>
  <c r="X980" i="2"/>
  <c r="Y980" i="2" s="1"/>
  <c r="Z980" i="2" s="1"/>
  <c r="X981" i="2"/>
  <c r="Y981" i="2" s="1"/>
  <c r="Z981" i="2" s="1"/>
  <c r="X982" i="2"/>
  <c r="Y982" i="2" s="1"/>
  <c r="X983" i="2"/>
  <c r="Y983" i="2" s="1"/>
  <c r="X984" i="2"/>
  <c r="Y984" i="2" s="1"/>
  <c r="Z984" i="2" s="1"/>
  <c r="X985" i="2"/>
  <c r="Y985" i="2" s="1"/>
  <c r="X986" i="2"/>
  <c r="Y986" i="2" s="1"/>
  <c r="X987" i="2"/>
  <c r="Y987" i="2" s="1"/>
  <c r="X988" i="2"/>
  <c r="Y988" i="2" s="1"/>
  <c r="X989" i="2"/>
  <c r="Y989" i="2" s="1"/>
  <c r="X990" i="2"/>
  <c r="Y990" i="2" s="1"/>
  <c r="X991" i="2"/>
  <c r="Y991" i="2" s="1"/>
  <c r="X992" i="2"/>
  <c r="Y992" i="2" s="1"/>
  <c r="Z992" i="2" s="1"/>
  <c r="X993" i="2"/>
  <c r="Y993" i="2" s="1"/>
  <c r="X994" i="2"/>
  <c r="Y994" i="2" s="1"/>
  <c r="X995" i="2"/>
  <c r="Y995" i="2" s="1"/>
  <c r="X996" i="2"/>
  <c r="Y996" i="2" s="1"/>
  <c r="Z996" i="2" s="1"/>
  <c r="X997" i="2"/>
  <c r="Y997" i="2" s="1"/>
  <c r="X998" i="2"/>
  <c r="Y998" i="2" s="1"/>
  <c r="X999" i="2"/>
  <c r="Y999" i="2" s="1"/>
  <c r="Z999" i="2" s="1"/>
  <c r="X1000" i="2"/>
  <c r="Y1000" i="2" s="1"/>
  <c r="X1001" i="2"/>
  <c r="Y1001" i="2" s="1"/>
  <c r="Z1001"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62365D-8785-4DE9-828C-16E46EF36664}" keepAlive="1" name="Query - indian_house_prices" description="Connection to the 'indian_house_prices' query in the workbook." type="5" refreshedVersion="8" background="1" saveData="1">
    <dbPr connection="Provider=Microsoft.Mashup.OleDb.1;Data Source=$Workbook$;Location=indian_house_prices;Extended Properties=&quot;&quot;" command="SELECT * FROM [indian_house_prices]"/>
  </connection>
</connections>
</file>

<file path=xl/sharedStrings.xml><?xml version="1.0" encoding="utf-8"?>
<sst xmlns="http://schemas.openxmlformats.org/spreadsheetml/2006/main" count="11072" uniqueCount="194">
  <si>
    <t>city</t>
  </si>
  <si>
    <t>locality</t>
  </si>
  <si>
    <t>bedrooms</t>
  </si>
  <si>
    <t>bathrooms</t>
  </si>
  <si>
    <t>sqft_living</t>
  </si>
  <si>
    <t>sqft_lot</t>
  </si>
  <si>
    <t>floors</t>
  </si>
  <si>
    <t>year_built</t>
  </si>
  <si>
    <t>year_renovated</t>
  </si>
  <si>
    <t>property_type</t>
  </si>
  <si>
    <t>parking</t>
  </si>
  <si>
    <t>facing</t>
  </si>
  <si>
    <t>lift</t>
  </si>
  <si>
    <t>furnishing</t>
  </si>
  <si>
    <t>nearby_schools</t>
  </si>
  <si>
    <t>nearby_hospitals</t>
  </si>
  <si>
    <t>society</t>
  </si>
  <si>
    <t>balcony</t>
  </si>
  <si>
    <t>garden</t>
  </si>
  <si>
    <t>price</t>
  </si>
  <si>
    <t>Mumbai</t>
  </si>
  <si>
    <t>Andheri</t>
  </si>
  <si>
    <t>Independent House</t>
  </si>
  <si>
    <t>North</t>
  </si>
  <si>
    <t>Yes</t>
  </si>
  <si>
    <t>Furnished</t>
  </si>
  <si>
    <t>Andheri Heights</t>
  </si>
  <si>
    <t>No</t>
  </si>
  <si>
    <t>Delhi</t>
  </si>
  <si>
    <t>Vasant Kunj</t>
  </si>
  <si>
    <t>Villa</t>
  </si>
  <si>
    <t>South</t>
  </si>
  <si>
    <t>Vasant Kunj Heights</t>
  </si>
  <si>
    <t>Pune</t>
  </si>
  <si>
    <t>Viman Nagar</t>
  </si>
  <si>
    <t>Unfurnished</t>
  </si>
  <si>
    <t>Viman Nagar Heights</t>
  </si>
  <si>
    <t>Chennai</t>
  </si>
  <si>
    <t>Adyar</t>
  </si>
  <si>
    <t>Adyar Enclave</t>
  </si>
  <si>
    <t>Bandra</t>
  </si>
  <si>
    <t>West</t>
  </si>
  <si>
    <t>Bandra Enclave</t>
  </si>
  <si>
    <t>Aundh</t>
  </si>
  <si>
    <t>Aundh Villa</t>
  </si>
  <si>
    <t>Perambur</t>
  </si>
  <si>
    <t>Semi-Furnished</t>
  </si>
  <si>
    <t>Perambur Heights</t>
  </si>
  <si>
    <t>Kothrud</t>
  </si>
  <si>
    <t>Kothrud Heights</t>
  </si>
  <si>
    <t>Borivali</t>
  </si>
  <si>
    <t>Borivali Enclave</t>
  </si>
  <si>
    <t>Apartment</t>
  </si>
  <si>
    <t>Bengaluru</t>
  </si>
  <si>
    <t>MG Road</t>
  </si>
  <si>
    <t>MG Road Villa</t>
  </si>
  <si>
    <t>Andheri Residency</t>
  </si>
  <si>
    <t>Kothrud Villa</t>
  </si>
  <si>
    <t>Builder Floor</t>
  </si>
  <si>
    <t>MG Road Residency</t>
  </si>
  <si>
    <t>Dwarka</t>
  </si>
  <si>
    <t>Dwarka Enclave</t>
  </si>
  <si>
    <t>Velachery</t>
  </si>
  <si>
    <t>Velachery Residency</t>
  </si>
  <si>
    <t>East</t>
  </si>
  <si>
    <t>Vasant Kunj Enclave</t>
  </si>
  <si>
    <t>Koramangala</t>
  </si>
  <si>
    <t>Koramangala Residency</t>
  </si>
  <si>
    <t>Kothrud Enclave</t>
  </si>
  <si>
    <t>Juhu</t>
  </si>
  <si>
    <t>Juhu Residency</t>
  </si>
  <si>
    <t>Aundh Enclave</t>
  </si>
  <si>
    <t>Anna Nagar</t>
  </si>
  <si>
    <t>Anna Nagar Residency</t>
  </si>
  <si>
    <t>Juhu Heights</t>
  </si>
  <si>
    <t>Hinjewadi</t>
  </si>
  <si>
    <t>Hinjewadi Heights</t>
  </si>
  <si>
    <t>Perambur Enclave</t>
  </si>
  <si>
    <t>Adyar Villa</t>
  </si>
  <si>
    <t>Saket</t>
  </si>
  <si>
    <t>Saket Heights</t>
  </si>
  <si>
    <t>Vasant Kunj Villa</t>
  </si>
  <si>
    <t>Koramangala Enclave</t>
  </si>
  <si>
    <t>Aundh Heights</t>
  </si>
  <si>
    <t>Kothrud Residency</t>
  </si>
  <si>
    <t>Viman Nagar Villa</t>
  </si>
  <si>
    <t>Adyar Residency</t>
  </si>
  <si>
    <t>T Nagar</t>
  </si>
  <si>
    <t>T Nagar Enclave</t>
  </si>
  <si>
    <t>Indiranagar</t>
  </si>
  <si>
    <t>Indiranagar Enclave</t>
  </si>
  <si>
    <t>Koramangala Villa</t>
  </si>
  <si>
    <t>Saket Enclave</t>
  </si>
  <si>
    <t>Adyar Heights</t>
  </si>
  <si>
    <t>Anna Nagar Villa</t>
  </si>
  <si>
    <t>Lajpat Nagar</t>
  </si>
  <si>
    <t>Lajpat Nagar Residency</t>
  </si>
  <si>
    <t>Velachery Villa</t>
  </si>
  <si>
    <t>Baner</t>
  </si>
  <si>
    <t>Baner Villa</t>
  </si>
  <si>
    <t>HSR Layout</t>
  </si>
  <si>
    <t>HSR Layout Residency</t>
  </si>
  <si>
    <t>Andheri Villa</t>
  </si>
  <si>
    <t>Juhu Enclave</t>
  </si>
  <si>
    <t>HSR Layout Villa</t>
  </si>
  <si>
    <t>Whitefield</t>
  </si>
  <si>
    <t>Whitefield Villa</t>
  </si>
  <si>
    <t>Anna Nagar Heights</t>
  </si>
  <si>
    <t>Whitefield Heights</t>
  </si>
  <si>
    <t>Saket Villa</t>
  </si>
  <si>
    <t>Rohini</t>
  </si>
  <si>
    <t>Rohini Enclave</t>
  </si>
  <si>
    <t>Borivali Residency</t>
  </si>
  <si>
    <t>Borivali Heights</t>
  </si>
  <si>
    <t>Andheri Enclave</t>
  </si>
  <si>
    <t>Bandra Heights</t>
  </si>
  <si>
    <t>Whitefield Residency</t>
  </si>
  <si>
    <t>Rohini Residency</t>
  </si>
  <si>
    <t>Dwarka Heights</t>
  </si>
  <si>
    <t>Rohini Heights</t>
  </si>
  <si>
    <t>Juhu Villa</t>
  </si>
  <si>
    <t>Dwarka Residency</t>
  </si>
  <si>
    <t>Perambur Villa</t>
  </si>
  <si>
    <t>Baner Residency</t>
  </si>
  <si>
    <t>Perambur Residency</t>
  </si>
  <si>
    <t>Indiranagar Heights</t>
  </si>
  <si>
    <t>Lajpat Nagar Heights</t>
  </si>
  <si>
    <t>Anna Nagar Enclave</t>
  </si>
  <si>
    <t>Borivali Villa</t>
  </si>
  <si>
    <t>Lajpat Nagar Enclave</t>
  </si>
  <si>
    <t>Aundh Residency</t>
  </si>
  <si>
    <t>HSR Layout Heights</t>
  </si>
  <si>
    <t>Viman Nagar Residency</t>
  </si>
  <si>
    <t>Powai</t>
  </si>
  <si>
    <t>Powai Residency</t>
  </si>
  <si>
    <t>Hinjewadi Residency</t>
  </si>
  <si>
    <t>Dwarka Villa</t>
  </si>
  <si>
    <t>Velachery Heights</t>
  </si>
  <si>
    <t>T Nagar Villa</t>
  </si>
  <si>
    <t>Saket Residency</t>
  </si>
  <si>
    <t>Hinjewadi Villa</t>
  </si>
  <si>
    <t>T Nagar Heights</t>
  </si>
  <si>
    <t>Koramangala Heights</t>
  </si>
  <si>
    <t>Bandra Residency</t>
  </si>
  <si>
    <t>MG Road Enclave</t>
  </si>
  <si>
    <t>Baner Heights</t>
  </si>
  <si>
    <t>Lajpat Nagar Villa</t>
  </si>
  <si>
    <t>Viman Nagar Enclave</t>
  </si>
  <si>
    <t>Powai Enclave</t>
  </si>
  <si>
    <t>Vasant Kunj Residency</t>
  </si>
  <si>
    <t>Baner Enclave</t>
  </si>
  <si>
    <t>HSR Layout Enclave</t>
  </si>
  <si>
    <t>T Nagar Residency</t>
  </si>
  <si>
    <t>Bandra Villa</t>
  </si>
  <si>
    <t>Indiranagar Residency</t>
  </si>
  <si>
    <t>Rohini Villa</t>
  </si>
  <si>
    <t>MG Road Heights</t>
  </si>
  <si>
    <t>Indiranagar Villa</t>
  </si>
  <si>
    <t>Powai Villa</t>
  </si>
  <si>
    <t>Velachery Enclave</t>
  </si>
  <si>
    <t>Whitefield Enclave</t>
  </si>
  <si>
    <t>Hinjewadi Enclave</t>
  </si>
  <si>
    <t>Powai Heights</t>
  </si>
  <si>
    <t>status</t>
  </si>
  <si>
    <t>broker_id</t>
  </si>
  <si>
    <t>Broker_ID</t>
  </si>
  <si>
    <t>Broker_Name</t>
  </si>
  <si>
    <t>Commission_Tier</t>
  </si>
  <si>
    <t>BRK-01</t>
  </si>
  <si>
    <t>Amit Sharma</t>
  </si>
  <si>
    <t>Tier A</t>
  </si>
  <si>
    <t>BRK-02</t>
  </si>
  <si>
    <t>Priya Patel</t>
  </si>
  <si>
    <t>Tier B</t>
  </si>
  <si>
    <t>BRK-03</t>
  </si>
  <si>
    <t>Rahul Singh</t>
  </si>
  <si>
    <t>BRK-04</t>
  </si>
  <si>
    <t>Sneha Reddy</t>
  </si>
  <si>
    <t>Tier C</t>
  </si>
  <si>
    <t>BRK-05</t>
  </si>
  <si>
    <t>Vikas Gupta</t>
  </si>
  <si>
    <t>broker_name</t>
  </si>
  <si>
    <t>Available</t>
  </si>
  <si>
    <t>Pending</t>
  </si>
  <si>
    <t>Sold</t>
  </si>
  <si>
    <t>commission_tier</t>
  </si>
  <si>
    <t>Commission_Rate</t>
  </si>
  <si>
    <t>Revenue_Earned</t>
  </si>
  <si>
    <t>Row Labels</t>
  </si>
  <si>
    <t>Grand Total</t>
  </si>
  <si>
    <t>Sum of Revenue_Earned</t>
  </si>
  <si>
    <t>Count of society</t>
  </si>
  <si>
    <t>broker_payout</t>
  </si>
  <si>
    <t>Total_Fees_Collected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</si>
</sst>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8"/>
      <color theme="1"/>
      <name val="Arial"/>
      <family val="2"/>
    </font>
    <font>
      <sz val="8"/>
      <color theme="1"/>
      <name val="Arial"/>
      <family val="2"/>
    </font>
    <font>
      <sz val="11"/>
      <color theme="3" tint="0.89999084444715716"/>
      <name val="Aptos Narrow"/>
      <family val="2"/>
      <scheme val="minor"/>
    </font>
    <font>
      <sz val="11"/>
      <name val="Aptos Narrow"/>
      <family val="2"/>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right/>
      <top/>
      <bottom style="medium">
        <color rgb="FF363840"/>
      </bottom>
      <diagonal/>
    </border>
  </borders>
  <cellStyleXfs count="1">
    <xf numFmtId="0" fontId="0" fillId="0" borderId="0"/>
  </cellStyleXfs>
  <cellXfs count="11">
    <xf numFmtId="0" fontId="0" fillId="0" borderId="0" xfId="0"/>
    <xf numFmtId="0" fontId="0" fillId="0" borderId="0" xfId="0" applyNumberFormat="1"/>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0" xfId="0" applyFont="1" applyAlignment="1">
      <alignment vertical="center" wrapText="1"/>
    </xf>
    <xf numFmtId="0" fontId="0" fillId="0" borderId="0" xfId="0" pivotButton="1"/>
    <xf numFmtId="0" fontId="0" fillId="0" borderId="0" xfId="0" applyAlignment="1">
      <alignment horizontal="left"/>
    </xf>
    <xf numFmtId="0" fontId="0" fillId="2" borderId="0" xfId="0" applyFill="1"/>
    <xf numFmtId="0" fontId="4" fillId="2" borderId="0" xfId="0" applyFont="1" applyFill="1"/>
    <xf numFmtId="0" fontId="0" fillId="2" borderId="0" xfId="0" applyFont="1" applyFill="1"/>
    <xf numFmtId="0" fontId="3" fillId="2" borderId="0" xfId="0" applyFont="1" applyFill="1"/>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[Propguru-analysis dashboard.xlsx]Dashboard_Calculations!PivotTable1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Channel Partner Commission Leaderboard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Dashboard_Calculations!$B$3</c:f>
              <c:strCache>
                <c:ptCount val="1"/>
                <c:pt idx="0">
                  <c:v>Count of society</c:v>
                </c:pt>
              </c:strCache>
            </c:strRef>
          </c:tx>
          <c:spPr>
            <a:solidFill>
              <a:schemeClr val="accent6"/>
            </a:solidFill>
            <a:ln>
              <a:noFill/>
            </a:ln>
            <a:effectLst/>
          </c:spPr>
          <c:invertIfNegative val="0"/>
          <c:cat>
            <c:strRef>
              <c:f>Dashboard_Calculations!$A$4:$A$9</c:f>
              <c:strCache>
                <c:ptCount val="5"/>
                <c:pt idx="0">
                  <c:v>Bengaluru</c:v>
                </c:pt>
                <c:pt idx="1">
                  <c:v>Chennai</c:v>
                </c:pt>
                <c:pt idx="2">
                  <c:v>Delhi</c:v>
                </c:pt>
                <c:pt idx="3">
                  <c:v>Mumbai</c:v>
                </c:pt>
                <c:pt idx="4">
                  <c:v>Pune</c:v>
                </c:pt>
              </c:strCache>
            </c:strRef>
          </c:cat>
          <c:val>
            <c:numRef>
              <c:f>Dashboard_Calculations!$B$4:$B$9</c:f>
              <c:numCache>
                <c:formatCode>General</c:formatCode>
                <c:ptCount val="5"/>
                <c:pt idx="0">
                  <c:v>36</c:v>
                </c:pt>
                <c:pt idx="1">
                  <c:v>37</c:v>
                </c:pt>
                <c:pt idx="2">
                  <c:v>36</c:v>
                </c:pt>
                <c:pt idx="3">
                  <c:v>36</c:v>
                </c:pt>
                <c:pt idx="4">
                  <c:v>47</c:v>
                </c:pt>
              </c:numCache>
            </c:numRef>
          </c:val>
          <c:extLst>
            <c:ext xmlns:c16="http://schemas.microsoft.com/office/drawing/2014/chart" uri="{C3380CC4-5D6E-409C-BE32-E72D297353CC}">
              <c16:uniqueId val="{00000003-1991-42E6-BA50-A7DB8C582BEB}"/>
            </c:ext>
          </c:extLst>
        </c:ser>
        <c:ser>
          <c:idx val="1"/>
          <c:order val="1"/>
          <c:tx>
            <c:strRef>
              <c:f>Dashboard_Calculations!$C$3</c:f>
              <c:strCache>
                <c:ptCount val="1"/>
                <c:pt idx="0">
                  <c:v>Sum of Revenue_Earned</c:v>
                </c:pt>
              </c:strCache>
            </c:strRef>
          </c:tx>
          <c:spPr>
            <a:solidFill>
              <a:schemeClr val="accent5"/>
            </a:solidFill>
            <a:ln>
              <a:noFill/>
            </a:ln>
            <a:effectLst/>
          </c:spPr>
          <c:invertIfNegative val="0"/>
          <c:cat>
            <c:strRef>
              <c:f>Dashboard_Calculations!$A$4:$A$9</c:f>
              <c:strCache>
                <c:ptCount val="5"/>
                <c:pt idx="0">
                  <c:v>Bengaluru</c:v>
                </c:pt>
                <c:pt idx="1">
                  <c:v>Chennai</c:v>
                </c:pt>
                <c:pt idx="2">
                  <c:v>Delhi</c:v>
                </c:pt>
                <c:pt idx="3">
                  <c:v>Mumbai</c:v>
                </c:pt>
                <c:pt idx="4">
                  <c:v>Pune</c:v>
                </c:pt>
              </c:strCache>
            </c:strRef>
          </c:cat>
          <c:val>
            <c:numRef>
              <c:f>Dashboard_Calculations!$C$4:$C$9</c:f>
              <c:numCache>
                <c:formatCode>General</c:formatCode>
                <c:ptCount val="5"/>
                <c:pt idx="0">
                  <c:v>2440270</c:v>
                </c:pt>
                <c:pt idx="1">
                  <c:v>3220240</c:v>
                </c:pt>
                <c:pt idx="2">
                  <c:v>4359900</c:v>
                </c:pt>
                <c:pt idx="3">
                  <c:v>5797310</c:v>
                </c:pt>
                <c:pt idx="4">
                  <c:v>3389670</c:v>
                </c:pt>
              </c:numCache>
            </c:numRef>
          </c:val>
          <c:extLst>
            <c:ext xmlns:c16="http://schemas.microsoft.com/office/drawing/2014/chart" uri="{C3380CC4-5D6E-409C-BE32-E72D297353CC}">
              <c16:uniqueId val="{00000004-1991-42E6-BA50-A7DB8C582BEB}"/>
            </c:ext>
          </c:extLst>
        </c:ser>
        <c:dLbls>
          <c:showLegendKey val="0"/>
          <c:showVal val="0"/>
          <c:showCatName val="0"/>
          <c:showSerName val="0"/>
          <c:showPercent val="0"/>
          <c:showBubbleSize val="0"/>
        </c:dLbls>
        <c:gapWidth val="182"/>
        <c:axId val="1740635215"/>
        <c:axId val="1740635695"/>
      </c:barChart>
      <c:catAx>
        <c:axId val="1740635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635695"/>
        <c:crosses val="autoZero"/>
        <c:auto val="1"/>
        <c:lblAlgn val="ctr"/>
        <c:lblOffset val="100"/>
        <c:noMultiLvlLbl val="0"/>
      </c:catAx>
      <c:valAx>
        <c:axId val="1740635695"/>
        <c:scaling>
          <c:orientation val="minMax"/>
        </c:scaling>
        <c:delete val="0"/>
        <c:axPos val="b"/>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635215"/>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1270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[Propguru-analysis dashboard.xlsx]Dashboard_Calculations!PivotTable1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Platform Net Revenue by City Hub</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Dashboard_Calculations!$B$3</c:f>
              <c:strCache>
                <c:ptCount val="1"/>
                <c:pt idx="0">
                  <c:v>Count of society</c:v>
                </c:pt>
              </c:strCache>
            </c:strRef>
          </c:tx>
          <c:spPr>
            <a:solidFill>
              <a:schemeClr val="accent6"/>
            </a:solidFill>
            <a:ln>
              <a:noFill/>
            </a:ln>
            <a:effectLst/>
          </c:spPr>
          <c:invertIfNegative val="0"/>
          <c:cat>
            <c:strRef>
              <c:f>Dashboard_Calculations!$A$4:$A$9</c:f>
              <c:strCache>
                <c:ptCount val="5"/>
                <c:pt idx="0">
                  <c:v>Bengaluru</c:v>
                </c:pt>
                <c:pt idx="1">
                  <c:v>Chennai</c:v>
                </c:pt>
                <c:pt idx="2">
                  <c:v>Delhi</c:v>
                </c:pt>
                <c:pt idx="3">
                  <c:v>Mumbai</c:v>
                </c:pt>
                <c:pt idx="4">
                  <c:v>Pune</c:v>
                </c:pt>
              </c:strCache>
            </c:strRef>
          </c:cat>
          <c:val>
            <c:numRef>
              <c:f>Dashboard_Calculations!$B$4:$B$9</c:f>
              <c:numCache>
                <c:formatCode>General</c:formatCode>
                <c:ptCount val="5"/>
                <c:pt idx="0">
                  <c:v>36</c:v>
                </c:pt>
                <c:pt idx="1">
                  <c:v>37</c:v>
                </c:pt>
                <c:pt idx="2">
                  <c:v>36</c:v>
                </c:pt>
                <c:pt idx="3">
                  <c:v>36</c:v>
                </c:pt>
                <c:pt idx="4">
                  <c:v>47</c:v>
                </c:pt>
              </c:numCache>
            </c:numRef>
          </c:val>
          <c:extLst>
            <c:ext xmlns:c16="http://schemas.microsoft.com/office/drawing/2014/chart" uri="{C3380CC4-5D6E-409C-BE32-E72D297353CC}">
              <c16:uniqueId val="{00000000-8FD4-4E9F-9040-419F41A57339}"/>
            </c:ext>
          </c:extLst>
        </c:ser>
        <c:ser>
          <c:idx val="1"/>
          <c:order val="1"/>
          <c:tx>
            <c:strRef>
              <c:f>Dashboard_Calculations!$C$3</c:f>
              <c:strCache>
                <c:ptCount val="1"/>
                <c:pt idx="0">
                  <c:v>Sum of Revenue_Earned</c:v>
                </c:pt>
              </c:strCache>
            </c:strRef>
          </c:tx>
          <c:spPr>
            <a:solidFill>
              <a:schemeClr val="accent5"/>
            </a:solidFill>
            <a:ln>
              <a:noFill/>
            </a:ln>
            <a:effectLst/>
          </c:spPr>
          <c:invertIfNegative val="0"/>
          <c:cat>
            <c:strRef>
              <c:f>Dashboard_Calculations!$A$4:$A$9</c:f>
              <c:strCache>
                <c:ptCount val="5"/>
                <c:pt idx="0">
                  <c:v>Bengaluru</c:v>
                </c:pt>
                <c:pt idx="1">
                  <c:v>Chennai</c:v>
                </c:pt>
                <c:pt idx="2">
                  <c:v>Delhi</c:v>
                </c:pt>
                <c:pt idx="3">
                  <c:v>Mumbai</c:v>
                </c:pt>
                <c:pt idx="4">
                  <c:v>Pune</c:v>
                </c:pt>
              </c:strCache>
            </c:strRef>
          </c:cat>
          <c:val>
            <c:numRef>
              <c:f>Dashboard_Calculations!$C$4:$C$9</c:f>
              <c:numCache>
                <c:formatCode>General</c:formatCode>
                <c:ptCount val="5"/>
                <c:pt idx="0">
                  <c:v>2440270</c:v>
                </c:pt>
                <c:pt idx="1">
                  <c:v>3220240</c:v>
                </c:pt>
                <c:pt idx="2">
                  <c:v>4359900</c:v>
                </c:pt>
                <c:pt idx="3">
                  <c:v>5797310</c:v>
                </c:pt>
                <c:pt idx="4">
                  <c:v>3389670</c:v>
                </c:pt>
              </c:numCache>
            </c:numRef>
          </c:val>
          <c:extLst>
            <c:ext xmlns:c16="http://schemas.microsoft.com/office/drawing/2014/chart" uri="{C3380CC4-5D6E-409C-BE32-E72D297353CC}">
              <c16:uniqueId val="{00000001-8FD4-4E9F-9040-419F41A57339}"/>
            </c:ext>
          </c:extLst>
        </c:ser>
        <c:dLbls>
          <c:showLegendKey val="0"/>
          <c:showVal val="0"/>
          <c:showCatName val="0"/>
          <c:showSerName val="0"/>
          <c:showPercent val="0"/>
          <c:showBubbleSize val="0"/>
        </c:dLbls>
        <c:gapWidth val="219"/>
        <c:overlap val="-27"/>
        <c:axId val="1797775487"/>
        <c:axId val="1797775967"/>
      </c:barChart>
      <c:catAx>
        <c:axId val="179777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775967"/>
        <c:crosses val="autoZero"/>
        <c:auto val="1"/>
        <c:lblAlgn val="ctr"/>
        <c:lblOffset val="100"/>
        <c:noMultiLvlLbl val="0"/>
      </c:catAx>
      <c:valAx>
        <c:axId val="1797775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775487"/>
        <c:crosses val="autoZero"/>
        <c:crossBetween val="between"/>
      </c:valAx>
      <c:spPr>
        <a:noFill/>
        <a:ln>
          <a:noFill/>
        </a:ln>
        <a:effectLst/>
      </c:spPr>
    </c:plotArea>
    <c:legend>
      <c:legendPos val="r"/>
      <c:layout>
        <c:manualLayout>
          <c:xMode val="edge"/>
          <c:yMode val="edge"/>
          <c:x val="0.66254727038901562"/>
          <c:y val="0.35180775595821606"/>
          <c:w val="0.31620197065530742"/>
          <c:h val="0.323157722754535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[Propguru-analysis dashboard.xlsx]Dashboard_Calculations!PivotTable5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Resale Inventory Operations Funnel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s>
    <c:plotArea>
      <c:layout/>
      <c:pieChart>
        <c:varyColors val="1"/>
        <c:ser>
          <c:idx val="0"/>
          <c:order val="0"/>
          <c:tx>
            <c:strRef>
              <c:f>Dashboard_Calculations!$I$3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0262-4D41-AF8B-D0043C0A14B3}"/>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0262-4D41-AF8B-D0043C0A14B3}"/>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0262-4D41-AF8B-D0043C0A14B3}"/>
              </c:ext>
            </c:extLst>
          </c:dPt>
          <c:cat>
            <c:strRef>
              <c:f>Dashboard_Calculations!$H$4:$H$7</c:f>
              <c:strCache>
                <c:ptCount val="3"/>
                <c:pt idx="0">
                  <c:v>Available</c:v>
                </c:pt>
                <c:pt idx="1">
                  <c:v>Pending</c:v>
                </c:pt>
                <c:pt idx="2">
                  <c:v>Sold</c:v>
                </c:pt>
              </c:strCache>
            </c:strRef>
          </c:cat>
          <c:val>
            <c:numRef>
              <c:f>Dashboard_Calculations!$I$4:$I$7</c:f>
              <c:numCache>
                <c:formatCode>General</c:formatCode>
                <c:ptCount val="3"/>
                <c:pt idx="0">
                  <c:v>72</c:v>
                </c:pt>
                <c:pt idx="1">
                  <c:v>65</c:v>
                </c:pt>
                <c:pt idx="2">
                  <c:v>55</c:v>
                </c:pt>
              </c:numCache>
            </c:numRef>
          </c:val>
          <c:extLst>
            <c:ext xmlns:c16="http://schemas.microsoft.com/office/drawing/2014/chart" uri="{C3380CC4-5D6E-409C-BE32-E72D297353CC}">
              <c16:uniqueId val="{00000006-0262-4D41-AF8B-D0043C0A14B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464820</xdr:colOff>
      <xdr:row>1</xdr:row>
      <xdr:rowOff>7620</xdr:rowOff>
    </xdr:from>
    <xdr:to>
      <xdr:col>16</xdr:col>
      <xdr:colOff>449580</xdr:colOff>
      <xdr:row>11</xdr:row>
      <xdr:rowOff>175260</xdr:rowOff>
    </xdr:to>
    <xdr:graphicFrame macro="">
      <xdr:nvGraphicFramePr>
        <xdr:cNvPr id="2" name="Chart 1">
          <a:extLst>
            <a:ext uri="{FF2B5EF4-FFF2-40B4-BE49-F238E27FC236}">
              <a16:creationId xmlns:a16="http://schemas.microsoft.com/office/drawing/2014/main" id="{6C45C3F9-188A-4D57-8E1D-F2D61CBC5D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236220</xdr:colOff>
      <xdr:row>1</xdr:row>
      <xdr:rowOff>0</xdr:rowOff>
    </xdr:from>
    <xdr:to>
      <xdr:col>7</xdr:col>
      <xdr:colOff>556260</xdr:colOff>
      <xdr:row>11</xdr:row>
      <xdr:rowOff>76200</xdr:rowOff>
    </xdr:to>
    <xdr:graphicFrame macro="">
      <xdr:nvGraphicFramePr>
        <xdr:cNvPr id="3" name="Chart 2">
          <a:extLst>
            <a:ext uri="{FF2B5EF4-FFF2-40B4-BE49-F238E27FC236}">
              <a16:creationId xmlns:a16="http://schemas.microsoft.com/office/drawing/2014/main" id="{2D2EC03D-590F-4AB6-BCB5-03C40A714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144780</xdr:colOff>
      <xdr:row>12</xdr:row>
      <xdr:rowOff>167640</xdr:rowOff>
    </xdr:from>
    <xdr:to>
      <xdr:col>8</xdr:col>
      <xdr:colOff>434340</xdr:colOff>
      <xdr:row>25</xdr:row>
      <xdr:rowOff>175260</xdr:rowOff>
    </xdr:to>
    <xdr:graphicFrame macro="">
      <xdr:nvGraphicFramePr>
        <xdr:cNvPr id="4" name="Chart 3">
          <a:extLst>
            <a:ext uri="{FF2B5EF4-FFF2-40B4-BE49-F238E27FC236}">
              <a16:creationId xmlns:a16="http://schemas.microsoft.com/office/drawing/2014/main" id="{21BBFD3A-91BC-46A3-BCFF-EF3F85422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137160</xdr:colOff>
      <xdr:row>13</xdr:row>
      <xdr:rowOff>129541</xdr:rowOff>
    </xdr:from>
    <xdr:to>
      <xdr:col>13</xdr:col>
      <xdr:colOff>563880</xdr:colOff>
      <xdr:row>25</xdr:row>
      <xdr:rowOff>99061</xdr:rowOff>
    </xdr:to>
    <mc:AlternateContent xmlns:mc="http://schemas.openxmlformats.org/markup-compatibility/2006">
      <mc:Choice xmlns:a14="http://schemas.microsoft.com/office/drawing/2010/main" Requires="a14">
        <xdr:graphicFrame macro="">
          <xdr:nvGraphicFramePr>
            <xdr:cNvPr id="5" name="bedrooms">
              <a:extLst>
                <a:ext uri="{FF2B5EF4-FFF2-40B4-BE49-F238E27FC236}">
                  <a16:creationId xmlns:a16="http://schemas.microsoft.com/office/drawing/2014/main" id="{B29E9085-0324-1A00-E7CD-0B18B4250F77}"/>
                </a:ext>
              </a:extLst>
            </xdr:cNvPr>
            <xdr:cNvGraphicFramePr/>
          </xdr:nvGraphicFramePr>
          <xdr:xfrm>
            <a:off x="0" y="0"/>
            <a:ext cx="0" cy="0"/>
          </xdr:xfrm>
          <a:graphic>
            <a:graphicData uri="http://schemas.microsoft.com/office/drawing/2010/slicer">
              <sle:slicer xmlns:sle="http://schemas.microsoft.com/office/drawing/2010/slicer" name="bedrooms"/>
            </a:graphicData>
          </a:graphic>
        </xdr:graphicFrame>
      </mc:Choice>
      <mc:Fallback>
        <xdr:sp macro="" textlink="">
          <xdr:nvSpPr>
            <xdr:cNvPr id="0" name=""/>
            <xdr:cNvSpPr>
              <a:spLocks noTextEdit="1"/>
            </xdr:cNvSpPr>
          </xdr:nvSpPr>
          <xdr:spPr>
            <a:xfrm>
              <a:off x="6842760" y="2506981"/>
              <a:ext cx="1645920" cy="2164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drika Srivastava" refreshedDate="46180.888592939817" createdVersion="8" refreshedVersion="8" minRefreshableVersion="3" recordCount="1002" xr:uid="{763DFB5A-8637-49D4-8637-54DB8C3CABB0}">
  <cacheSource type="worksheet">
    <worksheetSource name="indian_house_prices"/>
  </cacheSource>
  <cacheFields count="28">
    <cacheField name="city" numFmtId="0">
      <sharedItems containsBlank="1" count="6">
        <s v="Mumbai"/>
        <s v="Delhi"/>
        <s v="Pune"/>
        <s v="Chennai"/>
        <s v="Bengaluru"/>
        <m/>
      </sharedItems>
    </cacheField>
    <cacheField name="locality" numFmtId="0">
      <sharedItems containsBlank="1"/>
    </cacheField>
    <cacheField name="bedrooms" numFmtId="0">
      <sharedItems containsString="0" containsBlank="1" containsNumber="1" containsInteger="1" minValue="1" maxValue="5" count="6">
        <n v="3"/>
        <n v="5"/>
        <n v="1"/>
        <n v="4"/>
        <n v="2"/>
        <m/>
      </sharedItems>
    </cacheField>
    <cacheField name="bathrooms" numFmtId="0">
      <sharedItems containsString="0" containsBlank="1" containsNumber="1" containsInteger="1" minValue="1" maxValue="4"/>
    </cacheField>
    <cacheField name="sqft_living" numFmtId="0">
      <sharedItems containsString="0" containsBlank="1" containsNumber="1" containsInteger="1" minValue="300" maxValue="4999"/>
    </cacheField>
    <cacheField name="sqft_lot" numFmtId="0">
      <sharedItems containsString="0" containsBlank="1" containsNumber="1" containsInteger="1" minValue="580" maxValue="9998"/>
    </cacheField>
    <cacheField name="floors" numFmtId="0">
      <sharedItems containsString="0" containsBlank="1" containsNumber="1" containsInteger="1" minValue="1" maxValue="3"/>
    </cacheField>
    <cacheField name="year_built" numFmtId="0">
      <sharedItems containsString="0" containsBlank="1" containsNumber="1" containsInteger="1" minValue="1950" maxValue="2025"/>
    </cacheField>
    <cacheField name="year_renovated" numFmtId="0">
      <sharedItems containsString="0" containsBlank="1" containsNumber="1" containsInteger="1" minValue="0" maxValue="2025"/>
    </cacheField>
    <cacheField name="property_type" numFmtId="0">
      <sharedItems containsBlank="1"/>
    </cacheField>
    <cacheField name="parking" numFmtId="0">
      <sharedItems containsString="0" containsBlank="1" containsNumber="1" containsInteger="1" minValue="0" maxValue="3"/>
    </cacheField>
    <cacheField name="facing" numFmtId="0">
      <sharedItems containsBlank="1"/>
    </cacheField>
    <cacheField name="lift" numFmtId="0">
      <sharedItems containsBlank="1"/>
    </cacheField>
    <cacheField name="furnishing" numFmtId="0">
      <sharedItems containsBlank="1"/>
    </cacheField>
    <cacheField name="nearby_schools" numFmtId="0">
      <sharedItems containsString="0" containsBlank="1" containsNumber="1" containsInteger="1" minValue="0" maxValue="10"/>
    </cacheField>
    <cacheField name="nearby_hospitals" numFmtId="0">
      <sharedItems containsString="0" containsBlank="1" containsNumber="1" containsInteger="1" minValue="0" maxValue="5"/>
    </cacheField>
    <cacheField name="society" numFmtId="0">
      <sharedItems containsBlank="1"/>
    </cacheField>
    <cacheField name="balcony" numFmtId="0">
      <sharedItems containsString="0" containsBlank="1" containsNumber="1" containsInteger="1" minValue="0" maxValue="3"/>
    </cacheField>
    <cacheField name="garden" numFmtId="0">
      <sharedItems containsBlank="1"/>
    </cacheField>
    <cacheField name="price" numFmtId="0">
      <sharedItems containsString="0" containsBlank="1" containsNumber="1" containsInteger="1" minValue="2872000" maxValue="60056000"/>
    </cacheField>
    <cacheField name="status" numFmtId="0">
      <sharedItems containsBlank="1" count="4">
        <s v="Sold"/>
        <s v="Available"/>
        <s v="Pending"/>
        <m/>
      </sharedItems>
    </cacheField>
    <cacheField name="broker_id" numFmtId="0">
      <sharedItems containsBlank="1"/>
    </cacheField>
    <cacheField name="broker_name" numFmtId="0">
      <sharedItems containsBlank="1" count="6">
        <s v="Priya Patel"/>
        <s v="Rahul Singh"/>
        <s v="Amit Sharma"/>
        <s v="Sneha Reddy"/>
        <s v="Vikas Gupta"/>
        <m/>
      </sharedItems>
    </cacheField>
    <cacheField name="commission_tier" numFmtId="0">
      <sharedItems containsBlank="1"/>
    </cacheField>
    <cacheField name="Commission_Rate" numFmtId="0">
      <sharedItems containsString="0" containsBlank="1" containsNumber="1" minValue="0.01" maxValue="0.02"/>
    </cacheField>
    <cacheField name="broker_payout" numFmtId="0">
      <sharedItems containsString="0" containsBlank="1" containsNumber="1" minValue="0" maxValue="1111520"/>
    </cacheField>
    <cacheField name="Total_Fees_Collected" numFmtId="0">
      <sharedItems containsSemiMixedTypes="0" containsString="0" containsNumber="1" containsInteger="1" minValue="0" maxValue="1786860"/>
    </cacheField>
    <cacheField name="Revenue_Earned" numFmtId="0">
      <sharedItems containsSemiMixedTypes="0" containsString="0" containsNumber="1" minValue="0" maxValue="1146300"/>
    </cacheField>
  </cacheFields>
  <extLst>
    <ext xmlns:x14="http://schemas.microsoft.com/office/spreadsheetml/2009/9/main" uri="{725AE2AE-9491-48be-B2B4-4EB974FC3084}">
      <x14:pivotCacheDefinition pivotCacheId="11023969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2">
  <r>
    <x v="0"/>
    <s v="Andheri"/>
    <x v="0"/>
    <n v="2"/>
    <n v="2128"/>
    <n v="3321"/>
    <n v="3"/>
    <n v="1963"/>
    <n v="1973"/>
    <s v="Independent House"/>
    <n v="0"/>
    <s v="North"/>
    <s v="Yes"/>
    <s v="Furnished"/>
    <n v="3"/>
    <n v="4"/>
    <s v="Andheri Heights"/>
    <n v="1"/>
    <s v="No"/>
    <n v="25921000"/>
    <x v="0"/>
    <s v="BRK-02"/>
    <x v="0"/>
    <s v="Tier B"/>
    <n v="1.4999999999999999E-2"/>
    <n v="388815"/>
    <n v="777630"/>
    <n v="388815"/>
  </r>
  <r>
    <x v="1"/>
    <s v="Vasant Kunj"/>
    <x v="1"/>
    <n v="3"/>
    <n v="353"/>
    <n v="3018"/>
    <n v="3"/>
    <n v="2004"/>
    <n v="2013"/>
    <s v="Villa"/>
    <n v="1"/>
    <s v="South"/>
    <s v="No"/>
    <s v="Furnished"/>
    <n v="1"/>
    <n v="3"/>
    <s v="Vasant Kunj Heights"/>
    <n v="2"/>
    <s v="No"/>
    <n v="4035000"/>
    <x v="0"/>
    <s v="BRK-02"/>
    <x v="0"/>
    <s v="Tier B"/>
    <n v="1.4999999999999999E-2"/>
    <n v="60525"/>
    <n v="121050"/>
    <n v="60525"/>
  </r>
  <r>
    <x v="2"/>
    <s v="Viman Nagar"/>
    <x v="2"/>
    <n v="4"/>
    <n v="4692"/>
    <n v="5764"/>
    <n v="2"/>
    <n v="1960"/>
    <n v="1996"/>
    <s v="Villa"/>
    <n v="1"/>
    <s v="North"/>
    <s v="Yes"/>
    <s v="Unfurnished"/>
    <n v="3"/>
    <n v="2"/>
    <s v="Viman Nagar Heights"/>
    <n v="1"/>
    <s v="Yes"/>
    <n v="40182000"/>
    <x v="1"/>
    <s v="BRK-03"/>
    <x v="1"/>
    <s v="Tier A"/>
    <n v="0.02"/>
    <n v="0"/>
    <n v="0"/>
    <n v="0"/>
  </r>
  <r>
    <x v="3"/>
    <s v="Adyar"/>
    <x v="3"/>
    <n v="3"/>
    <n v="1632"/>
    <n v="7747"/>
    <n v="2"/>
    <n v="1976"/>
    <n v="2017"/>
    <s v="Villa"/>
    <n v="0"/>
    <s v="South"/>
    <s v="Yes"/>
    <s v="Furnished"/>
    <n v="7"/>
    <n v="3"/>
    <s v="Adyar Enclave"/>
    <n v="1"/>
    <s v="No"/>
    <n v="13501000"/>
    <x v="1"/>
    <s v="BRK-01"/>
    <x v="2"/>
    <s v="Tier A"/>
    <n v="0.02"/>
    <n v="0"/>
    <n v="0"/>
    <n v="0"/>
  </r>
  <r>
    <x v="0"/>
    <s v="Bandra"/>
    <x v="2"/>
    <n v="3"/>
    <n v="3586"/>
    <n v="5829"/>
    <n v="1"/>
    <n v="1977"/>
    <n v="2012"/>
    <s v="Villa"/>
    <n v="1"/>
    <s v="West"/>
    <s v="No"/>
    <s v="Unfurnished"/>
    <n v="7"/>
    <n v="1"/>
    <s v="Bandra Enclave"/>
    <n v="1"/>
    <s v="Yes"/>
    <n v="43257000"/>
    <x v="1"/>
    <s v="BRK-04"/>
    <x v="3"/>
    <s v="Tier C"/>
    <n v="0.01"/>
    <n v="0"/>
    <n v="0"/>
    <n v="0"/>
  </r>
  <r>
    <x v="2"/>
    <s v="Aundh"/>
    <x v="0"/>
    <n v="4"/>
    <n v="3571"/>
    <n v="6586"/>
    <n v="1"/>
    <n v="1967"/>
    <n v="1998"/>
    <s v="Independent House"/>
    <n v="0"/>
    <s v="North"/>
    <s v="Yes"/>
    <s v="Furnished"/>
    <n v="10"/>
    <n v="1"/>
    <s v="Aundh Villa"/>
    <n v="0"/>
    <s v="No"/>
    <n v="30743500"/>
    <x v="1"/>
    <s v="BRK-03"/>
    <x v="1"/>
    <s v="Tier A"/>
    <n v="0.02"/>
    <n v="0"/>
    <n v="0"/>
    <n v="0"/>
  </r>
  <r>
    <x v="3"/>
    <s v="Perambur"/>
    <x v="3"/>
    <n v="3"/>
    <n v="4832"/>
    <n v="4976"/>
    <n v="3"/>
    <n v="1964"/>
    <n v="2006"/>
    <s v="Villa"/>
    <n v="2"/>
    <s v="North"/>
    <s v="No"/>
    <s v="Semi-Furnished"/>
    <n v="2"/>
    <n v="3"/>
    <s v="Perambur Heights"/>
    <n v="2"/>
    <s v="Yes"/>
    <n v="39086000"/>
    <x v="0"/>
    <s v="BRK-03"/>
    <x v="1"/>
    <s v="Tier A"/>
    <n v="0.02"/>
    <n v="781720"/>
    <n v="1172580"/>
    <n v="390860"/>
  </r>
  <r>
    <x v="2"/>
    <s v="Kothrud"/>
    <x v="0"/>
    <n v="2"/>
    <n v="1552"/>
    <n v="7728"/>
    <n v="1"/>
    <n v="2019"/>
    <n v="0"/>
    <s v="Villa"/>
    <n v="3"/>
    <s v="North"/>
    <s v="Yes"/>
    <s v="Semi-Furnished"/>
    <n v="4"/>
    <n v="1"/>
    <s v="Kothrud Heights"/>
    <n v="1"/>
    <s v="Yes"/>
    <n v="13512000"/>
    <x v="1"/>
    <s v="BRK-05"/>
    <x v="4"/>
    <s v="Tier B"/>
    <n v="1.4999999999999999E-2"/>
    <n v="0"/>
    <n v="0"/>
    <n v="0"/>
  </r>
  <r>
    <x v="0"/>
    <s v="Borivali"/>
    <x v="2"/>
    <n v="2"/>
    <n v="1351"/>
    <n v="9188"/>
    <n v="3"/>
    <n v="1971"/>
    <n v="1986"/>
    <s v="Independent House"/>
    <n v="1"/>
    <s v="South"/>
    <s v="No"/>
    <s v="Semi-Furnished"/>
    <n v="10"/>
    <n v="5"/>
    <s v="Borivali Enclave"/>
    <n v="3"/>
    <s v="No"/>
    <n v="16427000"/>
    <x v="2"/>
    <s v="BRK-02"/>
    <x v="0"/>
    <s v="Tier B"/>
    <n v="1.4999999999999999E-2"/>
    <n v="0"/>
    <n v="0"/>
    <n v="0"/>
  </r>
  <r>
    <x v="0"/>
    <s v="Bandra"/>
    <x v="4"/>
    <n v="1"/>
    <n v="3069"/>
    <n v="3291"/>
    <n v="3"/>
    <n v="2020"/>
    <n v="2020"/>
    <s v="Apartment"/>
    <n v="0"/>
    <s v="North"/>
    <s v="Yes"/>
    <s v="Furnished"/>
    <n v="1"/>
    <n v="0"/>
    <s v="Bandra Enclave"/>
    <n v="0"/>
    <s v="Yes"/>
    <n v="37168000"/>
    <x v="2"/>
    <s v="BRK-01"/>
    <x v="2"/>
    <s v="Tier A"/>
    <n v="0.02"/>
    <n v="0"/>
    <n v="0"/>
    <n v="0"/>
  </r>
  <r>
    <x v="4"/>
    <s v="MG Road"/>
    <x v="4"/>
    <n v="2"/>
    <n v="4977"/>
    <n v="9747"/>
    <n v="2"/>
    <n v="1981"/>
    <n v="2010"/>
    <s v="Independent House"/>
    <n v="1"/>
    <s v="North"/>
    <s v="Yes"/>
    <s v="Unfurnished"/>
    <n v="6"/>
    <n v="2"/>
    <s v="MG Road Villa"/>
    <n v="3"/>
    <s v="No"/>
    <n v="45063000"/>
    <x v="0"/>
    <s v="BRK-01"/>
    <x v="2"/>
    <s v="Tier A"/>
    <n v="0.02"/>
    <n v="901260"/>
    <n v="1351890"/>
    <n v="450630"/>
  </r>
  <r>
    <x v="0"/>
    <s v="Andheri"/>
    <x v="2"/>
    <n v="4"/>
    <n v="3079"/>
    <n v="9687"/>
    <n v="1"/>
    <n v="1981"/>
    <n v="1992"/>
    <s v="Apartment"/>
    <n v="3"/>
    <s v="South"/>
    <s v="No"/>
    <s v="Furnished"/>
    <n v="4"/>
    <n v="3"/>
    <s v="Andheri Residency"/>
    <n v="0"/>
    <s v="No"/>
    <n v="37213000"/>
    <x v="1"/>
    <s v="BRK-03"/>
    <x v="1"/>
    <s v="Tier A"/>
    <n v="0.02"/>
    <n v="0"/>
    <n v="0"/>
    <n v="0"/>
  </r>
  <r>
    <x v="2"/>
    <s v="Kothrud"/>
    <x v="2"/>
    <n v="1"/>
    <n v="1064"/>
    <n v="4986"/>
    <n v="1"/>
    <n v="2002"/>
    <n v="2016"/>
    <s v="Independent House"/>
    <n v="1"/>
    <s v="West"/>
    <s v="Yes"/>
    <s v="Furnished"/>
    <n v="6"/>
    <n v="0"/>
    <s v="Kothrud Villa"/>
    <n v="2"/>
    <s v="No"/>
    <n v="9274000"/>
    <x v="2"/>
    <s v="BRK-03"/>
    <x v="1"/>
    <s v="Tier A"/>
    <n v="0.02"/>
    <n v="0"/>
    <n v="0"/>
    <n v="0"/>
  </r>
  <r>
    <x v="4"/>
    <s v="MG Road"/>
    <x v="1"/>
    <n v="4"/>
    <n v="1568"/>
    <n v="4729"/>
    <n v="2"/>
    <n v="1977"/>
    <n v="1979"/>
    <s v="Builder Floor"/>
    <n v="2"/>
    <s v="North"/>
    <s v="Yes"/>
    <s v="Unfurnished"/>
    <n v="7"/>
    <n v="4"/>
    <s v="MG Road Residency"/>
    <n v="0"/>
    <s v="Yes"/>
    <n v="14597000"/>
    <x v="2"/>
    <s v="BRK-04"/>
    <x v="3"/>
    <s v="Tier C"/>
    <n v="0.01"/>
    <n v="0"/>
    <n v="0"/>
    <n v="0"/>
  </r>
  <r>
    <x v="1"/>
    <s v="Dwarka"/>
    <x v="1"/>
    <n v="1"/>
    <n v="2226"/>
    <n v="5583"/>
    <n v="1"/>
    <n v="2022"/>
    <n v="2022"/>
    <s v="Builder Floor"/>
    <n v="0"/>
    <s v="West"/>
    <s v="No"/>
    <s v="Semi-Furnished"/>
    <n v="3"/>
    <n v="5"/>
    <s v="Dwarka Enclave"/>
    <n v="1"/>
    <s v="No"/>
    <n v="22575000"/>
    <x v="1"/>
    <s v="BRK-04"/>
    <x v="3"/>
    <s v="Tier C"/>
    <n v="0.01"/>
    <n v="0"/>
    <n v="0"/>
    <n v="0"/>
  </r>
  <r>
    <x v="3"/>
    <s v="Velachery"/>
    <x v="0"/>
    <n v="4"/>
    <n v="2890"/>
    <n v="9099"/>
    <n v="1"/>
    <n v="1951"/>
    <n v="2008"/>
    <s v="Builder Floor"/>
    <n v="0"/>
    <s v="South"/>
    <s v="No"/>
    <s v="Furnished"/>
    <n v="5"/>
    <n v="0"/>
    <s v="Velachery Residency"/>
    <n v="2"/>
    <s v="No"/>
    <n v="23515000"/>
    <x v="2"/>
    <s v="BRK-01"/>
    <x v="2"/>
    <s v="Tier A"/>
    <n v="0.02"/>
    <n v="0"/>
    <n v="0"/>
    <n v="0"/>
  </r>
  <r>
    <x v="1"/>
    <s v="Vasant Kunj"/>
    <x v="1"/>
    <n v="3"/>
    <n v="4633"/>
    <n v="4747"/>
    <n v="3"/>
    <n v="2020"/>
    <n v="2021"/>
    <s v="Builder Floor"/>
    <n v="1"/>
    <s v="East"/>
    <s v="Yes"/>
    <s v="Furnished"/>
    <n v="8"/>
    <n v="1"/>
    <s v="Vasant Kunj Enclave"/>
    <n v="2"/>
    <s v="Yes"/>
    <n v="46910000"/>
    <x v="2"/>
    <s v="BRK-04"/>
    <x v="3"/>
    <s v="Tier C"/>
    <n v="0.01"/>
    <n v="0"/>
    <n v="0"/>
    <n v="0"/>
  </r>
  <r>
    <x v="4"/>
    <s v="Koramangala"/>
    <x v="0"/>
    <n v="4"/>
    <n v="2357"/>
    <n v="9823"/>
    <n v="1"/>
    <n v="1961"/>
    <n v="2014"/>
    <s v="Villa"/>
    <n v="0"/>
    <s v="North"/>
    <s v="No"/>
    <s v="Furnished"/>
    <n v="10"/>
    <n v="2"/>
    <s v="Koramangala Residency"/>
    <n v="3"/>
    <s v="No"/>
    <n v="21623000"/>
    <x v="2"/>
    <s v="BRK-03"/>
    <x v="1"/>
    <s v="Tier A"/>
    <n v="0.02"/>
    <n v="0"/>
    <n v="0"/>
    <n v="0"/>
  </r>
  <r>
    <x v="2"/>
    <s v="Kothrud"/>
    <x v="2"/>
    <n v="1"/>
    <n v="1521"/>
    <n v="2161"/>
    <n v="2"/>
    <n v="2024"/>
    <n v="2025"/>
    <s v="Apartment"/>
    <n v="3"/>
    <s v="South"/>
    <s v="Yes"/>
    <s v="Semi-Furnished"/>
    <n v="5"/>
    <n v="0"/>
    <s v="Kothrud Enclave"/>
    <n v="1"/>
    <s v="Yes"/>
    <n v="13138500"/>
    <x v="1"/>
    <s v="BRK-02"/>
    <x v="0"/>
    <s v="Tier B"/>
    <n v="1.4999999999999999E-2"/>
    <n v="0"/>
    <n v="0"/>
    <n v="0"/>
  </r>
  <r>
    <x v="0"/>
    <s v="Juhu"/>
    <x v="1"/>
    <n v="4"/>
    <n v="1566"/>
    <n v="5494"/>
    <n v="1"/>
    <n v="1972"/>
    <n v="1997"/>
    <s v="Builder Floor"/>
    <n v="1"/>
    <s v="East"/>
    <s v="No"/>
    <s v="Unfurnished"/>
    <n v="3"/>
    <n v="2"/>
    <s v="Juhu Residency"/>
    <n v="0"/>
    <s v="No"/>
    <n v="19182000"/>
    <x v="0"/>
    <s v="BRK-03"/>
    <x v="1"/>
    <s v="Tier A"/>
    <n v="0.02"/>
    <n v="383640"/>
    <n v="575460"/>
    <n v="191820"/>
  </r>
  <r>
    <x v="0"/>
    <s v="Borivali"/>
    <x v="4"/>
    <n v="2"/>
    <n v="4070"/>
    <n v="6984"/>
    <n v="2"/>
    <n v="1979"/>
    <n v="1992"/>
    <s v="Builder Floor"/>
    <n v="1"/>
    <s v="West"/>
    <s v="No"/>
    <s v="Semi-Furnished"/>
    <n v="1"/>
    <n v="2"/>
    <s v="Borivali Enclave"/>
    <n v="3"/>
    <s v="No"/>
    <n v="49085000"/>
    <x v="0"/>
    <s v="BRK-05"/>
    <x v="4"/>
    <s v="Tier B"/>
    <n v="1.4999999999999999E-2"/>
    <n v="736275"/>
    <n v="1472550"/>
    <n v="736275"/>
  </r>
  <r>
    <x v="0"/>
    <s v="Andheri"/>
    <x v="0"/>
    <n v="2"/>
    <n v="2474"/>
    <n v="2837"/>
    <n v="1"/>
    <n v="2005"/>
    <n v="2015"/>
    <s v="Villa"/>
    <n v="3"/>
    <s v="North"/>
    <s v="No"/>
    <s v="Unfurnished"/>
    <n v="3"/>
    <n v="2"/>
    <s v="Andheri Heights"/>
    <n v="3"/>
    <s v="Yes"/>
    <n v="30013000"/>
    <x v="2"/>
    <s v="BRK-02"/>
    <x v="0"/>
    <s v="Tier B"/>
    <n v="1.4999999999999999E-2"/>
    <n v="0"/>
    <n v="0"/>
    <n v="0"/>
  </r>
  <r>
    <x v="2"/>
    <s v="Aundh"/>
    <x v="4"/>
    <n v="3"/>
    <n v="3833"/>
    <n v="4456"/>
    <n v="3"/>
    <n v="1992"/>
    <n v="2011"/>
    <s v="Builder Floor"/>
    <n v="2"/>
    <s v="East"/>
    <s v="No"/>
    <s v="Semi-Furnished"/>
    <n v="6"/>
    <n v="5"/>
    <s v="Aundh Enclave"/>
    <n v="1"/>
    <s v="Yes"/>
    <n v="32895500"/>
    <x v="1"/>
    <s v="BRK-02"/>
    <x v="0"/>
    <s v="Tier B"/>
    <n v="1.4999999999999999E-2"/>
    <n v="0"/>
    <n v="0"/>
    <n v="0"/>
  </r>
  <r>
    <x v="3"/>
    <s v="Anna Nagar"/>
    <x v="4"/>
    <n v="3"/>
    <n v="3626"/>
    <n v="8164"/>
    <n v="1"/>
    <n v="1988"/>
    <n v="2005"/>
    <s v="Apartment"/>
    <n v="3"/>
    <s v="East"/>
    <s v="No"/>
    <s v="Semi-Furnished"/>
    <n v="7"/>
    <n v="5"/>
    <s v="Anna Nagar Residency"/>
    <n v="3"/>
    <s v="Yes"/>
    <n v="29313000"/>
    <x v="0"/>
    <s v="BRK-02"/>
    <x v="0"/>
    <s v="Tier B"/>
    <n v="1.4999999999999999E-2"/>
    <n v="439695"/>
    <n v="879390"/>
    <n v="439695"/>
  </r>
  <r>
    <x v="0"/>
    <s v="Juhu"/>
    <x v="1"/>
    <n v="3"/>
    <n v="1065"/>
    <n v="4963"/>
    <n v="3"/>
    <n v="1989"/>
    <n v="2002"/>
    <s v="Apartment"/>
    <n v="1"/>
    <s v="North"/>
    <s v="Yes"/>
    <s v="Furnished"/>
    <n v="7"/>
    <n v="4"/>
    <s v="Juhu Heights"/>
    <n v="3"/>
    <s v="No"/>
    <n v="13325000"/>
    <x v="0"/>
    <s v="BRK-04"/>
    <x v="3"/>
    <s v="Tier C"/>
    <n v="0.01"/>
    <n v="133250"/>
    <n v="399750"/>
    <n v="266500"/>
  </r>
  <r>
    <x v="2"/>
    <s v="Hinjewadi"/>
    <x v="3"/>
    <n v="4"/>
    <n v="3573"/>
    <n v="5621"/>
    <n v="1"/>
    <n v="1950"/>
    <n v="1962"/>
    <s v="Independent House"/>
    <n v="1"/>
    <s v="South"/>
    <s v="No"/>
    <s v="Furnished"/>
    <n v="8"/>
    <n v="1"/>
    <s v="Hinjewadi Heights"/>
    <n v="3"/>
    <s v="Yes"/>
    <n v="30880500"/>
    <x v="0"/>
    <s v="BRK-03"/>
    <x v="1"/>
    <s v="Tier A"/>
    <n v="0.02"/>
    <n v="617610"/>
    <n v="926415"/>
    <n v="308805"/>
  </r>
  <r>
    <x v="3"/>
    <s v="Perambur"/>
    <x v="1"/>
    <n v="3"/>
    <n v="3925"/>
    <n v="8993"/>
    <n v="3"/>
    <n v="2014"/>
    <n v="2019"/>
    <s v="Independent House"/>
    <n v="1"/>
    <s v="West"/>
    <s v="No"/>
    <s v="Semi-Furnished"/>
    <n v="3"/>
    <n v="5"/>
    <s v="Perambur Enclave"/>
    <n v="3"/>
    <s v="Yes"/>
    <n v="31895000"/>
    <x v="2"/>
    <s v="BRK-01"/>
    <x v="2"/>
    <s v="Tier A"/>
    <n v="0.02"/>
    <n v="0"/>
    <n v="0"/>
    <n v="0"/>
  </r>
  <r>
    <x v="4"/>
    <s v="MG Road"/>
    <x v="2"/>
    <n v="3"/>
    <n v="2220"/>
    <n v="4495"/>
    <n v="2"/>
    <n v="1990"/>
    <n v="2023"/>
    <s v="Builder Floor"/>
    <n v="1"/>
    <s v="South"/>
    <s v="Yes"/>
    <s v="Semi-Furnished"/>
    <n v="2"/>
    <n v="5"/>
    <s v="MG Road Residency"/>
    <n v="0"/>
    <s v="No"/>
    <n v="20185000"/>
    <x v="2"/>
    <s v="BRK-03"/>
    <x v="1"/>
    <s v="Tier A"/>
    <n v="0.02"/>
    <n v="0"/>
    <n v="0"/>
    <n v="0"/>
  </r>
  <r>
    <x v="3"/>
    <s v="Adyar"/>
    <x v="1"/>
    <n v="4"/>
    <n v="3706"/>
    <n v="4266"/>
    <n v="1"/>
    <n v="2003"/>
    <n v="2014"/>
    <s v="Builder Floor"/>
    <n v="3"/>
    <s v="West"/>
    <s v="Yes"/>
    <s v="Semi-Furnished"/>
    <n v="4"/>
    <n v="3"/>
    <s v="Adyar Villa"/>
    <n v="1"/>
    <s v="No"/>
    <n v="30078000"/>
    <x v="0"/>
    <s v="BRK-02"/>
    <x v="0"/>
    <s v="Tier B"/>
    <n v="1.4999999999999999E-2"/>
    <n v="451170"/>
    <n v="902340"/>
    <n v="451170"/>
  </r>
  <r>
    <x v="1"/>
    <s v="Saket"/>
    <x v="3"/>
    <n v="4"/>
    <n v="537"/>
    <n v="6958"/>
    <n v="2"/>
    <n v="2001"/>
    <n v="2023"/>
    <s v="Apartment"/>
    <n v="3"/>
    <s v="South"/>
    <s v="Yes"/>
    <s v="Semi-Furnished"/>
    <n v="9"/>
    <n v="4"/>
    <s v="Saket Heights"/>
    <n v="0"/>
    <s v="No"/>
    <n v="5755000"/>
    <x v="2"/>
    <s v="BRK-02"/>
    <x v="0"/>
    <s v="Tier B"/>
    <n v="1.4999999999999999E-2"/>
    <n v="0"/>
    <n v="0"/>
    <n v="0"/>
  </r>
  <r>
    <x v="1"/>
    <s v="Vasant Kunj"/>
    <x v="4"/>
    <n v="1"/>
    <n v="2431"/>
    <n v="5586"/>
    <n v="2"/>
    <n v="1977"/>
    <n v="2005"/>
    <s v="Villa"/>
    <n v="2"/>
    <s v="West"/>
    <s v="No"/>
    <s v="Semi-Furnished"/>
    <n v="4"/>
    <n v="0"/>
    <s v="Vasant Kunj Villa"/>
    <n v="0"/>
    <s v="Yes"/>
    <n v="24530000"/>
    <x v="0"/>
    <s v="BRK-04"/>
    <x v="3"/>
    <s v="Tier C"/>
    <n v="0.01"/>
    <n v="245300"/>
    <n v="735900"/>
    <n v="490600"/>
  </r>
  <r>
    <x v="4"/>
    <s v="Koramangala"/>
    <x v="2"/>
    <n v="1"/>
    <n v="554"/>
    <n v="4655"/>
    <n v="1"/>
    <n v="1952"/>
    <n v="1970"/>
    <s v="Apartment"/>
    <n v="1"/>
    <s v="West"/>
    <s v="Yes"/>
    <s v="Unfurnished"/>
    <n v="3"/>
    <n v="3"/>
    <s v="Koramangala Enclave"/>
    <n v="2"/>
    <s v="Yes"/>
    <n v="5191000"/>
    <x v="0"/>
    <s v="BRK-01"/>
    <x v="2"/>
    <s v="Tier A"/>
    <n v="0.02"/>
    <n v="103820"/>
    <n v="155730"/>
    <n v="51910"/>
  </r>
  <r>
    <x v="2"/>
    <s v="Aundh"/>
    <x v="2"/>
    <n v="2"/>
    <n v="2848"/>
    <n v="3783"/>
    <n v="3"/>
    <n v="1953"/>
    <n v="1991"/>
    <s v="Independent House"/>
    <n v="3"/>
    <s v="South"/>
    <s v="Yes"/>
    <s v="Unfurnished"/>
    <n v="10"/>
    <n v="1"/>
    <s v="Aundh Heights"/>
    <n v="2"/>
    <s v="Yes"/>
    <n v="24483000"/>
    <x v="1"/>
    <s v="BRK-03"/>
    <x v="1"/>
    <s v="Tier A"/>
    <n v="0.02"/>
    <n v="0"/>
    <n v="0"/>
    <n v="0"/>
  </r>
  <r>
    <x v="2"/>
    <s v="Kothrud"/>
    <x v="0"/>
    <n v="4"/>
    <n v="3335"/>
    <n v="3949"/>
    <n v="3"/>
    <n v="1993"/>
    <n v="0"/>
    <s v="Independent House"/>
    <n v="3"/>
    <s v="North"/>
    <s v="No"/>
    <s v="Semi-Furnished"/>
    <n v="10"/>
    <n v="3"/>
    <s v="Kothrud Residency"/>
    <n v="3"/>
    <s v="Yes"/>
    <n v="28772500"/>
    <x v="1"/>
    <s v="BRK-04"/>
    <x v="3"/>
    <s v="Tier C"/>
    <n v="0.01"/>
    <n v="0"/>
    <n v="0"/>
    <n v="0"/>
  </r>
  <r>
    <x v="2"/>
    <s v="Viman Nagar"/>
    <x v="1"/>
    <n v="4"/>
    <n v="4108"/>
    <n v="7726"/>
    <n v="3"/>
    <n v="2025"/>
    <n v="2025"/>
    <s v="Villa"/>
    <n v="1"/>
    <s v="North"/>
    <s v="No"/>
    <s v="Semi-Furnished"/>
    <n v="3"/>
    <n v="3"/>
    <s v="Viman Nagar Villa"/>
    <n v="2"/>
    <s v="Yes"/>
    <n v="35428000"/>
    <x v="2"/>
    <s v="BRK-02"/>
    <x v="0"/>
    <s v="Tier B"/>
    <n v="1.4999999999999999E-2"/>
    <n v="0"/>
    <n v="0"/>
    <n v="0"/>
  </r>
  <r>
    <x v="3"/>
    <s v="Adyar"/>
    <x v="4"/>
    <n v="4"/>
    <n v="2037"/>
    <n v="4993"/>
    <n v="2"/>
    <n v="1993"/>
    <n v="2009"/>
    <s v="Villa"/>
    <n v="0"/>
    <s v="South"/>
    <s v="Yes"/>
    <s v="Furnished"/>
    <n v="6"/>
    <n v="3"/>
    <s v="Adyar Residency"/>
    <n v="3"/>
    <s v="No"/>
    <n v="16701000"/>
    <x v="2"/>
    <s v="BRK-05"/>
    <x v="4"/>
    <s v="Tier B"/>
    <n v="1.4999999999999999E-2"/>
    <n v="0"/>
    <n v="0"/>
    <n v="0"/>
  </r>
  <r>
    <x v="3"/>
    <s v="T Nagar"/>
    <x v="2"/>
    <n v="3"/>
    <n v="2115"/>
    <n v="5477"/>
    <n v="3"/>
    <n v="1981"/>
    <n v="1999"/>
    <s v="Villa"/>
    <n v="3"/>
    <s v="East"/>
    <s v="No"/>
    <s v="Unfurnished"/>
    <n v="8"/>
    <n v="2"/>
    <s v="T Nagar Enclave"/>
    <n v="3"/>
    <s v="No"/>
    <n v="17165000"/>
    <x v="0"/>
    <s v="BRK-01"/>
    <x v="2"/>
    <s v="Tier A"/>
    <n v="0.02"/>
    <n v="343300"/>
    <n v="514950"/>
    <n v="171650"/>
  </r>
  <r>
    <x v="4"/>
    <s v="Indiranagar"/>
    <x v="4"/>
    <n v="1"/>
    <n v="1877"/>
    <n v="4511"/>
    <n v="1"/>
    <n v="2018"/>
    <n v="2019"/>
    <s v="Apartment"/>
    <n v="1"/>
    <s v="West"/>
    <s v="No"/>
    <s v="Unfurnished"/>
    <n v="9"/>
    <n v="4"/>
    <s v="Indiranagar Enclave"/>
    <n v="0"/>
    <s v="Yes"/>
    <n v="17093000"/>
    <x v="2"/>
    <s v="BRK-03"/>
    <x v="1"/>
    <s v="Tier A"/>
    <n v="0.02"/>
    <n v="0"/>
    <n v="0"/>
    <n v="0"/>
  </r>
  <r>
    <x v="4"/>
    <s v="Koramangala"/>
    <x v="0"/>
    <n v="2"/>
    <n v="2776"/>
    <n v="2941"/>
    <n v="3"/>
    <n v="2018"/>
    <n v="2019"/>
    <s v="Villa"/>
    <n v="0"/>
    <s v="North"/>
    <s v="No"/>
    <s v="Unfurnished"/>
    <n v="2"/>
    <n v="5"/>
    <s v="Koramangala Villa"/>
    <n v="0"/>
    <s v="Yes"/>
    <n v="25304000"/>
    <x v="1"/>
    <s v="BRK-04"/>
    <x v="3"/>
    <s v="Tier C"/>
    <n v="0.01"/>
    <n v="0"/>
    <n v="0"/>
    <n v="0"/>
  </r>
  <r>
    <x v="2"/>
    <s v="Viman Nagar"/>
    <x v="3"/>
    <n v="4"/>
    <n v="3908"/>
    <n v="6749"/>
    <n v="1"/>
    <n v="1956"/>
    <n v="1987"/>
    <s v="Independent House"/>
    <n v="0"/>
    <s v="North"/>
    <s v="No"/>
    <s v="Semi-Furnished"/>
    <n v="1"/>
    <n v="4"/>
    <s v="Viman Nagar Heights"/>
    <n v="1"/>
    <s v="Yes"/>
    <n v="33623000"/>
    <x v="0"/>
    <s v="BRK-02"/>
    <x v="0"/>
    <s v="Tier B"/>
    <n v="1.4999999999999999E-2"/>
    <n v="504345"/>
    <n v="1008690"/>
    <n v="504345"/>
  </r>
  <r>
    <x v="2"/>
    <s v="Viman Nagar"/>
    <x v="2"/>
    <n v="2"/>
    <n v="1270"/>
    <n v="8138"/>
    <n v="3"/>
    <n v="1978"/>
    <n v="2010"/>
    <s v="Independent House"/>
    <n v="3"/>
    <s v="West"/>
    <s v="No"/>
    <s v="Unfurnished"/>
    <n v="6"/>
    <n v="2"/>
    <s v="Viman Nagar Heights"/>
    <n v="0"/>
    <s v="Yes"/>
    <n v="11015000"/>
    <x v="1"/>
    <s v="BRK-04"/>
    <x v="3"/>
    <s v="Tier C"/>
    <n v="0.01"/>
    <n v="0"/>
    <n v="0"/>
    <n v="0"/>
  </r>
  <r>
    <x v="1"/>
    <s v="Saket"/>
    <x v="2"/>
    <n v="2"/>
    <n v="2264"/>
    <n v="3737"/>
    <n v="3"/>
    <n v="1959"/>
    <n v="1978"/>
    <s v="Builder Floor"/>
    <n v="3"/>
    <s v="West"/>
    <s v="No"/>
    <s v="Semi-Furnished"/>
    <n v="0"/>
    <n v="1"/>
    <s v="Saket Enclave"/>
    <n v="2"/>
    <s v="No"/>
    <n v="22840000"/>
    <x v="0"/>
    <s v="BRK-02"/>
    <x v="0"/>
    <s v="Tier B"/>
    <n v="1.4999999999999999E-2"/>
    <n v="342600"/>
    <n v="685200"/>
    <n v="342600"/>
  </r>
  <r>
    <x v="0"/>
    <s v="Bandra"/>
    <x v="0"/>
    <n v="2"/>
    <n v="3782"/>
    <n v="4772"/>
    <n v="3"/>
    <n v="1978"/>
    <n v="2018"/>
    <s v="Apartment"/>
    <n v="2"/>
    <s v="South"/>
    <s v="Yes"/>
    <s v="Furnished"/>
    <n v="2"/>
    <n v="2"/>
    <s v="Bandra Enclave"/>
    <n v="3"/>
    <s v="Yes"/>
    <n v="45849000"/>
    <x v="2"/>
    <s v="BRK-04"/>
    <x v="3"/>
    <s v="Tier C"/>
    <n v="0.01"/>
    <n v="0"/>
    <n v="0"/>
    <n v="0"/>
  </r>
  <r>
    <x v="3"/>
    <s v="Adyar"/>
    <x v="3"/>
    <n v="3"/>
    <n v="4399"/>
    <n v="8872"/>
    <n v="2"/>
    <n v="2006"/>
    <n v="2007"/>
    <s v="Builder Floor"/>
    <n v="3"/>
    <s v="East"/>
    <s v="No"/>
    <s v="Furnished"/>
    <n v="1"/>
    <n v="1"/>
    <s v="Adyar Heights"/>
    <n v="2"/>
    <s v="Yes"/>
    <n v="35677000"/>
    <x v="1"/>
    <s v="BRK-02"/>
    <x v="0"/>
    <s v="Tier B"/>
    <n v="1.4999999999999999E-2"/>
    <n v="0"/>
    <n v="0"/>
    <n v="0"/>
  </r>
  <r>
    <x v="1"/>
    <s v="Vasant Kunj"/>
    <x v="1"/>
    <n v="4"/>
    <n v="2578"/>
    <n v="4114"/>
    <n v="3"/>
    <n v="2005"/>
    <n v="2024"/>
    <s v="Independent House"/>
    <n v="0"/>
    <s v="West"/>
    <s v="No"/>
    <s v="Semi-Furnished"/>
    <n v="5"/>
    <n v="2"/>
    <s v="Vasant Kunj Heights"/>
    <n v="1"/>
    <s v="No"/>
    <n v="26225000"/>
    <x v="1"/>
    <s v="BRK-01"/>
    <x v="2"/>
    <s v="Tier A"/>
    <n v="0.02"/>
    <n v="0"/>
    <n v="0"/>
    <n v="0"/>
  </r>
  <r>
    <x v="3"/>
    <s v="Anna Nagar"/>
    <x v="0"/>
    <n v="4"/>
    <n v="4806"/>
    <n v="5156"/>
    <n v="2"/>
    <n v="1961"/>
    <n v="2000"/>
    <s v="Villa"/>
    <n v="2"/>
    <s v="North"/>
    <s v="No"/>
    <s v="Unfurnished"/>
    <n v="0"/>
    <n v="5"/>
    <s v="Anna Nagar Villa"/>
    <n v="3"/>
    <s v="Yes"/>
    <n v="38853000"/>
    <x v="1"/>
    <s v="BRK-04"/>
    <x v="3"/>
    <s v="Tier C"/>
    <n v="0.01"/>
    <n v="0"/>
    <n v="0"/>
    <n v="0"/>
  </r>
  <r>
    <x v="1"/>
    <s v="Lajpat Nagar"/>
    <x v="0"/>
    <n v="4"/>
    <n v="3921"/>
    <n v="4393"/>
    <n v="1"/>
    <n v="1984"/>
    <n v="2018"/>
    <s v="Apartment"/>
    <n v="2"/>
    <s v="West"/>
    <s v="No"/>
    <s v="Furnished"/>
    <n v="0"/>
    <n v="5"/>
    <s v="Lajpat Nagar Residency"/>
    <n v="1"/>
    <s v="No"/>
    <n v="39590000"/>
    <x v="1"/>
    <s v="BRK-03"/>
    <x v="1"/>
    <s v="Tier A"/>
    <n v="0.02"/>
    <n v="0"/>
    <n v="0"/>
    <n v="0"/>
  </r>
  <r>
    <x v="2"/>
    <s v="Kothrud"/>
    <x v="1"/>
    <n v="4"/>
    <n v="1063"/>
    <n v="4794"/>
    <n v="1"/>
    <n v="2009"/>
    <n v="2011"/>
    <s v="Apartment"/>
    <n v="3"/>
    <s v="East"/>
    <s v="No"/>
    <s v="Semi-Furnished"/>
    <n v="7"/>
    <n v="3"/>
    <s v="Kothrud Residency"/>
    <n v="3"/>
    <s v="Yes"/>
    <n v="9520500"/>
    <x v="2"/>
    <s v="BRK-05"/>
    <x v="4"/>
    <s v="Tier B"/>
    <n v="1.4999999999999999E-2"/>
    <n v="0"/>
    <n v="0"/>
    <n v="0"/>
  </r>
  <r>
    <x v="3"/>
    <s v="Velachery"/>
    <x v="1"/>
    <n v="2"/>
    <n v="871"/>
    <n v="5447"/>
    <n v="2"/>
    <n v="1993"/>
    <n v="2024"/>
    <s v="Villa"/>
    <n v="0"/>
    <s v="East"/>
    <s v="No"/>
    <s v="Unfurnished"/>
    <n v="9"/>
    <n v="5"/>
    <s v="Velachery Villa"/>
    <n v="1"/>
    <s v="No"/>
    <n v="7333000"/>
    <x v="1"/>
    <s v="BRK-03"/>
    <x v="1"/>
    <s v="Tier A"/>
    <n v="0.02"/>
    <n v="0"/>
    <n v="0"/>
    <n v="0"/>
  </r>
  <r>
    <x v="2"/>
    <s v="Baner"/>
    <x v="0"/>
    <n v="3"/>
    <n v="4821"/>
    <n v="9322"/>
    <n v="2"/>
    <n v="2008"/>
    <n v="2017"/>
    <s v="Apartment"/>
    <n v="1"/>
    <s v="West"/>
    <s v="Yes"/>
    <s v="Semi-Furnished"/>
    <n v="0"/>
    <n v="2"/>
    <s v="Baner Villa"/>
    <n v="3"/>
    <s v="No"/>
    <n v="41328500"/>
    <x v="1"/>
    <s v="BRK-04"/>
    <x v="3"/>
    <s v="Tier C"/>
    <n v="0.01"/>
    <n v="0"/>
    <n v="0"/>
    <n v="0"/>
  </r>
  <r>
    <x v="1"/>
    <s v="Vasant Kunj"/>
    <x v="2"/>
    <n v="2"/>
    <n v="4414"/>
    <n v="9298"/>
    <n v="2"/>
    <n v="1962"/>
    <n v="2017"/>
    <s v="Builder Floor"/>
    <n v="3"/>
    <s v="North"/>
    <s v="Yes"/>
    <s v="Semi-Furnished"/>
    <n v="10"/>
    <n v="1"/>
    <s v="Vasant Kunj Heights"/>
    <n v="3"/>
    <s v="No"/>
    <n v="44360000"/>
    <x v="1"/>
    <s v="BRK-01"/>
    <x v="2"/>
    <s v="Tier A"/>
    <n v="0.02"/>
    <n v="0"/>
    <n v="0"/>
    <n v="0"/>
  </r>
  <r>
    <x v="4"/>
    <s v="HSR Layout"/>
    <x v="3"/>
    <n v="1"/>
    <n v="2991"/>
    <n v="8565"/>
    <n v="3"/>
    <n v="1998"/>
    <n v="2007"/>
    <s v="Independent House"/>
    <n v="0"/>
    <s v="North"/>
    <s v="Yes"/>
    <s v="Unfurnished"/>
    <n v="10"/>
    <n v="2"/>
    <s v="HSR Layout Residency"/>
    <n v="0"/>
    <s v="No"/>
    <n v="27234000"/>
    <x v="0"/>
    <s v="BRK-05"/>
    <x v="4"/>
    <s v="Tier B"/>
    <n v="1.4999999999999999E-2"/>
    <n v="408510"/>
    <n v="817020"/>
    <n v="408510"/>
  </r>
  <r>
    <x v="0"/>
    <s v="Andheri"/>
    <x v="3"/>
    <n v="2"/>
    <n v="2753"/>
    <n v="3040"/>
    <n v="1"/>
    <n v="1991"/>
    <n v="1993"/>
    <s v="Villa"/>
    <n v="2"/>
    <s v="East"/>
    <s v="No"/>
    <s v="Furnished"/>
    <n v="3"/>
    <n v="4"/>
    <s v="Andheri Villa"/>
    <n v="1"/>
    <s v="Yes"/>
    <n v="33456000"/>
    <x v="0"/>
    <s v="BRK-01"/>
    <x v="2"/>
    <s v="Tier A"/>
    <n v="0.02"/>
    <n v="669120"/>
    <n v="1003680"/>
    <n v="334560"/>
  </r>
  <r>
    <x v="1"/>
    <s v="Dwarka"/>
    <x v="1"/>
    <n v="4"/>
    <n v="2272"/>
    <n v="6398"/>
    <n v="3"/>
    <n v="1968"/>
    <n v="1981"/>
    <s v="Independent House"/>
    <n v="2"/>
    <s v="West"/>
    <s v="No"/>
    <s v="Unfurnished"/>
    <n v="0"/>
    <n v="3"/>
    <s v="Dwarka Enclave"/>
    <n v="1"/>
    <s v="Yes"/>
    <n v="23215000"/>
    <x v="0"/>
    <s v="BRK-05"/>
    <x v="4"/>
    <s v="Tier B"/>
    <n v="1.4999999999999999E-2"/>
    <n v="348225"/>
    <n v="696450"/>
    <n v="348225"/>
  </r>
  <r>
    <x v="3"/>
    <s v="Adyar"/>
    <x v="1"/>
    <n v="3"/>
    <n v="3775"/>
    <n v="9480"/>
    <n v="2"/>
    <n v="2008"/>
    <n v="2016"/>
    <s v="Apartment"/>
    <n v="3"/>
    <s v="West"/>
    <s v="Yes"/>
    <s v="Furnished"/>
    <n v="6"/>
    <n v="4"/>
    <s v="Adyar Enclave"/>
    <n v="2"/>
    <s v="No"/>
    <n v="30710000"/>
    <x v="0"/>
    <s v="BRK-05"/>
    <x v="4"/>
    <s v="Tier B"/>
    <n v="1.4999999999999999E-2"/>
    <n v="460650"/>
    <n v="921300"/>
    <n v="460650"/>
  </r>
  <r>
    <x v="0"/>
    <s v="Borivali"/>
    <x v="0"/>
    <n v="1"/>
    <n v="4936"/>
    <n v="5387"/>
    <n v="3"/>
    <n v="2013"/>
    <n v="2025"/>
    <s v="Villa"/>
    <n v="1"/>
    <s v="East"/>
    <s v="Yes"/>
    <s v="Unfurnished"/>
    <n v="3"/>
    <n v="4"/>
    <s v="Borivali Enclave"/>
    <n v="1"/>
    <s v="Yes"/>
    <n v="59562000"/>
    <x v="0"/>
    <s v="BRK-02"/>
    <x v="0"/>
    <s v="Tier B"/>
    <n v="1.4999999999999999E-2"/>
    <n v="893430"/>
    <n v="1786860"/>
    <n v="893430"/>
  </r>
  <r>
    <x v="0"/>
    <s v="Juhu"/>
    <x v="3"/>
    <n v="1"/>
    <n v="3288"/>
    <n v="9337"/>
    <n v="1"/>
    <n v="1961"/>
    <n v="1997"/>
    <s v="Villa"/>
    <n v="3"/>
    <s v="South"/>
    <s v="Yes"/>
    <s v="Furnished"/>
    <n v="8"/>
    <n v="2"/>
    <s v="Juhu Enclave"/>
    <n v="1"/>
    <s v="No"/>
    <n v="39821000"/>
    <x v="1"/>
    <s v="BRK-03"/>
    <x v="1"/>
    <s v="Tier A"/>
    <n v="0.02"/>
    <n v="0"/>
    <n v="0"/>
    <n v="0"/>
  </r>
  <r>
    <x v="3"/>
    <s v="Adyar"/>
    <x v="0"/>
    <n v="1"/>
    <n v="4136"/>
    <n v="4802"/>
    <n v="1"/>
    <n v="1978"/>
    <n v="2020"/>
    <s v="Independent House"/>
    <n v="2"/>
    <s v="North"/>
    <s v="No"/>
    <s v="Furnished"/>
    <n v="4"/>
    <n v="4"/>
    <s v="Adyar Heights"/>
    <n v="3"/>
    <s v="No"/>
    <n v="33408000"/>
    <x v="0"/>
    <s v="BRK-04"/>
    <x v="3"/>
    <s v="Tier C"/>
    <n v="0.01"/>
    <n v="334080"/>
    <n v="1002240"/>
    <n v="668160"/>
  </r>
  <r>
    <x v="4"/>
    <s v="HSR Layout"/>
    <x v="3"/>
    <n v="3"/>
    <n v="1187"/>
    <n v="5067"/>
    <n v="2"/>
    <n v="1953"/>
    <n v="2023"/>
    <s v="Villa"/>
    <n v="1"/>
    <s v="North"/>
    <s v="No"/>
    <s v="Unfurnished"/>
    <n v="4"/>
    <n v="5"/>
    <s v="HSR Layout Villa"/>
    <n v="0"/>
    <s v="Yes"/>
    <n v="11063000"/>
    <x v="0"/>
    <s v="BRK-03"/>
    <x v="1"/>
    <s v="Tier A"/>
    <n v="0.02"/>
    <n v="221260"/>
    <n v="331890"/>
    <n v="110630"/>
  </r>
  <r>
    <x v="0"/>
    <s v="Andheri"/>
    <x v="0"/>
    <n v="4"/>
    <n v="1251"/>
    <n v="2893"/>
    <n v="1"/>
    <n v="2018"/>
    <n v="2019"/>
    <s v="Independent House"/>
    <n v="3"/>
    <s v="East"/>
    <s v="No"/>
    <s v="Unfurnished"/>
    <n v="2"/>
    <n v="3"/>
    <s v="Andheri Heights"/>
    <n v="3"/>
    <s v="No"/>
    <n v="15347000"/>
    <x v="2"/>
    <s v="BRK-03"/>
    <x v="1"/>
    <s v="Tier A"/>
    <n v="0.02"/>
    <n v="0"/>
    <n v="0"/>
    <n v="0"/>
  </r>
  <r>
    <x v="4"/>
    <s v="Whitefield"/>
    <x v="0"/>
    <n v="2"/>
    <n v="3932"/>
    <n v="7624"/>
    <n v="1"/>
    <n v="1996"/>
    <n v="1998"/>
    <s v="Villa"/>
    <n v="2"/>
    <s v="North"/>
    <s v="No"/>
    <s v="Semi-Furnished"/>
    <n v="3"/>
    <n v="0"/>
    <s v="Whitefield Villa"/>
    <n v="0"/>
    <s v="Yes"/>
    <n v="35668000"/>
    <x v="2"/>
    <s v="BRK-04"/>
    <x v="3"/>
    <s v="Tier C"/>
    <n v="0.01"/>
    <n v="0"/>
    <n v="0"/>
    <n v="0"/>
  </r>
  <r>
    <x v="2"/>
    <s v="Kothrud"/>
    <x v="2"/>
    <n v="3"/>
    <n v="2295"/>
    <n v="3376"/>
    <n v="3"/>
    <n v="1976"/>
    <n v="1979"/>
    <s v="Apartment"/>
    <n v="1"/>
    <s v="South"/>
    <s v="No"/>
    <s v="Furnished"/>
    <n v="9"/>
    <n v="0"/>
    <s v="Kothrud Enclave"/>
    <n v="1"/>
    <s v="Yes"/>
    <n v="19847500"/>
    <x v="1"/>
    <s v="BRK-02"/>
    <x v="0"/>
    <s v="Tier B"/>
    <n v="1.4999999999999999E-2"/>
    <n v="0"/>
    <n v="0"/>
    <n v="0"/>
  </r>
  <r>
    <x v="2"/>
    <s v="Viman Nagar"/>
    <x v="4"/>
    <n v="1"/>
    <n v="511"/>
    <n v="2720"/>
    <n v="1"/>
    <n v="1995"/>
    <n v="2009"/>
    <s v="Villa"/>
    <n v="0"/>
    <s v="South"/>
    <s v="No"/>
    <s v="Furnished"/>
    <n v="2"/>
    <n v="5"/>
    <s v="Viman Nagar Villa"/>
    <n v="0"/>
    <s v="Yes"/>
    <n v="4618500"/>
    <x v="2"/>
    <s v="BRK-01"/>
    <x v="2"/>
    <s v="Tier A"/>
    <n v="0.02"/>
    <n v="0"/>
    <n v="0"/>
    <n v="0"/>
  </r>
  <r>
    <x v="3"/>
    <s v="Anna Nagar"/>
    <x v="0"/>
    <n v="1"/>
    <n v="4002"/>
    <n v="8179"/>
    <n v="1"/>
    <n v="1955"/>
    <n v="2020"/>
    <s v="Villa"/>
    <n v="3"/>
    <s v="North"/>
    <s v="Yes"/>
    <s v="Semi-Furnished"/>
    <n v="6"/>
    <n v="3"/>
    <s v="Anna Nagar Heights"/>
    <n v="3"/>
    <s v="No"/>
    <n v="32286000"/>
    <x v="0"/>
    <s v="BRK-03"/>
    <x v="1"/>
    <s v="Tier A"/>
    <n v="0.02"/>
    <n v="645720"/>
    <n v="968580"/>
    <n v="322860"/>
  </r>
  <r>
    <x v="0"/>
    <s v="Andheri"/>
    <x v="0"/>
    <n v="2"/>
    <n v="838"/>
    <n v="2955"/>
    <n v="2"/>
    <n v="2024"/>
    <n v="2025"/>
    <s v="Villa"/>
    <n v="3"/>
    <s v="East"/>
    <s v="No"/>
    <s v="Unfurnished"/>
    <n v="9"/>
    <n v="3"/>
    <s v="Andheri Heights"/>
    <n v="0"/>
    <s v="Yes"/>
    <n v="10356000"/>
    <x v="0"/>
    <s v="BRK-03"/>
    <x v="1"/>
    <s v="Tier A"/>
    <n v="0.02"/>
    <n v="207120"/>
    <n v="310680"/>
    <n v="103560"/>
  </r>
  <r>
    <x v="3"/>
    <s v="Anna Nagar"/>
    <x v="4"/>
    <n v="4"/>
    <n v="3076"/>
    <n v="9904"/>
    <n v="2"/>
    <n v="2001"/>
    <n v="2013"/>
    <s v="Builder Floor"/>
    <n v="2"/>
    <s v="West"/>
    <s v="No"/>
    <s v="Unfurnished"/>
    <n v="4"/>
    <n v="2"/>
    <s v="Anna Nagar Residency"/>
    <n v="3"/>
    <s v="Yes"/>
    <n v="24963000"/>
    <x v="0"/>
    <s v="BRK-05"/>
    <x v="4"/>
    <s v="Tier B"/>
    <n v="1.4999999999999999E-2"/>
    <n v="374445"/>
    <n v="748890"/>
    <n v="374445"/>
  </r>
  <r>
    <x v="0"/>
    <s v="Andheri"/>
    <x v="2"/>
    <n v="4"/>
    <n v="1091"/>
    <n v="7246"/>
    <n v="1"/>
    <n v="2021"/>
    <n v="0"/>
    <s v="Villa"/>
    <n v="0"/>
    <s v="West"/>
    <s v="No"/>
    <s v="Unfurnished"/>
    <n v="6"/>
    <n v="5"/>
    <s v="Andheri Heights"/>
    <n v="2"/>
    <s v="No"/>
    <n v="13312000"/>
    <x v="2"/>
    <s v="BRK-01"/>
    <x v="2"/>
    <s v="Tier A"/>
    <n v="0.02"/>
    <n v="0"/>
    <n v="0"/>
    <n v="0"/>
  </r>
  <r>
    <x v="4"/>
    <s v="Whitefield"/>
    <x v="1"/>
    <n v="2"/>
    <n v="1567"/>
    <n v="9517"/>
    <n v="1"/>
    <n v="1963"/>
    <n v="2006"/>
    <s v="Villa"/>
    <n v="0"/>
    <s v="East"/>
    <s v="Yes"/>
    <s v="Semi-Furnished"/>
    <n v="8"/>
    <n v="4"/>
    <s v="Whitefield Heights"/>
    <n v="2"/>
    <s v="Yes"/>
    <n v="14538000"/>
    <x v="1"/>
    <s v="BRK-03"/>
    <x v="1"/>
    <s v="Tier A"/>
    <n v="0.02"/>
    <n v="0"/>
    <n v="0"/>
    <n v="0"/>
  </r>
  <r>
    <x v="1"/>
    <s v="Saket"/>
    <x v="0"/>
    <n v="3"/>
    <n v="3175"/>
    <n v="3275"/>
    <n v="1"/>
    <n v="1968"/>
    <n v="2003"/>
    <s v="Independent House"/>
    <n v="0"/>
    <s v="South"/>
    <s v="Yes"/>
    <s v="Furnished"/>
    <n v="8"/>
    <n v="1"/>
    <s v="Saket Villa"/>
    <n v="3"/>
    <s v="No"/>
    <n v="32155000"/>
    <x v="2"/>
    <s v="BRK-01"/>
    <x v="2"/>
    <s v="Tier A"/>
    <n v="0.02"/>
    <n v="0"/>
    <n v="0"/>
    <n v="0"/>
  </r>
  <r>
    <x v="4"/>
    <s v="Koramangala"/>
    <x v="0"/>
    <n v="3"/>
    <n v="2957"/>
    <n v="9370"/>
    <n v="3"/>
    <n v="1960"/>
    <n v="1965"/>
    <s v="Apartment"/>
    <n v="1"/>
    <s v="North"/>
    <s v="Yes"/>
    <s v="Semi-Furnished"/>
    <n v="7"/>
    <n v="5"/>
    <s v="Koramangala Villa"/>
    <n v="3"/>
    <s v="No"/>
    <n v="26983000"/>
    <x v="0"/>
    <s v="BRK-02"/>
    <x v="0"/>
    <s v="Tier B"/>
    <n v="1.4999999999999999E-2"/>
    <n v="404745"/>
    <n v="809490"/>
    <n v="404745"/>
  </r>
  <r>
    <x v="3"/>
    <s v="Adyar"/>
    <x v="4"/>
    <n v="1"/>
    <n v="3127"/>
    <n v="6698"/>
    <n v="1"/>
    <n v="1986"/>
    <n v="2022"/>
    <s v="Independent House"/>
    <n v="2"/>
    <s v="North"/>
    <s v="Yes"/>
    <s v="Semi-Furnished"/>
    <n v="9"/>
    <n v="0"/>
    <s v="Adyar Heights"/>
    <n v="1"/>
    <s v="No"/>
    <n v="25206000"/>
    <x v="1"/>
    <s v="BRK-01"/>
    <x v="2"/>
    <s v="Tier A"/>
    <n v="0.02"/>
    <n v="0"/>
    <n v="0"/>
    <n v="0"/>
  </r>
  <r>
    <x v="1"/>
    <s v="Rohini"/>
    <x v="0"/>
    <n v="3"/>
    <n v="2987"/>
    <n v="4019"/>
    <n v="1"/>
    <n v="2013"/>
    <n v="2023"/>
    <s v="Independent House"/>
    <n v="1"/>
    <s v="South"/>
    <s v="No"/>
    <s v="Unfurnished"/>
    <n v="3"/>
    <n v="4"/>
    <s v="Rohini Enclave"/>
    <n v="0"/>
    <s v="No"/>
    <n v="30130000"/>
    <x v="1"/>
    <s v="BRK-05"/>
    <x v="4"/>
    <s v="Tier B"/>
    <n v="1.4999999999999999E-2"/>
    <n v="0"/>
    <n v="0"/>
    <n v="0"/>
  </r>
  <r>
    <x v="0"/>
    <s v="Borivali"/>
    <x v="2"/>
    <n v="4"/>
    <n v="937"/>
    <n v="6116"/>
    <n v="3"/>
    <n v="2004"/>
    <n v="2021"/>
    <s v="Independent House"/>
    <n v="3"/>
    <s v="East"/>
    <s v="Yes"/>
    <s v="Semi-Furnished"/>
    <n v="0"/>
    <n v="2"/>
    <s v="Borivali Residency"/>
    <n v="3"/>
    <s v="No"/>
    <n v="11544000"/>
    <x v="1"/>
    <s v="BRK-03"/>
    <x v="1"/>
    <s v="Tier A"/>
    <n v="0.02"/>
    <n v="0"/>
    <n v="0"/>
    <n v="0"/>
  </r>
  <r>
    <x v="0"/>
    <s v="Borivali"/>
    <x v="2"/>
    <n v="2"/>
    <n v="3869"/>
    <n v="8743"/>
    <n v="2"/>
    <n v="2017"/>
    <n v="2017"/>
    <s v="Independent House"/>
    <n v="2"/>
    <s v="East"/>
    <s v="Yes"/>
    <s v="Semi-Furnished"/>
    <n v="2"/>
    <n v="0"/>
    <s v="Borivali Heights"/>
    <n v="1"/>
    <s v="No"/>
    <n v="46618000"/>
    <x v="1"/>
    <s v="BRK-05"/>
    <x v="4"/>
    <s v="Tier B"/>
    <n v="1.4999999999999999E-2"/>
    <n v="0"/>
    <n v="0"/>
    <n v="0"/>
  </r>
  <r>
    <x v="4"/>
    <s v="Koramangala"/>
    <x v="4"/>
    <n v="1"/>
    <n v="1499"/>
    <n v="5742"/>
    <n v="1"/>
    <n v="1972"/>
    <n v="2009"/>
    <s v="Apartment"/>
    <n v="0"/>
    <s v="South"/>
    <s v="No"/>
    <s v="Semi-Furnished"/>
    <n v="9"/>
    <n v="4"/>
    <s v="Koramangala Villa"/>
    <n v="2"/>
    <s v="No"/>
    <n v="13671000"/>
    <x v="1"/>
    <s v="BRK-02"/>
    <x v="0"/>
    <s v="Tier B"/>
    <n v="1.4999999999999999E-2"/>
    <n v="0"/>
    <n v="0"/>
    <n v="0"/>
  </r>
  <r>
    <x v="1"/>
    <s v="Vasant Kunj"/>
    <x v="2"/>
    <n v="4"/>
    <n v="3922"/>
    <n v="9144"/>
    <n v="2"/>
    <n v="1985"/>
    <n v="2021"/>
    <s v="Builder Floor"/>
    <n v="2"/>
    <s v="North"/>
    <s v="No"/>
    <s v="Semi-Furnished"/>
    <n v="7"/>
    <n v="0"/>
    <s v="Vasant Kunj Heights"/>
    <n v="2"/>
    <s v="No"/>
    <n v="39460000"/>
    <x v="1"/>
    <s v="BRK-05"/>
    <x v="4"/>
    <s v="Tier B"/>
    <n v="1.4999999999999999E-2"/>
    <n v="0"/>
    <n v="0"/>
    <n v="0"/>
  </r>
  <r>
    <x v="0"/>
    <s v="Andheri"/>
    <x v="1"/>
    <n v="4"/>
    <n v="4090"/>
    <n v="8894"/>
    <n v="3"/>
    <n v="1955"/>
    <n v="2011"/>
    <s v="Apartment"/>
    <n v="2"/>
    <s v="West"/>
    <s v="Yes"/>
    <s v="Furnished"/>
    <n v="7"/>
    <n v="0"/>
    <s v="Andheri Enclave"/>
    <n v="0"/>
    <s v="Yes"/>
    <n v="49660000"/>
    <x v="1"/>
    <s v="BRK-01"/>
    <x v="2"/>
    <s v="Tier A"/>
    <n v="0.02"/>
    <n v="0"/>
    <n v="0"/>
    <n v="0"/>
  </r>
  <r>
    <x v="0"/>
    <s v="Bandra"/>
    <x v="3"/>
    <n v="4"/>
    <n v="4593"/>
    <n v="8925"/>
    <n v="3"/>
    <n v="1970"/>
    <n v="1992"/>
    <s v="Villa"/>
    <n v="2"/>
    <s v="West"/>
    <s v="No"/>
    <s v="Semi-Furnished"/>
    <n v="10"/>
    <n v="4"/>
    <s v="Bandra Heights"/>
    <n v="2"/>
    <s v="Yes"/>
    <n v="55576000"/>
    <x v="0"/>
    <s v="BRK-03"/>
    <x v="1"/>
    <s v="Tier A"/>
    <n v="0.02"/>
    <n v="1111520"/>
    <n v="1667280"/>
    <n v="555760"/>
  </r>
  <r>
    <x v="4"/>
    <s v="Whitefield"/>
    <x v="1"/>
    <n v="4"/>
    <n v="2627"/>
    <n v="4741"/>
    <n v="3"/>
    <n v="1969"/>
    <n v="1989"/>
    <s v="Builder Floor"/>
    <n v="1"/>
    <s v="East"/>
    <s v="No"/>
    <s v="Unfurnished"/>
    <n v="10"/>
    <n v="3"/>
    <s v="Whitefield Residency"/>
    <n v="0"/>
    <s v="No"/>
    <n v="24073000"/>
    <x v="0"/>
    <s v="BRK-02"/>
    <x v="0"/>
    <s v="Tier B"/>
    <n v="1.4999999999999999E-2"/>
    <n v="361095"/>
    <n v="722190"/>
    <n v="361095"/>
  </r>
  <r>
    <x v="2"/>
    <s v="Baner"/>
    <x v="0"/>
    <n v="2"/>
    <n v="4612"/>
    <n v="5427"/>
    <n v="3"/>
    <n v="2004"/>
    <n v="2019"/>
    <s v="Villa"/>
    <n v="0"/>
    <s v="East"/>
    <s v="No"/>
    <s v="Furnished"/>
    <n v="3"/>
    <n v="2"/>
    <s v="Baner Villa"/>
    <n v="1"/>
    <s v="Yes"/>
    <n v="39612000"/>
    <x v="0"/>
    <s v="BRK-04"/>
    <x v="3"/>
    <s v="Tier C"/>
    <n v="0.01"/>
    <n v="396120"/>
    <n v="1188360"/>
    <n v="792240"/>
  </r>
  <r>
    <x v="1"/>
    <s v="Rohini"/>
    <x v="2"/>
    <n v="3"/>
    <n v="1128"/>
    <n v="9495"/>
    <n v="3"/>
    <n v="2017"/>
    <n v="0"/>
    <s v="Villa"/>
    <n v="1"/>
    <s v="West"/>
    <s v="Yes"/>
    <s v="Furnished"/>
    <n v="2"/>
    <n v="5"/>
    <s v="Rohini Residency"/>
    <n v="3"/>
    <s v="Yes"/>
    <n v="11675000"/>
    <x v="0"/>
    <s v="BRK-05"/>
    <x v="4"/>
    <s v="Tier B"/>
    <n v="1.4999999999999999E-2"/>
    <n v="175125"/>
    <n v="350250"/>
    <n v="175125"/>
  </r>
  <r>
    <x v="3"/>
    <s v="Adyar"/>
    <x v="4"/>
    <n v="4"/>
    <n v="2634"/>
    <n v="8847"/>
    <n v="3"/>
    <n v="2007"/>
    <n v="2013"/>
    <s v="Apartment"/>
    <n v="2"/>
    <s v="West"/>
    <s v="Yes"/>
    <s v="Semi-Furnished"/>
    <n v="10"/>
    <n v="4"/>
    <s v="Adyar Villa"/>
    <n v="3"/>
    <s v="No"/>
    <n v="21422000"/>
    <x v="0"/>
    <s v="BRK-04"/>
    <x v="3"/>
    <s v="Tier C"/>
    <n v="0.01"/>
    <n v="214220"/>
    <n v="642660"/>
    <n v="428440"/>
  </r>
  <r>
    <x v="3"/>
    <s v="Perambur"/>
    <x v="1"/>
    <n v="4"/>
    <n v="1627"/>
    <n v="4948"/>
    <n v="3"/>
    <n v="1967"/>
    <n v="2021"/>
    <s v="Villa"/>
    <n v="0"/>
    <s v="West"/>
    <s v="No"/>
    <s v="Unfurnished"/>
    <n v="1"/>
    <n v="5"/>
    <s v="Perambur Heights"/>
    <n v="2"/>
    <s v="Yes"/>
    <n v="13526000"/>
    <x v="2"/>
    <s v="BRK-02"/>
    <x v="0"/>
    <s v="Tier B"/>
    <n v="1.4999999999999999E-2"/>
    <n v="0"/>
    <n v="0"/>
    <n v="0"/>
  </r>
  <r>
    <x v="1"/>
    <s v="Saket"/>
    <x v="3"/>
    <n v="2"/>
    <n v="3883"/>
    <n v="4684"/>
    <n v="1"/>
    <n v="2007"/>
    <n v="2017"/>
    <s v="Builder Floor"/>
    <n v="3"/>
    <s v="North"/>
    <s v="No"/>
    <s v="Unfurnished"/>
    <n v="5"/>
    <n v="1"/>
    <s v="Saket Villa"/>
    <n v="0"/>
    <s v="No"/>
    <n v="39110000"/>
    <x v="0"/>
    <s v="BRK-04"/>
    <x v="3"/>
    <s v="Tier C"/>
    <n v="0.01"/>
    <n v="391100"/>
    <n v="1173300"/>
    <n v="782200"/>
  </r>
  <r>
    <x v="1"/>
    <s v="Dwarka"/>
    <x v="0"/>
    <n v="1"/>
    <n v="3046"/>
    <n v="9578"/>
    <n v="1"/>
    <n v="1967"/>
    <n v="1968"/>
    <s v="Villa"/>
    <n v="3"/>
    <s v="South"/>
    <s v="No"/>
    <s v="Semi-Furnished"/>
    <n v="9"/>
    <n v="0"/>
    <s v="Dwarka Heights"/>
    <n v="0"/>
    <s v="No"/>
    <n v="30660000"/>
    <x v="1"/>
    <s v="BRK-02"/>
    <x v="0"/>
    <s v="Tier B"/>
    <n v="1.4999999999999999E-2"/>
    <n v="0"/>
    <n v="0"/>
    <n v="0"/>
  </r>
  <r>
    <x v="1"/>
    <s v="Rohini"/>
    <x v="1"/>
    <n v="4"/>
    <n v="1210"/>
    <n v="5980"/>
    <n v="1"/>
    <n v="1988"/>
    <n v="1994"/>
    <s v="Builder Floor"/>
    <n v="1"/>
    <s v="West"/>
    <s v="No"/>
    <s v="Furnished"/>
    <n v="1"/>
    <n v="3"/>
    <s v="Rohini Heights"/>
    <n v="1"/>
    <s v="Yes"/>
    <n v="12630000"/>
    <x v="0"/>
    <s v="BRK-03"/>
    <x v="1"/>
    <s v="Tier A"/>
    <n v="0.02"/>
    <n v="252600"/>
    <n v="378900"/>
    <n v="126300"/>
  </r>
  <r>
    <x v="4"/>
    <s v="MG Road"/>
    <x v="2"/>
    <n v="3"/>
    <n v="2270"/>
    <n v="6994"/>
    <n v="2"/>
    <n v="1973"/>
    <n v="2014"/>
    <s v="Builder Floor"/>
    <n v="2"/>
    <s v="North"/>
    <s v="Yes"/>
    <s v="Semi-Furnished"/>
    <n v="7"/>
    <n v="0"/>
    <s v="MG Road Villa"/>
    <n v="2"/>
    <s v="No"/>
    <n v="20665000"/>
    <x v="1"/>
    <s v="BRK-01"/>
    <x v="2"/>
    <s v="Tier A"/>
    <n v="0.02"/>
    <n v="0"/>
    <n v="0"/>
    <n v="0"/>
  </r>
  <r>
    <x v="0"/>
    <s v="Juhu"/>
    <x v="2"/>
    <n v="3"/>
    <n v="2275"/>
    <n v="8329"/>
    <n v="3"/>
    <n v="1963"/>
    <n v="2004"/>
    <s v="Apartment"/>
    <n v="0"/>
    <s v="East"/>
    <s v="No"/>
    <s v="Unfurnished"/>
    <n v="2"/>
    <n v="5"/>
    <s v="Juhu Villa"/>
    <n v="3"/>
    <s v="Yes"/>
    <n v="27595000"/>
    <x v="1"/>
    <s v="BRK-02"/>
    <x v="0"/>
    <s v="Tier B"/>
    <n v="1.4999999999999999E-2"/>
    <n v="0"/>
    <n v="0"/>
    <n v="0"/>
  </r>
  <r>
    <x v="1"/>
    <s v="Dwarka"/>
    <x v="3"/>
    <n v="1"/>
    <n v="2703"/>
    <n v="4404"/>
    <n v="1"/>
    <n v="1975"/>
    <n v="1976"/>
    <s v="Villa"/>
    <n v="2"/>
    <s v="West"/>
    <s v="No"/>
    <s v="Semi-Furnished"/>
    <n v="0"/>
    <n v="5"/>
    <s v="Dwarka Residency"/>
    <n v="2"/>
    <s v="No"/>
    <n v="27310000"/>
    <x v="1"/>
    <s v="BRK-03"/>
    <x v="1"/>
    <s v="Tier A"/>
    <n v="0.02"/>
    <n v="0"/>
    <n v="0"/>
    <n v="0"/>
  </r>
  <r>
    <x v="0"/>
    <s v="Juhu"/>
    <x v="0"/>
    <n v="1"/>
    <n v="3314"/>
    <n v="6943"/>
    <n v="2"/>
    <n v="2006"/>
    <n v="2017"/>
    <s v="Villa"/>
    <n v="1"/>
    <s v="West"/>
    <s v="No"/>
    <s v="Semi-Furnished"/>
    <n v="8"/>
    <n v="2"/>
    <s v="Juhu Heights"/>
    <n v="3"/>
    <s v="Yes"/>
    <n v="40083000"/>
    <x v="2"/>
    <s v="BRK-04"/>
    <x v="3"/>
    <s v="Tier C"/>
    <n v="0.01"/>
    <n v="0"/>
    <n v="0"/>
    <n v="0"/>
  </r>
  <r>
    <x v="3"/>
    <s v="Perambur"/>
    <x v="4"/>
    <n v="3"/>
    <n v="2931"/>
    <n v="3821"/>
    <n v="1"/>
    <n v="1991"/>
    <n v="2008"/>
    <s v="Villa"/>
    <n v="3"/>
    <s v="West"/>
    <s v="Yes"/>
    <s v="Unfurnished"/>
    <n v="7"/>
    <n v="2"/>
    <s v="Perambur Villa"/>
    <n v="0"/>
    <s v="No"/>
    <n v="23683000"/>
    <x v="2"/>
    <s v="BRK-04"/>
    <x v="3"/>
    <s v="Tier C"/>
    <n v="0.01"/>
    <n v="0"/>
    <n v="0"/>
    <n v="0"/>
  </r>
  <r>
    <x v="2"/>
    <s v="Baner"/>
    <x v="0"/>
    <n v="1"/>
    <n v="914"/>
    <n v="7619"/>
    <n v="2"/>
    <n v="2015"/>
    <n v="2025"/>
    <s v="Apartment"/>
    <n v="0"/>
    <s v="South"/>
    <s v="No"/>
    <s v="Furnished"/>
    <n v="2"/>
    <n v="0"/>
    <s v="Baner Residency"/>
    <n v="2"/>
    <s v="No"/>
    <n v="8094000"/>
    <x v="2"/>
    <s v="BRK-01"/>
    <x v="2"/>
    <s v="Tier A"/>
    <n v="0.02"/>
    <n v="0"/>
    <n v="0"/>
    <n v="0"/>
  </r>
  <r>
    <x v="3"/>
    <s v="Perambur"/>
    <x v="2"/>
    <n v="2"/>
    <n v="3985"/>
    <n v="7073"/>
    <n v="2"/>
    <n v="2006"/>
    <n v="2007"/>
    <s v="Apartment"/>
    <n v="2"/>
    <s v="West"/>
    <s v="No"/>
    <s v="Unfurnished"/>
    <n v="4"/>
    <n v="1"/>
    <s v="Perambur Heights"/>
    <n v="0"/>
    <s v="Yes"/>
    <n v="32080000"/>
    <x v="0"/>
    <s v="BRK-01"/>
    <x v="2"/>
    <s v="Tier A"/>
    <n v="0.02"/>
    <n v="641600"/>
    <n v="962400"/>
    <n v="320800"/>
  </r>
  <r>
    <x v="3"/>
    <s v="Perambur"/>
    <x v="3"/>
    <n v="1"/>
    <n v="2444"/>
    <n v="8842"/>
    <n v="2"/>
    <n v="2007"/>
    <n v="2012"/>
    <s v="Villa"/>
    <n v="3"/>
    <s v="South"/>
    <s v="Yes"/>
    <s v="Furnished"/>
    <n v="1"/>
    <n v="3"/>
    <s v="Perambur Residency"/>
    <n v="3"/>
    <s v="Yes"/>
    <n v="20017000"/>
    <x v="2"/>
    <s v="BRK-02"/>
    <x v="0"/>
    <s v="Tier B"/>
    <n v="1.4999999999999999E-2"/>
    <n v="0"/>
    <n v="0"/>
    <n v="0"/>
  </r>
  <r>
    <x v="4"/>
    <s v="Indiranagar"/>
    <x v="2"/>
    <n v="3"/>
    <n v="2757"/>
    <n v="9781"/>
    <n v="1"/>
    <n v="1972"/>
    <n v="2021"/>
    <s v="Villa"/>
    <n v="1"/>
    <s v="North"/>
    <s v="Yes"/>
    <s v="Furnished"/>
    <n v="3"/>
    <n v="3"/>
    <s v="Indiranagar Heights"/>
    <n v="2"/>
    <s v="No"/>
    <n v="25103000"/>
    <x v="2"/>
    <s v="BRK-04"/>
    <x v="3"/>
    <s v="Tier C"/>
    <n v="0.01"/>
    <n v="0"/>
    <n v="0"/>
    <n v="0"/>
  </r>
  <r>
    <x v="3"/>
    <s v="Perambur"/>
    <x v="4"/>
    <n v="1"/>
    <n v="838"/>
    <n v="5955"/>
    <n v="2"/>
    <n v="2011"/>
    <n v="2023"/>
    <s v="Independent House"/>
    <n v="0"/>
    <s v="South"/>
    <s v="No"/>
    <s v="Unfurnished"/>
    <n v="1"/>
    <n v="3"/>
    <s v="Perambur Villa"/>
    <n v="2"/>
    <s v="Yes"/>
    <n v="6954000"/>
    <x v="1"/>
    <s v="BRK-03"/>
    <x v="1"/>
    <s v="Tier A"/>
    <n v="0.02"/>
    <n v="0"/>
    <n v="0"/>
    <n v="0"/>
  </r>
  <r>
    <x v="2"/>
    <s v="Aundh"/>
    <x v="4"/>
    <n v="2"/>
    <n v="3844"/>
    <n v="8013"/>
    <n v="1"/>
    <n v="1965"/>
    <n v="1997"/>
    <s v="Apartment"/>
    <n v="2"/>
    <s v="South"/>
    <s v="Yes"/>
    <s v="Semi-Furnished"/>
    <n v="3"/>
    <n v="2"/>
    <s v="Aundh Enclave"/>
    <n v="0"/>
    <s v="No"/>
    <n v="32879000"/>
    <x v="0"/>
    <s v="BRK-03"/>
    <x v="1"/>
    <s v="Tier A"/>
    <n v="0.02"/>
    <n v="657580"/>
    <n v="986370"/>
    <n v="328790"/>
  </r>
  <r>
    <x v="1"/>
    <s v="Lajpat Nagar"/>
    <x v="0"/>
    <n v="2"/>
    <n v="2780"/>
    <n v="7863"/>
    <n v="3"/>
    <n v="1961"/>
    <n v="2024"/>
    <s v="Apartment"/>
    <n v="1"/>
    <s v="South"/>
    <s v="No"/>
    <s v="Unfurnished"/>
    <n v="0"/>
    <n v="0"/>
    <s v="Lajpat Nagar Heights"/>
    <n v="0"/>
    <s v="No"/>
    <n v="28070000"/>
    <x v="2"/>
    <s v="BRK-02"/>
    <x v="0"/>
    <s v="Tier B"/>
    <n v="1.4999999999999999E-2"/>
    <n v="0"/>
    <n v="0"/>
    <n v="0"/>
  </r>
  <r>
    <x v="1"/>
    <s v="Lajpat Nagar"/>
    <x v="3"/>
    <n v="1"/>
    <n v="4379"/>
    <n v="9566"/>
    <n v="3"/>
    <n v="1987"/>
    <n v="2005"/>
    <s v="Independent House"/>
    <n v="1"/>
    <s v="West"/>
    <s v="No"/>
    <s v="Semi-Furnished"/>
    <n v="1"/>
    <n v="5"/>
    <s v="Lajpat Nagar Heights"/>
    <n v="1"/>
    <s v="No"/>
    <n v="44095000"/>
    <x v="1"/>
    <s v="BRK-03"/>
    <x v="1"/>
    <s v="Tier A"/>
    <n v="0.02"/>
    <n v="0"/>
    <n v="0"/>
    <n v="0"/>
  </r>
  <r>
    <x v="3"/>
    <s v="Anna Nagar"/>
    <x v="3"/>
    <n v="2"/>
    <n v="3086"/>
    <n v="8105"/>
    <n v="1"/>
    <n v="1990"/>
    <n v="2009"/>
    <s v="Villa"/>
    <n v="3"/>
    <s v="South"/>
    <s v="No"/>
    <s v="Unfurnished"/>
    <n v="8"/>
    <n v="0"/>
    <s v="Anna Nagar Enclave"/>
    <n v="1"/>
    <s v="No"/>
    <n v="24983000"/>
    <x v="2"/>
    <s v="BRK-03"/>
    <x v="1"/>
    <s v="Tier A"/>
    <n v="0.02"/>
    <n v="0"/>
    <n v="0"/>
    <n v="0"/>
  </r>
  <r>
    <x v="0"/>
    <s v="Juhu"/>
    <x v="3"/>
    <n v="2"/>
    <n v="1454"/>
    <n v="3090"/>
    <n v="1"/>
    <n v="1987"/>
    <n v="2010"/>
    <s v="Independent House"/>
    <n v="1"/>
    <s v="South"/>
    <s v="No"/>
    <s v="Unfurnished"/>
    <n v="5"/>
    <n v="1"/>
    <s v="Juhu Residency"/>
    <n v="3"/>
    <s v="No"/>
    <n v="17773000"/>
    <x v="0"/>
    <s v="BRK-02"/>
    <x v="0"/>
    <s v="Tier B"/>
    <n v="1.4999999999999999E-2"/>
    <n v="266595"/>
    <n v="533190"/>
    <n v="266595"/>
  </r>
  <r>
    <x v="3"/>
    <s v="Adyar"/>
    <x v="3"/>
    <n v="1"/>
    <n v="1037"/>
    <n v="7529"/>
    <n v="3"/>
    <n v="2008"/>
    <n v="2014"/>
    <s v="Apartment"/>
    <n v="2"/>
    <s v="North"/>
    <s v="Yes"/>
    <s v="Semi-Furnished"/>
    <n v="7"/>
    <n v="4"/>
    <s v="Adyar Villa"/>
    <n v="2"/>
    <s v="Yes"/>
    <n v="8691000"/>
    <x v="2"/>
    <s v="BRK-01"/>
    <x v="2"/>
    <s v="Tier A"/>
    <n v="0.02"/>
    <n v="0"/>
    <n v="0"/>
    <n v="0"/>
  </r>
  <r>
    <x v="0"/>
    <s v="Borivali"/>
    <x v="4"/>
    <n v="3"/>
    <n v="3296"/>
    <n v="9603"/>
    <n v="2"/>
    <n v="1996"/>
    <n v="1996"/>
    <s v="Independent House"/>
    <n v="0"/>
    <s v="South"/>
    <s v="No"/>
    <s v="Unfurnished"/>
    <n v="4"/>
    <n v="0"/>
    <s v="Borivali Villa"/>
    <n v="3"/>
    <s v="No"/>
    <n v="39827000"/>
    <x v="2"/>
    <s v="BRK-03"/>
    <x v="1"/>
    <s v="Tier A"/>
    <n v="0.02"/>
    <n v="0"/>
    <n v="0"/>
    <n v="0"/>
  </r>
  <r>
    <x v="2"/>
    <s v="Aundh"/>
    <x v="2"/>
    <n v="2"/>
    <n v="1092"/>
    <n v="7595"/>
    <n v="2"/>
    <n v="1993"/>
    <n v="2015"/>
    <s v="Apartment"/>
    <n v="1"/>
    <s v="West"/>
    <s v="Yes"/>
    <s v="Furnished"/>
    <n v="0"/>
    <n v="1"/>
    <s v="Aundh Enclave"/>
    <n v="3"/>
    <s v="No"/>
    <n v="9577000"/>
    <x v="2"/>
    <s v="BRK-01"/>
    <x v="2"/>
    <s v="Tier A"/>
    <n v="0.02"/>
    <n v="0"/>
    <n v="0"/>
    <n v="0"/>
  </r>
  <r>
    <x v="1"/>
    <s v="Lajpat Nagar"/>
    <x v="1"/>
    <n v="2"/>
    <n v="2986"/>
    <n v="8058"/>
    <n v="2"/>
    <n v="1970"/>
    <n v="1994"/>
    <s v="Villa"/>
    <n v="2"/>
    <s v="West"/>
    <s v="No"/>
    <s v="Semi-Furnished"/>
    <n v="0"/>
    <n v="2"/>
    <s v="Lajpat Nagar Enclave"/>
    <n v="0"/>
    <s v="No"/>
    <n v="30210000"/>
    <x v="2"/>
    <s v="BRK-04"/>
    <x v="3"/>
    <s v="Tier C"/>
    <n v="0.01"/>
    <n v="0"/>
    <n v="0"/>
    <n v="0"/>
  </r>
  <r>
    <x v="2"/>
    <s v="Viman Nagar"/>
    <x v="2"/>
    <n v="4"/>
    <n v="2475"/>
    <n v="7895"/>
    <n v="3"/>
    <n v="2023"/>
    <n v="2023"/>
    <s v="Builder Floor"/>
    <n v="3"/>
    <s v="South"/>
    <s v="No"/>
    <s v="Furnished"/>
    <n v="10"/>
    <n v="1"/>
    <s v="Viman Nagar Heights"/>
    <n v="0"/>
    <s v="Yes"/>
    <n v="21392500"/>
    <x v="2"/>
    <s v="BRK-05"/>
    <x v="4"/>
    <s v="Tier B"/>
    <n v="1.4999999999999999E-2"/>
    <n v="0"/>
    <n v="0"/>
    <n v="0"/>
  </r>
  <r>
    <x v="0"/>
    <s v="Borivali"/>
    <x v="0"/>
    <n v="4"/>
    <n v="1540"/>
    <n v="8355"/>
    <n v="3"/>
    <n v="1976"/>
    <n v="2001"/>
    <s v="Independent House"/>
    <n v="0"/>
    <s v="South"/>
    <s v="Yes"/>
    <s v="Unfurnished"/>
    <n v="5"/>
    <n v="5"/>
    <s v="Borivali Villa"/>
    <n v="3"/>
    <s v="No"/>
    <n v="18880000"/>
    <x v="1"/>
    <s v="BRK-04"/>
    <x v="3"/>
    <s v="Tier C"/>
    <n v="0.01"/>
    <n v="0"/>
    <n v="0"/>
    <n v="0"/>
  </r>
  <r>
    <x v="1"/>
    <s v="Vasant Kunj"/>
    <x v="1"/>
    <n v="3"/>
    <n v="4775"/>
    <n v="7727"/>
    <n v="3"/>
    <n v="1983"/>
    <n v="2021"/>
    <s v="Independent House"/>
    <n v="1"/>
    <s v="South"/>
    <s v="No"/>
    <s v="Unfurnished"/>
    <n v="4"/>
    <n v="1"/>
    <s v="Vasant Kunj Enclave"/>
    <n v="2"/>
    <s v="Yes"/>
    <n v="48230000"/>
    <x v="0"/>
    <s v="BRK-01"/>
    <x v="2"/>
    <s v="Tier A"/>
    <n v="0.02"/>
    <n v="964600"/>
    <n v="1446900"/>
    <n v="482300"/>
  </r>
  <r>
    <x v="3"/>
    <s v="Adyar"/>
    <x v="3"/>
    <n v="3"/>
    <n v="4891"/>
    <n v="7181"/>
    <n v="2"/>
    <n v="1965"/>
    <n v="2000"/>
    <s v="Independent House"/>
    <n v="3"/>
    <s v="East"/>
    <s v="Yes"/>
    <s v="Semi-Furnished"/>
    <n v="0"/>
    <n v="2"/>
    <s v="Adyar Heights"/>
    <n v="2"/>
    <s v="No"/>
    <n v="39513000"/>
    <x v="2"/>
    <s v="BRK-05"/>
    <x v="4"/>
    <s v="Tier B"/>
    <n v="1.4999999999999999E-2"/>
    <n v="0"/>
    <n v="0"/>
    <n v="0"/>
  </r>
  <r>
    <x v="4"/>
    <s v="MG Road"/>
    <x v="4"/>
    <n v="2"/>
    <n v="4712"/>
    <n v="6983"/>
    <n v="3"/>
    <n v="1984"/>
    <n v="1991"/>
    <s v="Builder Floor"/>
    <n v="1"/>
    <s v="South"/>
    <s v="Yes"/>
    <s v="Unfurnished"/>
    <n v="8"/>
    <n v="1"/>
    <s v="MG Road Residency"/>
    <n v="0"/>
    <s v="Yes"/>
    <n v="42703000"/>
    <x v="1"/>
    <s v="BRK-01"/>
    <x v="2"/>
    <s v="Tier A"/>
    <n v="0.02"/>
    <n v="0"/>
    <n v="0"/>
    <n v="0"/>
  </r>
  <r>
    <x v="3"/>
    <s v="Adyar"/>
    <x v="3"/>
    <n v="1"/>
    <n v="1426"/>
    <n v="1560"/>
    <n v="3"/>
    <n v="1970"/>
    <n v="1995"/>
    <s v="Independent House"/>
    <n v="3"/>
    <s v="South"/>
    <s v="No"/>
    <s v="Semi-Furnished"/>
    <n v="4"/>
    <n v="5"/>
    <s v="Adyar Heights"/>
    <n v="0"/>
    <s v="Yes"/>
    <n v="11748000"/>
    <x v="2"/>
    <s v="BRK-01"/>
    <x v="2"/>
    <s v="Tier A"/>
    <n v="0.02"/>
    <n v="0"/>
    <n v="0"/>
    <n v="0"/>
  </r>
  <r>
    <x v="2"/>
    <s v="Kothrud"/>
    <x v="4"/>
    <n v="4"/>
    <n v="1740"/>
    <n v="2385"/>
    <n v="2"/>
    <n v="2013"/>
    <n v="2014"/>
    <s v="Villa"/>
    <n v="0"/>
    <s v="North"/>
    <s v="No"/>
    <s v="Unfurnished"/>
    <n v="9"/>
    <n v="0"/>
    <s v="Kothrud Enclave"/>
    <n v="2"/>
    <s v="No"/>
    <n v="15080000"/>
    <x v="2"/>
    <s v="BRK-04"/>
    <x v="3"/>
    <s v="Tier C"/>
    <n v="0.01"/>
    <n v="0"/>
    <n v="0"/>
    <n v="0"/>
  </r>
  <r>
    <x v="2"/>
    <s v="Aundh"/>
    <x v="3"/>
    <n v="2"/>
    <n v="4430"/>
    <n v="8314"/>
    <n v="2"/>
    <n v="1974"/>
    <n v="2024"/>
    <s v="Builder Floor"/>
    <n v="2"/>
    <s v="South"/>
    <s v="No"/>
    <s v="Unfurnished"/>
    <n v="4"/>
    <n v="5"/>
    <s v="Aundh Residency"/>
    <n v="0"/>
    <s v="No"/>
    <n v="37955000"/>
    <x v="1"/>
    <s v="BRK-01"/>
    <x v="2"/>
    <s v="Tier A"/>
    <n v="0.02"/>
    <n v="0"/>
    <n v="0"/>
    <n v="0"/>
  </r>
  <r>
    <x v="4"/>
    <s v="HSR Layout"/>
    <x v="4"/>
    <n v="2"/>
    <n v="3621"/>
    <n v="7174"/>
    <n v="3"/>
    <n v="1991"/>
    <n v="1995"/>
    <s v="Independent House"/>
    <n v="0"/>
    <s v="South"/>
    <s v="Yes"/>
    <s v="Semi-Furnished"/>
    <n v="5"/>
    <n v="1"/>
    <s v="HSR Layout Heights"/>
    <n v="2"/>
    <s v="No"/>
    <n v="32864000"/>
    <x v="1"/>
    <s v="BRK-05"/>
    <x v="4"/>
    <s v="Tier B"/>
    <n v="1.4999999999999999E-2"/>
    <n v="0"/>
    <n v="0"/>
    <n v="0"/>
  </r>
  <r>
    <x v="1"/>
    <s v="Vasant Kunj"/>
    <x v="0"/>
    <n v="3"/>
    <n v="2773"/>
    <n v="7594"/>
    <n v="3"/>
    <n v="2023"/>
    <n v="0"/>
    <s v="Villa"/>
    <n v="2"/>
    <s v="South"/>
    <s v="Yes"/>
    <s v="Unfurnished"/>
    <n v="1"/>
    <n v="3"/>
    <s v="Vasant Kunj Enclave"/>
    <n v="1"/>
    <s v="No"/>
    <n v="28070000"/>
    <x v="2"/>
    <s v="BRK-01"/>
    <x v="2"/>
    <s v="Tier A"/>
    <n v="0.02"/>
    <n v="0"/>
    <n v="0"/>
    <n v="0"/>
  </r>
  <r>
    <x v="2"/>
    <s v="Viman Nagar"/>
    <x v="2"/>
    <n v="3"/>
    <n v="3310"/>
    <n v="8395"/>
    <n v="1"/>
    <n v="1978"/>
    <n v="1985"/>
    <s v="Independent House"/>
    <n v="1"/>
    <s v="West"/>
    <s v="No"/>
    <s v="Semi-Furnished"/>
    <n v="8"/>
    <n v="3"/>
    <s v="Viman Nagar Residency"/>
    <n v="1"/>
    <s v="Yes"/>
    <n v="28360000"/>
    <x v="1"/>
    <s v="BRK-05"/>
    <x v="4"/>
    <s v="Tier B"/>
    <n v="1.4999999999999999E-2"/>
    <n v="0"/>
    <n v="0"/>
    <n v="0"/>
  </r>
  <r>
    <x v="2"/>
    <s v="Baner"/>
    <x v="1"/>
    <n v="3"/>
    <n v="939"/>
    <n v="2827"/>
    <n v="1"/>
    <n v="2020"/>
    <n v="2023"/>
    <s v="Apartment"/>
    <n v="1"/>
    <s v="South"/>
    <s v="No"/>
    <s v="Unfurnished"/>
    <n v="7"/>
    <n v="0"/>
    <s v="Baner Residency"/>
    <n v="3"/>
    <s v="Yes"/>
    <n v="8436500"/>
    <x v="1"/>
    <s v="BRK-01"/>
    <x v="2"/>
    <s v="Tier A"/>
    <n v="0.02"/>
    <n v="0"/>
    <n v="0"/>
    <n v="0"/>
  </r>
  <r>
    <x v="2"/>
    <s v="Baner"/>
    <x v="2"/>
    <n v="4"/>
    <n v="1380"/>
    <n v="9839"/>
    <n v="2"/>
    <n v="2008"/>
    <n v="2025"/>
    <s v="Builder Floor"/>
    <n v="3"/>
    <s v="East"/>
    <s v="Yes"/>
    <s v="Semi-Furnished"/>
    <n v="4"/>
    <n v="0"/>
    <s v="Baner Residency"/>
    <n v="0"/>
    <s v="Yes"/>
    <n v="12015000"/>
    <x v="0"/>
    <s v="BRK-01"/>
    <x v="2"/>
    <s v="Tier A"/>
    <n v="0.02"/>
    <n v="240300"/>
    <n v="360450"/>
    <n v="120150"/>
  </r>
  <r>
    <x v="3"/>
    <s v="Adyar"/>
    <x v="2"/>
    <n v="1"/>
    <n v="865"/>
    <n v="8649"/>
    <n v="1"/>
    <n v="1986"/>
    <n v="2011"/>
    <s v="Apartment"/>
    <n v="1"/>
    <s v="West"/>
    <s v="No"/>
    <s v="Semi-Furnished"/>
    <n v="7"/>
    <n v="3"/>
    <s v="Adyar Villa"/>
    <n v="0"/>
    <s v="Yes"/>
    <n v="7070000"/>
    <x v="1"/>
    <s v="BRK-05"/>
    <x v="4"/>
    <s v="Tier B"/>
    <n v="1.4999999999999999E-2"/>
    <n v="0"/>
    <n v="0"/>
    <n v="0"/>
  </r>
  <r>
    <x v="4"/>
    <s v="Whitefield"/>
    <x v="4"/>
    <n v="4"/>
    <n v="4632"/>
    <n v="5725"/>
    <n v="3"/>
    <n v="1978"/>
    <n v="0"/>
    <s v="Builder Floor"/>
    <n v="2"/>
    <s v="West"/>
    <s v="No"/>
    <s v="Unfurnished"/>
    <n v="6"/>
    <n v="1"/>
    <s v="Whitefield Residency"/>
    <n v="3"/>
    <s v="No"/>
    <n v="42013000"/>
    <x v="0"/>
    <s v="BRK-01"/>
    <x v="2"/>
    <s v="Tier A"/>
    <n v="0.02"/>
    <n v="840260"/>
    <n v="1260390"/>
    <n v="420130"/>
  </r>
  <r>
    <x v="1"/>
    <s v="Saket"/>
    <x v="4"/>
    <n v="1"/>
    <n v="563"/>
    <n v="7481"/>
    <n v="3"/>
    <n v="1952"/>
    <n v="1981"/>
    <s v="Apartment"/>
    <n v="0"/>
    <s v="North"/>
    <s v="Yes"/>
    <s v="Semi-Furnished"/>
    <n v="9"/>
    <n v="5"/>
    <s v="Saket Heights"/>
    <n v="1"/>
    <s v="Yes"/>
    <n v="5910000"/>
    <x v="2"/>
    <s v="BRK-03"/>
    <x v="1"/>
    <s v="Tier A"/>
    <n v="0.02"/>
    <n v="0"/>
    <n v="0"/>
    <n v="0"/>
  </r>
  <r>
    <x v="3"/>
    <s v="Anna Nagar"/>
    <x v="4"/>
    <n v="2"/>
    <n v="762"/>
    <n v="3107"/>
    <n v="3"/>
    <n v="1987"/>
    <n v="2000"/>
    <s v="Villa"/>
    <n v="2"/>
    <s v="South"/>
    <s v="No"/>
    <s v="Furnished"/>
    <n v="10"/>
    <n v="4"/>
    <s v="Anna Nagar Residency"/>
    <n v="3"/>
    <s v="No"/>
    <n v="6436000"/>
    <x v="1"/>
    <s v="BRK-03"/>
    <x v="1"/>
    <s v="Tier A"/>
    <n v="0.02"/>
    <n v="0"/>
    <n v="0"/>
    <n v="0"/>
  </r>
  <r>
    <x v="4"/>
    <s v="Whitefield"/>
    <x v="1"/>
    <n v="2"/>
    <n v="3799"/>
    <n v="8402"/>
    <n v="2"/>
    <n v="1956"/>
    <n v="1999"/>
    <s v="Independent House"/>
    <n v="2"/>
    <s v="West"/>
    <s v="No"/>
    <s v="Furnished"/>
    <n v="4"/>
    <n v="3"/>
    <s v="Whitefield Residency"/>
    <n v="3"/>
    <s v="Yes"/>
    <n v="34711000"/>
    <x v="2"/>
    <s v="BRK-04"/>
    <x v="3"/>
    <s v="Tier C"/>
    <n v="0.01"/>
    <n v="0"/>
    <n v="0"/>
    <n v="0"/>
  </r>
  <r>
    <x v="1"/>
    <s v="Saket"/>
    <x v="4"/>
    <n v="4"/>
    <n v="772"/>
    <n v="7583"/>
    <n v="2"/>
    <n v="2021"/>
    <n v="2024"/>
    <s v="Apartment"/>
    <n v="3"/>
    <s v="South"/>
    <s v="No"/>
    <s v="Furnished"/>
    <n v="5"/>
    <n v="5"/>
    <s v="Saket Heights"/>
    <n v="3"/>
    <s v="No"/>
    <n v="8100000"/>
    <x v="2"/>
    <s v="BRK-01"/>
    <x v="2"/>
    <s v="Tier A"/>
    <n v="0.02"/>
    <n v="0"/>
    <n v="0"/>
    <n v="0"/>
  </r>
  <r>
    <x v="0"/>
    <s v="Powai"/>
    <x v="4"/>
    <n v="1"/>
    <n v="2499"/>
    <n v="5638"/>
    <n v="3"/>
    <n v="1955"/>
    <n v="1963"/>
    <s v="Apartment"/>
    <n v="1"/>
    <s v="West"/>
    <s v="Yes"/>
    <s v="Semi-Furnished"/>
    <n v="4"/>
    <n v="0"/>
    <s v="Powai Residency"/>
    <n v="1"/>
    <s v="Yes"/>
    <n v="30268000"/>
    <x v="2"/>
    <s v="BRK-01"/>
    <x v="2"/>
    <s v="Tier A"/>
    <n v="0.02"/>
    <n v="0"/>
    <n v="0"/>
    <n v="0"/>
  </r>
  <r>
    <x v="3"/>
    <s v="Velachery"/>
    <x v="1"/>
    <n v="2"/>
    <n v="3549"/>
    <n v="5559"/>
    <n v="3"/>
    <n v="1991"/>
    <n v="2008"/>
    <s v="Independent House"/>
    <n v="3"/>
    <s v="East"/>
    <s v="No"/>
    <s v="Semi-Furnished"/>
    <n v="5"/>
    <n v="4"/>
    <s v="Velachery Villa"/>
    <n v="3"/>
    <s v="Yes"/>
    <n v="28857000"/>
    <x v="1"/>
    <s v="BRK-01"/>
    <x v="2"/>
    <s v="Tier A"/>
    <n v="0.02"/>
    <n v="0"/>
    <n v="0"/>
    <n v="0"/>
  </r>
  <r>
    <x v="3"/>
    <s v="Adyar"/>
    <x v="4"/>
    <n v="3"/>
    <n v="2863"/>
    <n v="6303"/>
    <n v="1"/>
    <n v="2022"/>
    <n v="2022"/>
    <s v="Apartment"/>
    <n v="0"/>
    <s v="East"/>
    <s v="No"/>
    <s v="Semi-Furnished"/>
    <n v="2"/>
    <n v="1"/>
    <s v="Adyar Enclave"/>
    <n v="1"/>
    <s v="No"/>
    <n v="23129000"/>
    <x v="1"/>
    <s v="BRK-05"/>
    <x v="4"/>
    <s v="Tier B"/>
    <n v="1.4999999999999999E-2"/>
    <n v="0"/>
    <n v="0"/>
    <n v="0"/>
  </r>
  <r>
    <x v="2"/>
    <s v="Hinjewadi"/>
    <x v="3"/>
    <n v="3"/>
    <n v="2408"/>
    <n v="8711"/>
    <n v="2"/>
    <n v="2012"/>
    <n v="2018"/>
    <s v="Apartment"/>
    <n v="2"/>
    <s v="South"/>
    <s v="Yes"/>
    <s v="Unfurnished"/>
    <n v="8"/>
    <n v="3"/>
    <s v="Hinjewadi Residency"/>
    <n v="0"/>
    <s v="Yes"/>
    <n v="20873000"/>
    <x v="1"/>
    <s v="BRK-02"/>
    <x v="0"/>
    <s v="Tier B"/>
    <n v="1.4999999999999999E-2"/>
    <n v="0"/>
    <n v="0"/>
    <n v="0"/>
  </r>
  <r>
    <x v="0"/>
    <s v="Andheri"/>
    <x v="2"/>
    <n v="4"/>
    <n v="1426"/>
    <n v="5267"/>
    <n v="1"/>
    <n v="1969"/>
    <n v="0"/>
    <s v="Apartment"/>
    <n v="3"/>
    <s v="East"/>
    <s v="Yes"/>
    <s v="Unfurnished"/>
    <n v="10"/>
    <n v="5"/>
    <s v="Andheri Villa"/>
    <n v="3"/>
    <s v="Yes"/>
    <n v="17422000"/>
    <x v="0"/>
    <s v="BRK-05"/>
    <x v="4"/>
    <s v="Tier B"/>
    <n v="1.4999999999999999E-2"/>
    <n v="261330"/>
    <n v="522660"/>
    <n v="261330"/>
  </r>
  <r>
    <x v="0"/>
    <s v="Powai"/>
    <x v="1"/>
    <n v="4"/>
    <n v="397"/>
    <n v="721"/>
    <n v="3"/>
    <n v="1985"/>
    <n v="2018"/>
    <s v="Villa"/>
    <n v="0"/>
    <s v="West"/>
    <s v="Yes"/>
    <s v="Furnished"/>
    <n v="1"/>
    <n v="4"/>
    <s v="Powai Residency"/>
    <n v="1"/>
    <s v="Yes"/>
    <n v="5359000"/>
    <x v="0"/>
    <s v="BRK-04"/>
    <x v="3"/>
    <s v="Tier C"/>
    <n v="0.01"/>
    <n v="53590"/>
    <n v="160770"/>
    <n v="107180"/>
  </r>
  <r>
    <x v="2"/>
    <s v="Aundh"/>
    <x v="0"/>
    <n v="3"/>
    <n v="2489"/>
    <n v="9051"/>
    <n v="2"/>
    <n v="1960"/>
    <n v="2006"/>
    <s v="Independent House"/>
    <n v="3"/>
    <s v="South"/>
    <s v="Yes"/>
    <s v="Semi-Furnished"/>
    <n v="10"/>
    <n v="0"/>
    <s v="Aundh Heights"/>
    <n v="0"/>
    <s v="No"/>
    <n v="21461500"/>
    <x v="2"/>
    <s v="BRK-01"/>
    <x v="2"/>
    <s v="Tier A"/>
    <n v="0.02"/>
    <n v="0"/>
    <n v="0"/>
    <n v="0"/>
  </r>
  <r>
    <x v="3"/>
    <s v="Anna Nagar"/>
    <x v="1"/>
    <n v="4"/>
    <n v="759"/>
    <n v="963"/>
    <n v="3"/>
    <n v="1971"/>
    <n v="1975"/>
    <s v="Independent House"/>
    <n v="3"/>
    <s v="East"/>
    <s v="Yes"/>
    <s v="Unfurnished"/>
    <n v="0"/>
    <n v="1"/>
    <s v="Anna Nagar Residency"/>
    <n v="3"/>
    <s v="No"/>
    <n v="6572000"/>
    <x v="1"/>
    <s v="BRK-04"/>
    <x v="3"/>
    <s v="Tier C"/>
    <n v="0.01"/>
    <n v="0"/>
    <n v="0"/>
    <n v="0"/>
  </r>
  <r>
    <x v="0"/>
    <s v="Andheri"/>
    <x v="0"/>
    <n v="1"/>
    <n v="1769"/>
    <n v="9427"/>
    <n v="2"/>
    <n v="1952"/>
    <n v="1977"/>
    <s v="Apartment"/>
    <n v="3"/>
    <s v="North"/>
    <s v="No"/>
    <s v="Furnished"/>
    <n v="9"/>
    <n v="1"/>
    <s v="Andheri Villa"/>
    <n v="2"/>
    <s v="No"/>
    <n v="21553000"/>
    <x v="1"/>
    <s v="BRK-04"/>
    <x v="3"/>
    <s v="Tier C"/>
    <n v="0.01"/>
    <n v="0"/>
    <n v="0"/>
    <n v="0"/>
  </r>
  <r>
    <x v="1"/>
    <s v="Dwarka"/>
    <x v="1"/>
    <n v="3"/>
    <n v="739"/>
    <n v="2389"/>
    <n v="2"/>
    <n v="1979"/>
    <n v="1982"/>
    <s v="Villa"/>
    <n v="3"/>
    <s v="East"/>
    <s v="Yes"/>
    <s v="Unfurnished"/>
    <n v="4"/>
    <n v="3"/>
    <s v="Dwarka Villa"/>
    <n v="1"/>
    <s v="No"/>
    <n v="7810000"/>
    <x v="1"/>
    <s v="BRK-01"/>
    <x v="2"/>
    <s v="Tier A"/>
    <n v="0.02"/>
    <n v="0"/>
    <n v="0"/>
    <n v="0"/>
  </r>
  <r>
    <x v="2"/>
    <s v="Baner"/>
    <x v="3"/>
    <n v="2"/>
    <n v="3413"/>
    <n v="4165"/>
    <n v="3"/>
    <n v="1987"/>
    <n v="2001"/>
    <s v="Builder Floor"/>
    <n v="0"/>
    <s v="East"/>
    <s v="Yes"/>
    <s v="Semi-Furnished"/>
    <n v="10"/>
    <n v="1"/>
    <s v="Baner Villa"/>
    <n v="2"/>
    <s v="No"/>
    <n v="29385500"/>
    <x v="0"/>
    <s v="BRK-02"/>
    <x v="0"/>
    <s v="Tier B"/>
    <n v="1.4999999999999999E-2"/>
    <n v="440782.5"/>
    <n v="881565"/>
    <n v="440782.5"/>
  </r>
  <r>
    <x v="0"/>
    <s v="Andheri"/>
    <x v="2"/>
    <n v="3"/>
    <n v="3943"/>
    <n v="6941"/>
    <n v="2"/>
    <n v="1963"/>
    <n v="1978"/>
    <s v="Builder Floor"/>
    <n v="1"/>
    <s v="West"/>
    <s v="No"/>
    <s v="Unfurnished"/>
    <n v="8"/>
    <n v="4"/>
    <s v="Andheri Villa"/>
    <n v="0"/>
    <s v="Yes"/>
    <n v="47546000"/>
    <x v="1"/>
    <s v="BRK-03"/>
    <x v="1"/>
    <s v="Tier A"/>
    <n v="0.02"/>
    <n v="0"/>
    <n v="0"/>
    <n v="0"/>
  </r>
  <r>
    <x v="0"/>
    <s v="Juhu"/>
    <x v="1"/>
    <n v="1"/>
    <n v="2957"/>
    <n v="6162"/>
    <n v="1"/>
    <n v="1987"/>
    <n v="2012"/>
    <s v="Independent House"/>
    <n v="0"/>
    <s v="South"/>
    <s v="Yes"/>
    <s v="Unfurnished"/>
    <n v="6"/>
    <n v="1"/>
    <s v="Juhu Residency"/>
    <n v="2"/>
    <s v="No"/>
    <n v="35839000"/>
    <x v="1"/>
    <s v="BRK-05"/>
    <x v="4"/>
    <s v="Tier B"/>
    <n v="1.4999999999999999E-2"/>
    <n v="0"/>
    <n v="0"/>
    <n v="0"/>
  </r>
  <r>
    <x v="4"/>
    <s v="MG Road"/>
    <x v="4"/>
    <n v="1"/>
    <n v="1669"/>
    <n v="8840"/>
    <n v="2"/>
    <n v="2003"/>
    <n v="2011"/>
    <s v="Independent House"/>
    <n v="0"/>
    <s v="East"/>
    <s v="No"/>
    <s v="Furnished"/>
    <n v="10"/>
    <n v="3"/>
    <s v="MG Road Residency"/>
    <n v="3"/>
    <s v="Yes"/>
    <n v="15361000"/>
    <x v="1"/>
    <s v="BRK-05"/>
    <x v="4"/>
    <s v="Tier B"/>
    <n v="1.4999999999999999E-2"/>
    <n v="0"/>
    <n v="0"/>
    <n v="0"/>
  </r>
  <r>
    <x v="1"/>
    <s v="Saket"/>
    <x v="2"/>
    <n v="4"/>
    <n v="3021"/>
    <n v="9965"/>
    <n v="3"/>
    <n v="1998"/>
    <n v="2022"/>
    <s v="Villa"/>
    <n v="3"/>
    <s v="East"/>
    <s v="No"/>
    <s v="Unfurnished"/>
    <n v="9"/>
    <n v="1"/>
    <s v="Saket Enclave"/>
    <n v="2"/>
    <s v="Yes"/>
    <n v="30520000"/>
    <x v="2"/>
    <s v="BRK-05"/>
    <x v="4"/>
    <s v="Tier B"/>
    <n v="1.4999999999999999E-2"/>
    <n v="0"/>
    <n v="0"/>
    <n v="0"/>
  </r>
  <r>
    <x v="3"/>
    <s v="Adyar"/>
    <x v="4"/>
    <n v="4"/>
    <n v="2914"/>
    <n v="5351"/>
    <n v="3"/>
    <n v="2012"/>
    <n v="2020"/>
    <s v="Apartment"/>
    <n v="2"/>
    <s v="West"/>
    <s v="No"/>
    <s v="Semi-Furnished"/>
    <n v="5"/>
    <n v="0"/>
    <s v="Adyar Residency"/>
    <n v="1"/>
    <s v="Yes"/>
    <n v="23657000"/>
    <x v="2"/>
    <s v="BRK-03"/>
    <x v="1"/>
    <s v="Tier A"/>
    <n v="0.02"/>
    <n v="0"/>
    <n v="0"/>
    <n v="0"/>
  </r>
  <r>
    <x v="3"/>
    <s v="Velachery"/>
    <x v="3"/>
    <n v="3"/>
    <n v="866"/>
    <n v="7619"/>
    <n v="3"/>
    <n v="2013"/>
    <n v="2014"/>
    <s v="Villa"/>
    <n v="1"/>
    <s v="East"/>
    <s v="Yes"/>
    <s v="Unfurnished"/>
    <n v="6"/>
    <n v="3"/>
    <s v="Velachery Heights"/>
    <n v="3"/>
    <s v="No"/>
    <n v="7348000"/>
    <x v="0"/>
    <s v="BRK-01"/>
    <x v="2"/>
    <s v="Tier A"/>
    <n v="0.02"/>
    <n v="146960"/>
    <n v="220440"/>
    <n v="73480"/>
  </r>
  <r>
    <x v="2"/>
    <s v="Baner"/>
    <x v="1"/>
    <n v="4"/>
    <n v="4753"/>
    <n v="5104"/>
    <n v="2"/>
    <n v="2018"/>
    <n v="2018"/>
    <s v="Builder Floor"/>
    <n v="1"/>
    <s v="East"/>
    <s v="Yes"/>
    <s v="Unfurnished"/>
    <n v="9"/>
    <n v="0"/>
    <s v="Baner Villa"/>
    <n v="2"/>
    <s v="No"/>
    <n v="40865500"/>
    <x v="2"/>
    <s v="BRK-02"/>
    <x v="0"/>
    <s v="Tier B"/>
    <n v="1.4999999999999999E-2"/>
    <n v="0"/>
    <n v="0"/>
    <n v="0"/>
  </r>
  <r>
    <x v="0"/>
    <s v="Andheri"/>
    <x v="2"/>
    <n v="3"/>
    <n v="2118"/>
    <n v="6351"/>
    <n v="3"/>
    <n v="2016"/>
    <n v="2023"/>
    <s v="Apartment"/>
    <n v="3"/>
    <s v="East"/>
    <s v="No"/>
    <s v="Semi-Furnished"/>
    <n v="10"/>
    <n v="4"/>
    <s v="Andheri Residency"/>
    <n v="2"/>
    <s v="Yes"/>
    <n v="25696000"/>
    <x v="2"/>
    <s v="BRK-02"/>
    <x v="0"/>
    <s v="Tier B"/>
    <n v="1.4999999999999999E-2"/>
    <n v="0"/>
    <n v="0"/>
    <n v="0"/>
  </r>
  <r>
    <x v="3"/>
    <s v="T Nagar"/>
    <x v="0"/>
    <n v="4"/>
    <n v="1003"/>
    <n v="2954"/>
    <n v="3"/>
    <n v="1968"/>
    <n v="1989"/>
    <s v="Villa"/>
    <n v="2"/>
    <s v="West"/>
    <s v="Yes"/>
    <s v="Unfurnished"/>
    <n v="7"/>
    <n v="2"/>
    <s v="T Nagar Villa"/>
    <n v="0"/>
    <s v="No"/>
    <n v="8379000"/>
    <x v="1"/>
    <s v="BRK-01"/>
    <x v="2"/>
    <s v="Tier A"/>
    <n v="0.02"/>
    <n v="0"/>
    <n v="0"/>
    <n v="0"/>
  </r>
  <r>
    <x v="3"/>
    <s v="Adyar"/>
    <x v="2"/>
    <n v="3"/>
    <n v="666"/>
    <n v="2601"/>
    <n v="1"/>
    <n v="1993"/>
    <n v="1998"/>
    <s v="Apartment"/>
    <n v="1"/>
    <s v="South"/>
    <s v="Yes"/>
    <s v="Semi-Furnished"/>
    <n v="8"/>
    <n v="3"/>
    <s v="Adyar Villa"/>
    <n v="1"/>
    <s v="No"/>
    <n v="5528000"/>
    <x v="1"/>
    <s v="BRK-05"/>
    <x v="4"/>
    <s v="Tier B"/>
    <n v="1.4999999999999999E-2"/>
    <n v="0"/>
    <n v="0"/>
    <n v="0"/>
  </r>
  <r>
    <x v="1"/>
    <s v="Rohini"/>
    <x v="3"/>
    <n v="4"/>
    <n v="539"/>
    <n v="3821"/>
    <n v="2"/>
    <n v="2025"/>
    <n v="2025"/>
    <s v="Independent House"/>
    <n v="0"/>
    <s v="South"/>
    <s v="Yes"/>
    <s v="Semi-Furnished"/>
    <n v="1"/>
    <n v="4"/>
    <s v="Rohini Heights"/>
    <n v="1"/>
    <s v="No"/>
    <n v="5790000"/>
    <x v="0"/>
    <s v="BRK-04"/>
    <x v="3"/>
    <s v="Tier C"/>
    <n v="0.01"/>
    <n v="57900"/>
    <n v="173700"/>
    <n v="115800"/>
  </r>
  <r>
    <x v="4"/>
    <s v="Koramangala"/>
    <x v="3"/>
    <n v="1"/>
    <n v="2449"/>
    <n v="7993"/>
    <n v="2"/>
    <n v="2017"/>
    <n v="2021"/>
    <s v="Independent House"/>
    <n v="3"/>
    <s v="North"/>
    <s v="No"/>
    <s v="Semi-Furnished"/>
    <n v="7"/>
    <n v="4"/>
    <s v="Koramangala Residency"/>
    <n v="2"/>
    <s v="Yes"/>
    <n v="22391000"/>
    <x v="2"/>
    <s v="BRK-03"/>
    <x v="1"/>
    <s v="Tier A"/>
    <n v="0.02"/>
    <n v="0"/>
    <n v="0"/>
    <n v="0"/>
  </r>
  <r>
    <x v="1"/>
    <s v="Saket"/>
    <x v="2"/>
    <n v="2"/>
    <n v="2801"/>
    <n v="3809"/>
    <n v="1"/>
    <n v="1997"/>
    <n v="2018"/>
    <s v="Apartment"/>
    <n v="3"/>
    <s v="West"/>
    <s v="Yes"/>
    <s v="Unfurnished"/>
    <n v="6"/>
    <n v="3"/>
    <s v="Saket Residency"/>
    <n v="3"/>
    <s v="Yes"/>
    <n v="28260000"/>
    <x v="2"/>
    <s v="BRK-03"/>
    <x v="1"/>
    <s v="Tier A"/>
    <n v="0.02"/>
    <n v="0"/>
    <n v="0"/>
    <n v="0"/>
  </r>
  <r>
    <x v="2"/>
    <s v="Hinjewadi"/>
    <x v="3"/>
    <n v="3"/>
    <n v="1449"/>
    <n v="4564"/>
    <n v="2"/>
    <n v="2007"/>
    <n v="2025"/>
    <s v="Builder Floor"/>
    <n v="2"/>
    <s v="North"/>
    <s v="No"/>
    <s v="Furnished"/>
    <n v="3"/>
    <n v="3"/>
    <s v="Hinjewadi Villa"/>
    <n v="3"/>
    <s v="No"/>
    <n v="12766500"/>
    <x v="2"/>
    <s v="BRK-03"/>
    <x v="1"/>
    <s v="Tier A"/>
    <n v="0.02"/>
    <n v="0"/>
    <n v="0"/>
    <n v="0"/>
  </r>
  <r>
    <x v="3"/>
    <s v="Anna Nagar"/>
    <x v="3"/>
    <n v="2"/>
    <n v="977"/>
    <n v="1532"/>
    <n v="1"/>
    <n v="1987"/>
    <n v="1988"/>
    <s v="Villa"/>
    <n v="1"/>
    <s v="East"/>
    <s v="Yes"/>
    <s v="Semi-Furnished"/>
    <n v="9"/>
    <n v="5"/>
    <s v="Anna Nagar Villa"/>
    <n v="0"/>
    <s v="Yes"/>
    <n v="8171000"/>
    <x v="2"/>
    <s v="BRK-02"/>
    <x v="0"/>
    <s v="Tier B"/>
    <n v="1.4999999999999999E-2"/>
    <n v="0"/>
    <n v="0"/>
    <n v="0"/>
  </r>
  <r>
    <x v="4"/>
    <s v="HSR Layout"/>
    <x v="0"/>
    <n v="1"/>
    <n v="3915"/>
    <n v="8440"/>
    <n v="1"/>
    <n v="2004"/>
    <n v="2006"/>
    <s v="Apartment"/>
    <n v="2"/>
    <s v="North"/>
    <s v="No"/>
    <s v="Semi-Furnished"/>
    <n v="5"/>
    <n v="0"/>
    <s v="HSR Layout Villa"/>
    <n v="0"/>
    <s v="Yes"/>
    <n v="35485000"/>
    <x v="1"/>
    <s v="BRK-01"/>
    <x v="2"/>
    <s v="Tier A"/>
    <n v="0.02"/>
    <n v="0"/>
    <n v="0"/>
    <n v="0"/>
  </r>
  <r>
    <x v="1"/>
    <s v="Lajpat Nagar"/>
    <x v="0"/>
    <n v="4"/>
    <n v="1659"/>
    <n v="3990"/>
    <n v="1"/>
    <n v="1976"/>
    <n v="1978"/>
    <s v="Villa"/>
    <n v="2"/>
    <s v="South"/>
    <s v="No"/>
    <s v="Unfurnished"/>
    <n v="4"/>
    <n v="2"/>
    <s v="Lajpat Nagar Enclave"/>
    <n v="0"/>
    <s v="Yes"/>
    <n v="16930000"/>
    <x v="2"/>
    <s v="BRK-05"/>
    <x v="4"/>
    <s v="Tier B"/>
    <n v="1.4999999999999999E-2"/>
    <n v="0"/>
    <n v="0"/>
    <n v="0"/>
  </r>
  <r>
    <x v="3"/>
    <s v="T Nagar"/>
    <x v="0"/>
    <n v="2"/>
    <n v="1387"/>
    <n v="5527"/>
    <n v="1"/>
    <n v="1991"/>
    <n v="2005"/>
    <s v="Independent House"/>
    <n v="3"/>
    <s v="South"/>
    <s v="No"/>
    <s v="Unfurnished"/>
    <n v="6"/>
    <n v="3"/>
    <s v="T Nagar Villa"/>
    <n v="0"/>
    <s v="Yes"/>
    <n v="11376000"/>
    <x v="1"/>
    <s v="BRK-03"/>
    <x v="1"/>
    <s v="Tier A"/>
    <n v="0.02"/>
    <n v="0"/>
    <n v="0"/>
    <n v="0"/>
  </r>
  <r>
    <x v="3"/>
    <s v="Perambur"/>
    <x v="0"/>
    <n v="3"/>
    <n v="4024"/>
    <n v="8072"/>
    <n v="2"/>
    <n v="2024"/>
    <n v="0"/>
    <s v="Builder Floor"/>
    <n v="3"/>
    <s v="East"/>
    <s v="Yes"/>
    <s v="Unfurnished"/>
    <n v="6"/>
    <n v="1"/>
    <s v="Perambur Villa"/>
    <n v="1"/>
    <s v="No"/>
    <n v="32512000"/>
    <x v="0"/>
    <s v="BRK-02"/>
    <x v="0"/>
    <s v="Tier B"/>
    <n v="1.4999999999999999E-2"/>
    <n v="487680"/>
    <n v="975360"/>
    <n v="487680"/>
  </r>
  <r>
    <x v="4"/>
    <s v="Indiranagar"/>
    <x v="0"/>
    <n v="3"/>
    <n v="4783"/>
    <n v="9567"/>
    <n v="1"/>
    <n v="2022"/>
    <n v="2024"/>
    <s v="Villa"/>
    <n v="0"/>
    <s v="North"/>
    <s v="Yes"/>
    <s v="Unfurnished"/>
    <n v="7"/>
    <n v="0"/>
    <s v="Indiranagar Heights"/>
    <n v="1"/>
    <s v="No"/>
    <n v="43347000"/>
    <x v="2"/>
    <s v="BRK-02"/>
    <x v="0"/>
    <s v="Tier B"/>
    <n v="1.4999999999999999E-2"/>
    <n v="0"/>
    <n v="0"/>
    <n v="0"/>
  </r>
  <r>
    <x v="3"/>
    <s v="T Nagar"/>
    <x v="3"/>
    <n v="2"/>
    <n v="1380"/>
    <n v="6375"/>
    <n v="1"/>
    <n v="1985"/>
    <n v="1989"/>
    <s v="Villa"/>
    <n v="2"/>
    <s v="North"/>
    <s v="No"/>
    <s v="Unfurnished"/>
    <n v="10"/>
    <n v="1"/>
    <s v="T Nagar Heights"/>
    <n v="3"/>
    <s v="No"/>
    <n v="11365000"/>
    <x v="2"/>
    <s v="BRK-04"/>
    <x v="3"/>
    <s v="Tier C"/>
    <n v="0.01"/>
    <n v="0"/>
    <n v="0"/>
    <n v="0"/>
  </r>
  <r>
    <x v="1"/>
    <s v="Vasant Kunj"/>
    <x v="2"/>
    <n v="1"/>
    <n v="308"/>
    <n v="3854"/>
    <n v="2"/>
    <n v="1959"/>
    <n v="1974"/>
    <s v="Apartment"/>
    <n v="3"/>
    <s v="North"/>
    <s v="Yes"/>
    <s v="Unfurnished"/>
    <n v="5"/>
    <n v="0"/>
    <s v="Vasant Kunj Villa"/>
    <n v="1"/>
    <s v="No"/>
    <n v="3240000"/>
    <x v="1"/>
    <s v="BRK-04"/>
    <x v="3"/>
    <s v="Tier C"/>
    <n v="0.01"/>
    <n v="0"/>
    <n v="0"/>
    <n v="0"/>
  </r>
  <r>
    <x v="0"/>
    <s v="Bandra"/>
    <x v="3"/>
    <n v="1"/>
    <n v="1139"/>
    <n v="2879"/>
    <n v="2"/>
    <n v="1997"/>
    <n v="2024"/>
    <s v="Villa"/>
    <n v="1"/>
    <s v="West"/>
    <s v="Yes"/>
    <s v="Unfurnished"/>
    <n v="10"/>
    <n v="1"/>
    <s v="Bandra Heights"/>
    <n v="0"/>
    <s v="Yes"/>
    <n v="14013000"/>
    <x v="2"/>
    <s v="BRK-04"/>
    <x v="3"/>
    <s v="Tier C"/>
    <n v="0.01"/>
    <n v="0"/>
    <n v="0"/>
    <n v="0"/>
  </r>
  <r>
    <x v="3"/>
    <s v="Adyar"/>
    <x v="4"/>
    <n v="2"/>
    <n v="3672"/>
    <n v="8768"/>
    <n v="3"/>
    <n v="2006"/>
    <n v="2011"/>
    <s v="Builder Floor"/>
    <n v="0"/>
    <s v="South"/>
    <s v="Yes"/>
    <s v="Unfurnished"/>
    <n v="6"/>
    <n v="2"/>
    <s v="Adyar Villa"/>
    <n v="2"/>
    <s v="Yes"/>
    <n v="29701000"/>
    <x v="0"/>
    <s v="BRK-05"/>
    <x v="4"/>
    <s v="Tier B"/>
    <n v="1.4999999999999999E-2"/>
    <n v="445515"/>
    <n v="891030"/>
    <n v="445515"/>
  </r>
  <r>
    <x v="1"/>
    <s v="Saket"/>
    <x v="2"/>
    <n v="2"/>
    <n v="4833"/>
    <n v="9806"/>
    <n v="3"/>
    <n v="1986"/>
    <n v="1986"/>
    <s v="Villa"/>
    <n v="1"/>
    <s v="South"/>
    <s v="No"/>
    <s v="Semi-Furnished"/>
    <n v="10"/>
    <n v="0"/>
    <s v="Saket Residency"/>
    <n v="3"/>
    <s v="No"/>
    <n v="48545000"/>
    <x v="1"/>
    <s v="BRK-03"/>
    <x v="1"/>
    <s v="Tier A"/>
    <n v="0.02"/>
    <n v="0"/>
    <n v="0"/>
    <n v="0"/>
  </r>
  <r>
    <x v="0"/>
    <s v="Bandra"/>
    <x v="3"/>
    <n v="1"/>
    <n v="4627"/>
    <n v="4775"/>
    <n v="2"/>
    <n v="1990"/>
    <n v="1997"/>
    <s v="Independent House"/>
    <n v="3"/>
    <s v="East"/>
    <s v="Yes"/>
    <s v="Semi-Furnished"/>
    <n v="1"/>
    <n v="0"/>
    <s v="Bandra Heights"/>
    <n v="0"/>
    <s v="No"/>
    <n v="55819000"/>
    <x v="1"/>
    <s v="BRK-03"/>
    <x v="1"/>
    <s v="Tier A"/>
    <n v="0.02"/>
    <n v="0"/>
    <n v="0"/>
    <n v="0"/>
  </r>
  <r>
    <x v="1"/>
    <s v="Dwarka"/>
    <x v="2"/>
    <n v="4"/>
    <n v="4450"/>
    <n v="6846"/>
    <n v="3"/>
    <n v="2014"/>
    <n v="2025"/>
    <s v="Independent House"/>
    <n v="3"/>
    <s v="West"/>
    <s v="Yes"/>
    <s v="Unfurnished"/>
    <n v="8"/>
    <n v="4"/>
    <s v="Dwarka Residency"/>
    <n v="2"/>
    <s v="Yes"/>
    <n v="44835000"/>
    <x v="2"/>
    <s v="BRK-03"/>
    <x v="1"/>
    <s v="Tier A"/>
    <n v="0.02"/>
    <n v="0"/>
    <n v="0"/>
    <n v="0"/>
  </r>
  <r>
    <x v="4"/>
    <s v="Whitefield"/>
    <x v="1"/>
    <n v="2"/>
    <n v="1572"/>
    <n v="6975"/>
    <n v="2"/>
    <n v="2025"/>
    <n v="0"/>
    <s v="Villa"/>
    <n v="3"/>
    <s v="South"/>
    <s v="Yes"/>
    <s v="Furnished"/>
    <n v="1"/>
    <n v="3"/>
    <s v="Whitefield Heights"/>
    <n v="3"/>
    <s v="Yes"/>
    <n v="14693000"/>
    <x v="0"/>
    <s v="BRK-02"/>
    <x v="0"/>
    <s v="Tier B"/>
    <n v="1.4999999999999999E-2"/>
    <n v="220395"/>
    <n v="440790"/>
    <n v="220395"/>
  </r>
  <r>
    <x v="4"/>
    <s v="Koramangala"/>
    <x v="2"/>
    <n v="1"/>
    <n v="1424"/>
    <n v="1659"/>
    <n v="1"/>
    <n v="2013"/>
    <n v="2017"/>
    <s v="Villa"/>
    <n v="1"/>
    <s v="East"/>
    <s v="Yes"/>
    <s v="Unfurnished"/>
    <n v="4"/>
    <n v="5"/>
    <s v="Koramangala Heights"/>
    <n v="0"/>
    <s v="No"/>
    <n v="12941000"/>
    <x v="0"/>
    <s v="BRK-01"/>
    <x v="2"/>
    <s v="Tier A"/>
    <n v="0.02"/>
    <n v="258820"/>
    <n v="388230"/>
    <n v="129410"/>
  </r>
  <r>
    <x v="3"/>
    <s v="Adyar"/>
    <x v="1"/>
    <n v="1"/>
    <n v="2454"/>
    <n v="8339"/>
    <n v="3"/>
    <n v="1959"/>
    <n v="2021"/>
    <s v="Independent House"/>
    <n v="2"/>
    <s v="North"/>
    <s v="No"/>
    <s v="Unfurnished"/>
    <n v="2"/>
    <n v="2"/>
    <s v="Adyar Residency"/>
    <n v="2"/>
    <s v="Yes"/>
    <n v="20052000"/>
    <x v="2"/>
    <s v="BRK-04"/>
    <x v="3"/>
    <s v="Tier C"/>
    <n v="0.01"/>
    <n v="0"/>
    <n v="0"/>
    <n v="0"/>
  </r>
  <r>
    <x v="2"/>
    <s v="Kothrud"/>
    <x v="4"/>
    <n v="1"/>
    <n v="660"/>
    <n v="911"/>
    <n v="1"/>
    <n v="1955"/>
    <n v="2014"/>
    <s v="Villa"/>
    <n v="3"/>
    <s v="South"/>
    <s v="Yes"/>
    <s v="Furnished"/>
    <n v="8"/>
    <n v="5"/>
    <s v="Kothrud Villa"/>
    <n v="1"/>
    <s v="No"/>
    <n v="5875000"/>
    <x v="0"/>
    <s v="BRK-05"/>
    <x v="4"/>
    <s v="Tier B"/>
    <n v="1.4999999999999999E-2"/>
    <n v="88125"/>
    <n v="176250"/>
    <n v="88125"/>
  </r>
  <r>
    <x v="1"/>
    <s v="Vasant Kunj"/>
    <x v="0"/>
    <n v="3"/>
    <n v="938"/>
    <n v="7096"/>
    <n v="1"/>
    <n v="2014"/>
    <n v="2023"/>
    <s v="Builder Floor"/>
    <n v="1"/>
    <s v="South"/>
    <s v="Yes"/>
    <s v="Semi-Furnished"/>
    <n v="1"/>
    <n v="3"/>
    <s v="Vasant Kunj Enclave"/>
    <n v="2"/>
    <s v="No"/>
    <n v="9695000"/>
    <x v="0"/>
    <s v="BRK-05"/>
    <x v="4"/>
    <s v="Tier B"/>
    <n v="1.4999999999999999E-2"/>
    <n v="145425"/>
    <n v="290850"/>
    <n v="145425"/>
  </r>
  <r>
    <x v="0"/>
    <s v="Powai"/>
    <x v="3"/>
    <n v="1"/>
    <n v="3322"/>
    <n v="5015"/>
    <n v="2"/>
    <n v="2022"/>
    <n v="2023"/>
    <s v="Apartment"/>
    <n v="3"/>
    <s v="East"/>
    <s v="No"/>
    <s v="Furnished"/>
    <n v="8"/>
    <n v="1"/>
    <s v="Powai Residency"/>
    <n v="0"/>
    <s v="No"/>
    <n v="40209000"/>
    <x v="2"/>
    <s v="BRK-02"/>
    <x v="0"/>
    <s v="Tier B"/>
    <n v="1.4999999999999999E-2"/>
    <n v="0"/>
    <n v="0"/>
    <n v="0"/>
  </r>
  <r>
    <x v="0"/>
    <s v="Bandra"/>
    <x v="1"/>
    <n v="3"/>
    <n v="378"/>
    <n v="5916"/>
    <n v="1"/>
    <n v="1998"/>
    <n v="2024"/>
    <s v="Villa"/>
    <n v="0"/>
    <s v="South"/>
    <s v="Yes"/>
    <s v="Semi-Furnished"/>
    <n v="7"/>
    <n v="0"/>
    <s v="Bandra Residency"/>
    <n v="2"/>
    <s v="Yes"/>
    <n v="5001000"/>
    <x v="1"/>
    <s v="BRK-01"/>
    <x v="2"/>
    <s v="Tier A"/>
    <n v="0.02"/>
    <n v="0"/>
    <n v="0"/>
    <n v="0"/>
  </r>
  <r>
    <x v="0"/>
    <s v="Bandra"/>
    <x v="1"/>
    <n v="4"/>
    <n v="3351"/>
    <n v="7156"/>
    <n v="3"/>
    <n v="1960"/>
    <n v="1971"/>
    <s v="Apartment"/>
    <n v="3"/>
    <s v="North"/>
    <s v="Yes"/>
    <s v="Semi-Furnished"/>
    <n v="10"/>
    <n v="1"/>
    <s v="Bandra Residency"/>
    <n v="2"/>
    <s v="No"/>
    <n v="40697000"/>
    <x v="2"/>
    <s v="BRK-04"/>
    <x v="3"/>
    <s v="Tier C"/>
    <n v="0.01"/>
    <n v="0"/>
    <n v="0"/>
    <n v="0"/>
  </r>
  <r>
    <x v="4"/>
    <s v="MG Road"/>
    <x v="0"/>
    <n v="3"/>
    <n v="4008"/>
    <n v="6285"/>
    <n v="1"/>
    <n v="1959"/>
    <n v="1983"/>
    <s v="Apartment"/>
    <n v="0"/>
    <s v="South"/>
    <s v="Yes"/>
    <s v="Furnished"/>
    <n v="7"/>
    <n v="3"/>
    <s v="MG Road Enclave"/>
    <n v="3"/>
    <s v="Yes"/>
    <n v="36527000"/>
    <x v="2"/>
    <s v="BRK-01"/>
    <x v="2"/>
    <s v="Tier A"/>
    <n v="0.02"/>
    <n v="0"/>
    <n v="0"/>
    <n v="0"/>
  </r>
  <r>
    <x v="2"/>
    <s v="Viman Nagar"/>
    <x v="4"/>
    <n v="4"/>
    <n v="2825"/>
    <n v="6670"/>
    <n v="2"/>
    <n v="1965"/>
    <n v="1969"/>
    <s v="Apartment"/>
    <n v="2"/>
    <s v="North"/>
    <s v="Yes"/>
    <s v="Semi-Furnished"/>
    <n v="2"/>
    <n v="0"/>
    <s v="Viman Nagar Residency"/>
    <n v="2"/>
    <s v="No"/>
    <n v="24327500"/>
    <x v="2"/>
    <s v="BRK-05"/>
    <x v="4"/>
    <s v="Tier B"/>
    <n v="1.4999999999999999E-2"/>
    <n v="0"/>
    <n v="0"/>
    <n v="0"/>
  </r>
  <r>
    <x v="2"/>
    <s v="Kothrud"/>
    <x v="0"/>
    <n v="3"/>
    <n v="1724"/>
    <n v="2283"/>
    <n v="2"/>
    <n v="2007"/>
    <n v="2023"/>
    <s v="Apartment"/>
    <n v="0"/>
    <s v="West"/>
    <s v="Yes"/>
    <s v="Furnished"/>
    <n v="1"/>
    <n v="0"/>
    <s v="Kothrud Heights"/>
    <n v="1"/>
    <s v="Yes"/>
    <n v="15099000"/>
    <x v="1"/>
    <s v="BRK-02"/>
    <x v="0"/>
    <s v="Tier B"/>
    <n v="1.4999999999999999E-2"/>
    <n v="0"/>
    <n v="0"/>
    <n v="0"/>
  </r>
  <r>
    <x v="1"/>
    <s v="Vasant Kunj"/>
    <x v="0"/>
    <n v="1"/>
    <n v="2420"/>
    <n v="9985"/>
    <n v="1"/>
    <n v="1952"/>
    <n v="1959"/>
    <s v="Apartment"/>
    <n v="3"/>
    <s v="South"/>
    <s v="Yes"/>
    <s v="Semi-Furnished"/>
    <n v="1"/>
    <n v="0"/>
    <s v="Vasant Kunj Villa"/>
    <n v="0"/>
    <s v="Yes"/>
    <n v="24475000"/>
    <x v="2"/>
    <s v="BRK-02"/>
    <x v="0"/>
    <s v="Tier B"/>
    <n v="1.4999999999999999E-2"/>
    <n v="0"/>
    <n v="0"/>
    <n v="0"/>
  </r>
  <r>
    <x v="2"/>
    <s v="Baner"/>
    <x v="3"/>
    <n v="4"/>
    <n v="541"/>
    <n v="6861"/>
    <n v="3"/>
    <n v="2004"/>
    <n v="2008"/>
    <s v="Villa"/>
    <n v="1"/>
    <s v="South"/>
    <s v="No"/>
    <s v="Semi-Furnished"/>
    <n v="7"/>
    <n v="1"/>
    <s v="Baner Heights"/>
    <n v="1"/>
    <s v="No"/>
    <n v="4993500"/>
    <x v="1"/>
    <s v="BRK-02"/>
    <x v="0"/>
    <s v="Tier B"/>
    <n v="1.4999999999999999E-2"/>
    <n v="0"/>
    <n v="0"/>
    <n v="0"/>
  </r>
  <r>
    <x v="3"/>
    <s v="Anna Nagar"/>
    <x v="1"/>
    <n v="4"/>
    <n v="799"/>
    <n v="2286"/>
    <n v="2"/>
    <n v="1999"/>
    <n v="2002"/>
    <s v="Independent House"/>
    <n v="1"/>
    <s v="South"/>
    <s v="Yes"/>
    <s v="Semi-Furnished"/>
    <n v="5"/>
    <n v="3"/>
    <s v="Anna Nagar Villa"/>
    <n v="2"/>
    <s v="No"/>
    <n v="6857000"/>
    <x v="0"/>
    <s v="BRK-05"/>
    <x v="4"/>
    <s v="Tier B"/>
    <n v="1.4999999999999999E-2"/>
    <n v="102855"/>
    <n v="205710"/>
    <n v="102855"/>
  </r>
  <r>
    <x v="3"/>
    <s v="Adyar"/>
    <x v="4"/>
    <n v="1"/>
    <n v="2912"/>
    <n v="7853"/>
    <n v="1"/>
    <n v="1953"/>
    <n v="1987"/>
    <s v="Builder Floor"/>
    <n v="3"/>
    <s v="East"/>
    <s v="Yes"/>
    <s v="Furnished"/>
    <n v="1"/>
    <n v="1"/>
    <s v="Adyar Residency"/>
    <n v="2"/>
    <s v="Yes"/>
    <n v="23626000"/>
    <x v="2"/>
    <s v="BRK-01"/>
    <x v="2"/>
    <s v="Tier A"/>
    <n v="0.02"/>
    <n v="0"/>
    <n v="0"/>
    <n v="0"/>
  </r>
  <r>
    <x v="1"/>
    <s v="Lajpat Nagar"/>
    <x v="3"/>
    <n v="3"/>
    <n v="1723"/>
    <n v="4658"/>
    <n v="1"/>
    <n v="2025"/>
    <n v="2025"/>
    <s v="Villa"/>
    <n v="0"/>
    <s v="East"/>
    <s v="Yes"/>
    <s v="Unfurnished"/>
    <n v="3"/>
    <n v="3"/>
    <s v="Lajpat Nagar Enclave"/>
    <n v="1"/>
    <s v="No"/>
    <n v="17580000"/>
    <x v="1"/>
    <s v="BRK-02"/>
    <x v="0"/>
    <s v="Tier B"/>
    <n v="1.4999999999999999E-2"/>
    <n v="0"/>
    <n v="0"/>
    <n v="0"/>
  </r>
  <r>
    <x v="0"/>
    <s v="Andheri"/>
    <x v="2"/>
    <n v="2"/>
    <n v="2092"/>
    <n v="2305"/>
    <n v="3"/>
    <n v="2011"/>
    <n v="0"/>
    <s v="Villa"/>
    <n v="1"/>
    <s v="South"/>
    <s v="No"/>
    <s v="Unfurnished"/>
    <n v="2"/>
    <n v="2"/>
    <s v="Andheri Heights"/>
    <n v="0"/>
    <s v="Yes"/>
    <n v="25324000"/>
    <x v="2"/>
    <s v="BRK-02"/>
    <x v="0"/>
    <s v="Tier B"/>
    <n v="1.4999999999999999E-2"/>
    <n v="0"/>
    <n v="0"/>
    <n v="0"/>
  </r>
  <r>
    <x v="2"/>
    <s v="Hinjewadi"/>
    <x v="2"/>
    <n v="3"/>
    <n v="894"/>
    <n v="7064"/>
    <n v="3"/>
    <n v="2000"/>
    <n v="2017"/>
    <s v="Builder Floor"/>
    <n v="2"/>
    <s v="East"/>
    <s v="No"/>
    <s v="Furnished"/>
    <n v="2"/>
    <n v="5"/>
    <s v="Hinjewadi Villa"/>
    <n v="3"/>
    <s v="No"/>
    <n v="7919000"/>
    <x v="2"/>
    <s v="BRK-02"/>
    <x v="0"/>
    <s v="Tier B"/>
    <n v="1.4999999999999999E-2"/>
    <n v="0"/>
    <n v="0"/>
    <n v="0"/>
  </r>
  <r>
    <x v="1"/>
    <s v="Lajpat Nagar"/>
    <x v="1"/>
    <n v="3"/>
    <n v="2128"/>
    <n v="7630"/>
    <n v="3"/>
    <n v="1972"/>
    <n v="1995"/>
    <s v="Villa"/>
    <n v="2"/>
    <s v="South"/>
    <s v="Yes"/>
    <s v="Unfurnished"/>
    <n v="0"/>
    <n v="5"/>
    <s v="Lajpat Nagar Villa"/>
    <n v="0"/>
    <s v="Yes"/>
    <n v="21755000"/>
    <x v="0"/>
    <s v="BRK-03"/>
    <x v="1"/>
    <s v="Tier A"/>
    <n v="0.02"/>
    <n v="435100"/>
    <n v="652650"/>
    <n v="217550"/>
  </r>
  <r>
    <x v="2"/>
    <s v="Viman Nagar"/>
    <x v="1"/>
    <n v="2"/>
    <n v="4932"/>
    <n v="5834"/>
    <n v="2"/>
    <n v="1968"/>
    <n v="1988"/>
    <s v="Builder Floor"/>
    <n v="1"/>
    <s v="East"/>
    <s v="No"/>
    <s v="Furnished"/>
    <n v="10"/>
    <n v="0"/>
    <s v="Viman Nagar Enclave"/>
    <n v="3"/>
    <s v="Yes"/>
    <n v="42442000"/>
    <x v="1"/>
    <s v="BRK-03"/>
    <x v="1"/>
    <s v="Tier A"/>
    <n v="0.02"/>
    <n v="0"/>
    <n v="0"/>
    <n v="0"/>
  </r>
  <r>
    <x v="4"/>
    <s v="Koramangala"/>
    <x v="4"/>
    <n v="1"/>
    <n v="3171"/>
    <n v="5323"/>
    <n v="1"/>
    <n v="1950"/>
    <n v="1955"/>
    <s v="Independent House"/>
    <n v="3"/>
    <s v="West"/>
    <s v="Yes"/>
    <s v="Semi-Furnished"/>
    <n v="7"/>
    <n v="3"/>
    <s v="Koramangala Enclave"/>
    <n v="3"/>
    <s v="Yes"/>
    <n v="28809000"/>
    <x v="2"/>
    <s v="BRK-05"/>
    <x v="4"/>
    <s v="Tier B"/>
    <n v="1.4999999999999999E-2"/>
    <n v="0"/>
    <n v="0"/>
    <n v="0"/>
  </r>
  <r>
    <x v="3"/>
    <s v="Perambur"/>
    <x v="4"/>
    <n v="2"/>
    <n v="3996"/>
    <n v="4649"/>
    <n v="1"/>
    <n v="1987"/>
    <n v="1987"/>
    <s v="Villa"/>
    <n v="2"/>
    <s v="North"/>
    <s v="Yes"/>
    <s v="Semi-Furnished"/>
    <n v="2"/>
    <n v="3"/>
    <s v="Perambur Residency"/>
    <n v="0"/>
    <s v="Yes"/>
    <n v="32223000"/>
    <x v="1"/>
    <s v="BRK-04"/>
    <x v="3"/>
    <s v="Tier C"/>
    <n v="0.01"/>
    <n v="0"/>
    <n v="0"/>
    <n v="0"/>
  </r>
  <r>
    <x v="4"/>
    <s v="HSR Layout"/>
    <x v="1"/>
    <n v="4"/>
    <n v="553"/>
    <n v="7669"/>
    <n v="3"/>
    <n v="1971"/>
    <n v="2008"/>
    <s v="Independent House"/>
    <n v="1"/>
    <s v="North"/>
    <s v="Yes"/>
    <s v="Semi-Furnished"/>
    <n v="3"/>
    <n v="1"/>
    <s v="HSR Layout Villa"/>
    <n v="2"/>
    <s v="No"/>
    <n v="5462000"/>
    <x v="0"/>
    <s v="BRK-05"/>
    <x v="4"/>
    <s v="Tier B"/>
    <n v="1.4999999999999999E-2"/>
    <n v="81930"/>
    <n v="163860"/>
    <n v="81930"/>
  </r>
  <r>
    <x v="4"/>
    <s v="Koramangala"/>
    <x v="2"/>
    <n v="1"/>
    <n v="3518"/>
    <n v="8251"/>
    <n v="3"/>
    <n v="2012"/>
    <n v="2013"/>
    <s v="Builder Floor"/>
    <n v="2"/>
    <s v="North"/>
    <s v="No"/>
    <s v="Furnished"/>
    <n v="4"/>
    <n v="5"/>
    <s v="Koramangala Villa"/>
    <n v="1"/>
    <s v="Yes"/>
    <n v="31942000"/>
    <x v="1"/>
    <s v="BRK-01"/>
    <x v="2"/>
    <s v="Tier A"/>
    <n v="0.02"/>
    <n v="0"/>
    <n v="0"/>
    <n v="0"/>
  </r>
  <r>
    <x v="0"/>
    <s v="Bandra"/>
    <x v="4"/>
    <n v="3"/>
    <n v="971"/>
    <n v="8779"/>
    <n v="1"/>
    <n v="1989"/>
    <n v="2013"/>
    <s v="Independent House"/>
    <n v="3"/>
    <s v="East"/>
    <s v="Yes"/>
    <s v="Unfurnished"/>
    <n v="8"/>
    <n v="3"/>
    <s v="Bandra Residency"/>
    <n v="2"/>
    <s v="No"/>
    <n v="11917000"/>
    <x v="2"/>
    <s v="BRK-04"/>
    <x v="3"/>
    <s v="Tier C"/>
    <n v="0.01"/>
    <n v="0"/>
    <n v="0"/>
    <n v="0"/>
  </r>
  <r>
    <x v="4"/>
    <s v="Koramangala"/>
    <x v="3"/>
    <n v="1"/>
    <n v="2456"/>
    <n v="6108"/>
    <n v="2"/>
    <n v="1983"/>
    <n v="1996"/>
    <s v="Villa"/>
    <n v="0"/>
    <s v="South"/>
    <s v="Yes"/>
    <s v="Furnished"/>
    <n v="10"/>
    <n v="2"/>
    <s v="Koramangala Villa"/>
    <n v="1"/>
    <s v="Yes"/>
    <n v="22539000"/>
    <x v="1"/>
    <s v="BRK-04"/>
    <x v="3"/>
    <s v="Tier C"/>
    <n v="0.01"/>
    <n v="0"/>
    <n v="0"/>
    <n v="0"/>
  </r>
  <r>
    <x v="3"/>
    <s v="Perambur"/>
    <x v="3"/>
    <n v="4"/>
    <n v="4991"/>
    <n v="6971"/>
    <n v="2"/>
    <n v="1988"/>
    <n v="1992"/>
    <s v="Independent House"/>
    <n v="0"/>
    <s v="South"/>
    <s v="Yes"/>
    <s v="Semi-Furnished"/>
    <n v="2"/>
    <n v="1"/>
    <s v="Perambur Residency"/>
    <n v="1"/>
    <s v="Yes"/>
    <n v="40378000"/>
    <x v="1"/>
    <s v="BRK-03"/>
    <x v="1"/>
    <s v="Tier A"/>
    <n v="0.02"/>
    <n v="0"/>
    <n v="0"/>
    <n v="0"/>
  </r>
  <r>
    <x v="0"/>
    <s v="Borivali"/>
    <x v="2"/>
    <n v="4"/>
    <n v="1954"/>
    <n v="8742"/>
    <n v="3"/>
    <n v="1968"/>
    <n v="2020"/>
    <s v="Villa"/>
    <n v="2"/>
    <s v="North"/>
    <s v="Yes"/>
    <s v="Semi-Furnished"/>
    <n v="8"/>
    <n v="3"/>
    <s v="Borivali Enclave"/>
    <n v="2"/>
    <s v="No"/>
    <n v="23733000"/>
    <x v="1"/>
    <s v="BRK-01"/>
    <x v="2"/>
    <s v="Tier A"/>
    <n v="0.02"/>
    <n v="0"/>
    <n v="0"/>
    <n v="0"/>
  </r>
  <r>
    <x v="0"/>
    <s v="Powai"/>
    <x v="1"/>
    <n v="4"/>
    <n v="1221"/>
    <n v="8061"/>
    <n v="1"/>
    <n v="1968"/>
    <n v="2003"/>
    <s v="Builder Floor"/>
    <n v="0"/>
    <s v="North"/>
    <s v="No"/>
    <s v="Unfurnished"/>
    <n v="5"/>
    <n v="3"/>
    <s v="Powai Enclave"/>
    <n v="3"/>
    <s v="No"/>
    <n v="15087000"/>
    <x v="2"/>
    <s v="BRK-01"/>
    <x v="2"/>
    <s v="Tier A"/>
    <n v="0.02"/>
    <n v="0"/>
    <n v="0"/>
    <n v="0"/>
  </r>
  <r>
    <x v="2"/>
    <s v="Aundh"/>
    <x v="3"/>
    <n v="1"/>
    <n v="1710"/>
    <n v="6272"/>
    <n v="2"/>
    <n v="1968"/>
    <n v="2006"/>
    <s v="Independent House"/>
    <n v="0"/>
    <s v="West"/>
    <s v="No"/>
    <s v="Unfurnished"/>
    <n v="3"/>
    <n v="0"/>
    <s v="Aundh Villa"/>
    <n v="2"/>
    <s v="No"/>
    <n v="14835000"/>
    <x v="0"/>
    <s v="BRK-01"/>
    <x v="2"/>
    <s v="Tier A"/>
    <n v="0.02"/>
    <n v="296700"/>
    <n v="445050"/>
    <n v="148350"/>
  </r>
  <r>
    <x v="0"/>
    <s v="Juhu"/>
    <x v="0"/>
    <n v="3"/>
    <n v="2596"/>
    <n v="9550"/>
    <n v="2"/>
    <n v="1962"/>
    <n v="1990"/>
    <s v="Apartment"/>
    <n v="2"/>
    <s v="West"/>
    <s v="No"/>
    <s v="Semi-Furnished"/>
    <n v="6"/>
    <n v="4"/>
    <s v="Juhu Heights"/>
    <n v="1"/>
    <s v="No"/>
    <n v="31447000"/>
    <x v="2"/>
    <s v="BRK-03"/>
    <x v="1"/>
    <s v="Tier A"/>
    <n v="0.02"/>
    <n v="0"/>
    <n v="0"/>
    <n v="0"/>
  </r>
  <r>
    <x v="1"/>
    <s v="Vasant Kunj"/>
    <x v="3"/>
    <n v="3"/>
    <n v="760"/>
    <n v="9252"/>
    <n v="1"/>
    <n v="1958"/>
    <n v="1996"/>
    <s v="Independent House"/>
    <n v="1"/>
    <s v="North"/>
    <s v="Yes"/>
    <s v="Furnished"/>
    <n v="3"/>
    <n v="0"/>
    <s v="Vasant Kunj Residency"/>
    <n v="0"/>
    <s v="No"/>
    <n v="8010000"/>
    <x v="0"/>
    <s v="BRK-02"/>
    <x v="0"/>
    <s v="Tier B"/>
    <n v="1.4999999999999999E-2"/>
    <n v="120150"/>
    <n v="240300"/>
    <n v="120150"/>
  </r>
  <r>
    <x v="0"/>
    <s v="Juhu"/>
    <x v="4"/>
    <n v="3"/>
    <n v="3317"/>
    <n v="7169"/>
    <n v="3"/>
    <n v="2000"/>
    <n v="2019"/>
    <s v="Builder Floor"/>
    <n v="0"/>
    <s v="South"/>
    <s v="No"/>
    <s v="Semi-Furnished"/>
    <n v="9"/>
    <n v="3"/>
    <s v="Juhu Residency"/>
    <n v="3"/>
    <s v="No"/>
    <n v="40099000"/>
    <x v="0"/>
    <s v="BRK-01"/>
    <x v="2"/>
    <s v="Tier A"/>
    <n v="0.02"/>
    <n v="801980"/>
    <n v="1202970"/>
    <n v="400990"/>
  </r>
  <r>
    <x v="4"/>
    <s v="Koramangala"/>
    <x v="0"/>
    <n v="1"/>
    <n v="2635"/>
    <n v="2909"/>
    <n v="2"/>
    <n v="1956"/>
    <n v="1975"/>
    <s v="Apartment"/>
    <n v="1"/>
    <s v="South"/>
    <s v="Yes"/>
    <s v="Semi-Furnished"/>
    <n v="10"/>
    <n v="3"/>
    <s v="Koramangala Heights"/>
    <n v="0"/>
    <s v="No"/>
    <n v="23960000"/>
    <x v="1"/>
    <s v="BRK-03"/>
    <x v="1"/>
    <s v="Tier A"/>
    <n v="0.02"/>
    <n v="0"/>
    <n v="0"/>
    <n v="0"/>
  </r>
  <r>
    <x v="1"/>
    <s v="Rohini"/>
    <x v="1"/>
    <n v="1"/>
    <n v="2133"/>
    <n v="4250"/>
    <n v="3"/>
    <n v="1989"/>
    <n v="2005"/>
    <s v="Independent House"/>
    <n v="3"/>
    <s v="East"/>
    <s v="No"/>
    <s v="Semi-Furnished"/>
    <n v="3"/>
    <n v="3"/>
    <s v="Rohini Enclave"/>
    <n v="3"/>
    <s v="Yes"/>
    <n v="21765000"/>
    <x v="2"/>
    <s v="BRK-04"/>
    <x v="3"/>
    <s v="Tier C"/>
    <n v="0.01"/>
    <n v="0"/>
    <n v="0"/>
    <n v="0"/>
  </r>
  <r>
    <x v="0"/>
    <s v="Powai"/>
    <x v="0"/>
    <n v="3"/>
    <n v="2745"/>
    <n v="8401"/>
    <n v="1"/>
    <n v="2011"/>
    <n v="2012"/>
    <s v="Villa"/>
    <n v="2"/>
    <s v="East"/>
    <s v="No"/>
    <s v="Semi-Furnished"/>
    <n v="10"/>
    <n v="5"/>
    <s v="Powai Enclave"/>
    <n v="1"/>
    <s v="Yes"/>
    <n v="33265000"/>
    <x v="1"/>
    <s v="BRK-04"/>
    <x v="3"/>
    <s v="Tier C"/>
    <n v="0.01"/>
    <n v="0"/>
    <n v="0"/>
    <n v="0"/>
  </r>
  <r>
    <x v="2"/>
    <s v="Hinjewadi"/>
    <x v="2"/>
    <n v="4"/>
    <n v="2918"/>
    <n v="8544"/>
    <n v="1"/>
    <n v="1953"/>
    <n v="2015"/>
    <s v="Villa"/>
    <n v="2"/>
    <s v="West"/>
    <s v="No"/>
    <s v="Semi-Furnished"/>
    <n v="0"/>
    <n v="4"/>
    <s v="Hinjewadi Residency"/>
    <n v="2"/>
    <s v="Yes"/>
    <n v="25073000"/>
    <x v="2"/>
    <s v="BRK-01"/>
    <x v="2"/>
    <s v="Tier A"/>
    <n v="0.02"/>
    <n v="0"/>
    <n v="0"/>
    <n v="0"/>
  </r>
  <r>
    <x v="2"/>
    <s v="Baner"/>
    <x v="0"/>
    <n v="3"/>
    <n v="1692"/>
    <n v="4709"/>
    <n v="2"/>
    <n v="1962"/>
    <n v="2021"/>
    <s v="Apartment"/>
    <n v="2"/>
    <s v="South"/>
    <s v="No"/>
    <s v="Unfurnished"/>
    <n v="1"/>
    <n v="1"/>
    <s v="Baner Enclave"/>
    <n v="1"/>
    <s v="No"/>
    <n v="14677000"/>
    <x v="1"/>
    <s v="BRK-01"/>
    <x v="2"/>
    <s v="Tier A"/>
    <n v="0.02"/>
    <n v="0"/>
    <n v="0"/>
    <n v="0"/>
  </r>
  <r>
    <x v="3"/>
    <s v="Adyar"/>
    <x v="0"/>
    <n v="3"/>
    <n v="2708"/>
    <n v="6557"/>
    <n v="1"/>
    <n v="2010"/>
    <n v="2010"/>
    <s v="Builder Floor"/>
    <n v="3"/>
    <s v="South"/>
    <s v="Yes"/>
    <s v="Unfurnished"/>
    <n v="6"/>
    <n v="4"/>
    <s v="Adyar Enclave"/>
    <n v="3"/>
    <s v="Yes"/>
    <n v="22044000"/>
    <x v="0"/>
    <s v="BRK-03"/>
    <x v="1"/>
    <s v="Tier A"/>
    <n v="0.02"/>
    <n v="440880"/>
    <n v="661320"/>
    <n v="220440"/>
  </r>
  <r>
    <x v="1"/>
    <s v="Rohini"/>
    <x v="4"/>
    <n v="3"/>
    <n v="3652"/>
    <n v="8366"/>
    <n v="2"/>
    <n v="1968"/>
    <n v="1987"/>
    <s v="Apartment"/>
    <n v="0"/>
    <s v="West"/>
    <s v="No"/>
    <s v="Unfurnished"/>
    <n v="2"/>
    <n v="2"/>
    <s v="Rohini Heights"/>
    <n v="0"/>
    <s v="No"/>
    <n v="36750000"/>
    <x v="1"/>
    <s v="BRK-02"/>
    <x v="0"/>
    <s v="Tier B"/>
    <n v="1.4999999999999999E-2"/>
    <n v="0"/>
    <n v="0"/>
    <n v="0"/>
  </r>
  <r>
    <x v="4"/>
    <s v="Koramangala"/>
    <x v="4"/>
    <n v="2"/>
    <n v="4310"/>
    <n v="5081"/>
    <n v="1"/>
    <n v="2005"/>
    <n v="2024"/>
    <s v="Independent House"/>
    <n v="3"/>
    <s v="West"/>
    <s v="No"/>
    <s v="Semi-Furnished"/>
    <n v="0"/>
    <n v="0"/>
    <s v="Koramangala Residency"/>
    <n v="2"/>
    <s v="Yes"/>
    <n v="39050000"/>
    <x v="2"/>
    <s v="BRK-02"/>
    <x v="0"/>
    <s v="Tier B"/>
    <n v="1.4999999999999999E-2"/>
    <n v="0"/>
    <n v="0"/>
    <n v="0"/>
  </r>
  <r>
    <x v="4"/>
    <s v="HSR Layout"/>
    <x v="4"/>
    <n v="1"/>
    <n v="333"/>
    <n v="4459"/>
    <n v="1"/>
    <n v="1994"/>
    <n v="2012"/>
    <s v="Apartment"/>
    <n v="0"/>
    <s v="West"/>
    <s v="No"/>
    <s v="Furnished"/>
    <n v="1"/>
    <n v="0"/>
    <s v="HSR Layout Enclave"/>
    <n v="2"/>
    <s v="No"/>
    <n v="3252000"/>
    <x v="0"/>
    <s v="BRK-01"/>
    <x v="2"/>
    <s v="Tier A"/>
    <n v="0.02"/>
    <n v="65040"/>
    <n v="97560"/>
    <n v="32520"/>
  </r>
  <r>
    <x v="2"/>
    <s v="Aundh"/>
    <x v="1"/>
    <n v="3"/>
    <n v="3852"/>
    <n v="9528"/>
    <n v="1"/>
    <n v="1993"/>
    <n v="2023"/>
    <s v="Villa"/>
    <n v="1"/>
    <s v="South"/>
    <s v="No"/>
    <s v="Furnished"/>
    <n v="3"/>
    <n v="1"/>
    <s v="Aundh Residency"/>
    <n v="1"/>
    <s v="Yes"/>
    <n v="33242000"/>
    <x v="0"/>
    <s v="BRK-03"/>
    <x v="1"/>
    <s v="Tier A"/>
    <n v="0.02"/>
    <n v="664840"/>
    <n v="997260"/>
    <n v="332420"/>
  </r>
  <r>
    <x v="2"/>
    <s v="Aundh"/>
    <x v="4"/>
    <n v="1"/>
    <n v="3303"/>
    <n v="9178"/>
    <n v="3"/>
    <n v="1954"/>
    <n v="2001"/>
    <s v="Villa"/>
    <n v="0"/>
    <s v="North"/>
    <s v="Yes"/>
    <s v="Unfurnished"/>
    <n v="0"/>
    <n v="0"/>
    <s v="Aundh Heights"/>
    <n v="3"/>
    <s v="No"/>
    <n v="28335500"/>
    <x v="2"/>
    <s v="BRK-05"/>
    <x v="4"/>
    <s v="Tier B"/>
    <n v="1.4999999999999999E-2"/>
    <n v="0"/>
    <n v="0"/>
    <n v="0"/>
  </r>
  <r>
    <x v="3"/>
    <s v="T Nagar"/>
    <x v="1"/>
    <n v="3"/>
    <n v="4186"/>
    <n v="9985"/>
    <n v="1"/>
    <n v="1976"/>
    <n v="2019"/>
    <s v="Builder Floor"/>
    <n v="2"/>
    <s v="West"/>
    <s v="Yes"/>
    <s v="Unfurnished"/>
    <n v="8"/>
    <n v="2"/>
    <s v="T Nagar Residency"/>
    <n v="3"/>
    <s v="Yes"/>
    <n v="33968000"/>
    <x v="1"/>
    <s v="BRK-05"/>
    <x v="4"/>
    <s v="Tier B"/>
    <n v="1.4999999999999999E-2"/>
    <n v="0"/>
    <n v="0"/>
    <n v="0"/>
  </r>
  <r>
    <x v="2"/>
    <s v="Aundh"/>
    <x v="2"/>
    <n v="3"/>
    <n v="1233"/>
    <n v="3024"/>
    <n v="2"/>
    <n v="1975"/>
    <n v="2012"/>
    <s v="Apartment"/>
    <n v="2"/>
    <s v="South"/>
    <s v="No"/>
    <s v="Unfurnished"/>
    <n v="6"/>
    <n v="2"/>
    <s v="Aundh Residency"/>
    <n v="0"/>
    <s v="No"/>
    <n v="10660500"/>
    <x v="1"/>
    <s v="BRK-03"/>
    <x v="1"/>
    <s v="Tier A"/>
    <n v="0.02"/>
    <n v="0"/>
    <n v="0"/>
    <n v="0"/>
  </r>
  <r>
    <x v="1"/>
    <s v="Vasant Kunj"/>
    <x v="0"/>
    <n v="2"/>
    <n v="322"/>
    <n v="580"/>
    <n v="3"/>
    <n v="1961"/>
    <n v="1974"/>
    <s v="Independent House"/>
    <n v="1"/>
    <s v="North"/>
    <s v="Yes"/>
    <s v="Unfurnished"/>
    <n v="1"/>
    <n v="2"/>
    <s v="Vasant Kunj Residency"/>
    <n v="3"/>
    <s v="No"/>
    <n v="3560000"/>
    <x v="0"/>
    <s v="BRK-01"/>
    <x v="2"/>
    <s v="Tier A"/>
    <n v="0.02"/>
    <n v="71200"/>
    <n v="106800"/>
    <n v="35600"/>
  </r>
  <r>
    <x v="4"/>
    <s v="MG Road"/>
    <x v="2"/>
    <n v="1"/>
    <n v="1731"/>
    <n v="2427"/>
    <n v="2"/>
    <n v="1996"/>
    <n v="2020"/>
    <s v="Villa"/>
    <n v="3"/>
    <s v="North"/>
    <s v="Yes"/>
    <s v="Furnished"/>
    <n v="0"/>
    <n v="1"/>
    <s v="MG Road Residency"/>
    <n v="2"/>
    <s v="No"/>
    <n v="15829000"/>
    <x v="1"/>
    <s v="BRK-04"/>
    <x v="3"/>
    <s v="Tier C"/>
    <n v="0.01"/>
    <n v="0"/>
    <n v="0"/>
    <n v="0"/>
  </r>
  <r>
    <x v="3"/>
    <s v="Perambur"/>
    <x v="0"/>
    <n v="1"/>
    <n v="3352"/>
    <n v="6209"/>
    <n v="1"/>
    <n v="1964"/>
    <n v="1988"/>
    <s v="Independent House"/>
    <n v="3"/>
    <s v="East"/>
    <s v="No"/>
    <s v="Unfurnished"/>
    <n v="7"/>
    <n v="3"/>
    <s v="Perambur Residency"/>
    <n v="0"/>
    <s v="Yes"/>
    <n v="27066000"/>
    <x v="1"/>
    <s v="BRK-04"/>
    <x v="3"/>
    <s v="Tier C"/>
    <n v="0.01"/>
    <n v="0"/>
    <n v="0"/>
    <n v="0"/>
  </r>
  <r>
    <x v="0"/>
    <s v="Bandra"/>
    <x v="2"/>
    <n v="4"/>
    <n v="4254"/>
    <n v="8964"/>
    <n v="3"/>
    <n v="2006"/>
    <n v="2010"/>
    <s v="Independent House"/>
    <n v="2"/>
    <s v="North"/>
    <s v="Yes"/>
    <s v="Semi-Furnished"/>
    <n v="7"/>
    <n v="0"/>
    <s v="Bandra Villa"/>
    <n v="3"/>
    <s v="Yes"/>
    <n v="51398000"/>
    <x v="0"/>
    <s v="BRK-03"/>
    <x v="1"/>
    <s v="Tier A"/>
    <n v="0.02"/>
    <n v="1027960"/>
    <n v="1541940"/>
    <n v="513980"/>
  </r>
  <r>
    <x v="0"/>
    <s v="Juhu"/>
    <x v="0"/>
    <n v="1"/>
    <n v="4599"/>
    <n v="9372"/>
    <n v="3"/>
    <n v="2022"/>
    <n v="2022"/>
    <s v="Villa"/>
    <n v="0"/>
    <s v="West"/>
    <s v="Yes"/>
    <s v="Semi-Furnished"/>
    <n v="5"/>
    <n v="5"/>
    <s v="Juhu Villa"/>
    <n v="1"/>
    <s v="Yes"/>
    <n v="55518000"/>
    <x v="1"/>
    <s v="BRK-02"/>
    <x v="0"/>
    <s v="Tier B"/>
    <n v="1.4999999999999999E-2"/>
    <n v="0"/>
    <n v="0"/>
    <n v="0"/>
  </r>
  <r>
    <x v="0"/>
    <s v="Bandra"/>
    <x v="1"/>
    <n v="4"/>
    <n v="4361"/>
    <n v="5765"/>
    <n v="1"/>
    <n v="2012"/>
    <n v="2016"/>
    <s v="Apartment"/>
    <n v="2"/>
    <s v="East"/>
    <s v="Yes"/>
    <s v="Unfurnished"/>
    <n v="3"/>
    <n v="4"/>
    <s v="Bandra Villa"/>
    <n v="3"/>
    <s v="Yes"/>
    <n v="52842000"/>
    <x v="0"/>
    <s v="BRK-02"/>
    <x v="0"/>
    <s v="Tier B"/>
    <n v="1.4999999999999999E-2"/>
    <n v="792630"/>
    <n v="1585260"/>
    <n v="792630"/>
  </r>
  <r>
    <x v="0"/>
    <s v="Borivali"/>
    <x v="3"/>
    <n v="4"/>
    <n v="1021"/>
    <n v="9237"/>
    <n v="2"/>
    <n v="1990"/>
    <n v="1996"/>
    <s v="Independent House"/>
    <n v="0"/>
    <s v="North"/>
    <s v="No"/>
    <s v="Semi-Furnished"/>
    <n v="0"/>
    <n v="4"/>
    <s v="Borivali Heights"/>
    <n v="0"/>
    <s v="No"/>
    <n v="12612000"/>
    <x v="0"/>
    <s v="BRK-03"/>
    <x v="1"/>
    <s v="Tier A"/>
    <n v="0.02"/>
    <n v="252240"/>
    <n v="378360"/>
    <n v="126120"/>
  </r>
  <r>
    <x v="2"/>
    <s v="Aundh"/>
    <x v="4"/>
    <n v="4"/>
    <n v="3092"/>
    <n v="6118"/>
    <n v="1"/>
    <n v="1978"/>
    <n v="2006"/>
    <s v="Villa"/>
    <n v="3"/>
    <s v="East"/>
    <s v="No"/>
    <s v="Furnished"/>
    <n v="1"/>
    <n v="5"/>
    <s v="Aundh Residency"/>
    <n v="0"/>
    <s v="No"/>
    <n v="26597000"/>
    <x v="2"/>
    <s v="BRK-03"/>
    <x v="1"/>
    <s v="Tier A"/>
    <n v="0.02"/>
    <n v="0"/>
    <n v="0"/>
    <n v="0"/>
  </r>
  <r>
    <x v="4"/>
    <s v="Indiranagar"/>
    <x v="1"/>
    <n v="3"/>
    <n v="1170"/>
    <n v="1970"/>
    <n v="1"/>
    <n v="2013"/>
    <n v="2014"/>
    <s v="Independent House"/>
    <n v="0"/>
    <s v="East"/>
    <s v="Yes"/>
    <s v="Furnished"/>
    <n v="1"/>
    <n v="3"/>
    <s v="Indiranagar Residency"/>
    <n v="3"/>
    <s v="Yes"/>
    <n v="11085000"/>
    <x v="0"/>
    <s v="BRK-01"/>
    <x v="2"/>
    <s v="Tier A"/>
    <n v="0.02"/>
    <n v="221700"/>
    <n v="332550"/>
    <n v="110850"/>
  </r>
  <r>
    <x v="4"/>
    <s v="Whitefield"/>
    <x v="3"/>
    <n v="1"/>
    <n v="1309"/>
    <n v="8740"/>
    <n v="2"/>
    <n v="2025"/>
    <n v="0"/>
    <s v="Independent House"/>
    <n v="0"/>
    <s v="North"/>
    <s v="No"/>
    <s v="Unfurnished"/>
    <n v="7"/>
    <n v="4"/>
    <s v="Whitefield Residency"/>
    <n v="1"/>
    <s v="Yes"/>
    <n v="12116000"/>
    <x v="1"/>
    <s v="BRK-01"/>
    <x v="2"/>
    <s v="Tier A"/>
    <n v="0.02"/>
    <n v="0"/>
    <n v="0"/>
    <n v="0"/>
  </r>
  <r>
    <x v="0"/>
    <s v="Borivali"/>
    <x v="1"/>
    <n v="3"/>
    <n v="4429"/>
    <n v="7630"/>
    <n v="2"/>
    <n v="1981"/>
    <n v="1997"/>
    <s v="Independent House"/>
    <n v="2"/>
    <s v="East"/>
    <s v="No"/>
    <s v="Furnished"/>
    <n v="2"/>
    <n v="3"/>
    <s v="Borivali Enclave"/>
    <n v="2"/>
    <s v="Yes"/>
    <n v="53683000"/>
    <x v="0"/>
    <s v="BRK-03"/>
    <x v="1"/>
    <s v="Tier A"/>
    <n v="0.02"/>
    <n v="1073660"/>
    <n v="1610490"/>
    <n v="536830"/>
  </r>
  <r>
    <x v="1"/>
    <s v="Rohini"/>
    <x v="1"/>
    <n v="3"/>
    <n v="3128"/>
    <n v="8686"/>
    <n v="1"/>
    <n v="1972"/>
    <n v="2003"/>
    <s v="Villa"/>
    <n v="0"/>
    <s v="East"/>
    <s v="No"/>
    <s v="Unfurnished"/>
    <n v="9"/>
    <n v="5"/>
    <s v="Rohini Villa"/>
    <n v="2"/>
    <s v="No"/>
    <n v="31670000"/>
    <x v="2"/>
    <s v="BRK-05"/>
    <x v="4"/>
    <s v="Tier B"/>
    <n v="1.4999999999999999E-2"/>
    <n v="0"/>
    <n v="0"/>
    <n v="0"/>
  </r>
  <r>
    <x v="0"/>
    <s v="Powai"/>
    <x v="2"/>
    <n v="1"/>
    <n v="3420"/>
    <n v="4660"/>
    <n v="1"/>
    <n v="1957"/>
    <n v="1981"/>
    <s v="Villa"/>
    <n v="1"/>
    <s v="East"/>
    <s v="No"/>
    <s v="Furnished"/>
    <n v="0"/>
    <n v="5"/>
    <s v="Powai Enclave"/>
    <n v="1"/>
    <s v="Yes"/>
    <n v="41280000"/>
    <x v="0"/>
    <s v="BRK-02"/>
    <x v="0"/>
    <s v="Tier B"/>
    <n v="1.4999999999999999E-2"/>
    <n v="619200"/>
    <n v="1238400"/>
    <n v="619200"/>
  </r>
  <r>
    <x v="4"/>
    <s v="MG Road"/>
    <x v="2"/>
    <n v="2"/>
    <n v="4897"/>
    <n v="8132"/>
    <n v="1"/>
    <n v="2015"/>
    <n v="2025"/>
    <s v="Villa"/>
    <n v="0"/>
    <s v="West"/>
    <s v="No"/>
    <s v="Semi-Furnished"/>
    <n v="10"/>
    <n v="2"/>
    <s v="MG Road Heights"/>
    <n v="0"/>
    <s v="No"/>
    <n v="44203000"/>
    <x v="2"/>
    <s v="BRK-05"/>
    <x v="4"/>
    <s v="Tier B"/>
    <n v="1.4999999999999999E-2"/>
    <n v="0"/>
    <n v="0"/>
    <n v="0"/>
  </r>
  <r>
    <x v="1"/>
    <s v="Lajpat Nagar"/>
    <x v="3"/>
    <n v="2"/>
    <n v="3312"/>
    <n v="9547"/>
    <n v="3"/>
    <n v="2019"/>
    <n v="2021"/>
    <s v="Apartment"/>
    <n v="2"/>
    <s v="West"/>
    <s v="Yes"/>
    <s v="Unfurnished"/>
    <n v="1"/>
    <n v="1"/>
    <s v="Lajpat Nagar Residency"/>
    <n v="0"/>
    <s v="No"/>
    <n v="33465000"/>
    <x v="2"/>
    <s v="BRK-04"/>
    <x v="3"/>
    <s v="Tier C"/>
    <n v="0.01"/>
    <n v="0"/>
    <n v="0"/>
    <n v="0"/>
  </r>
  <r>
    <x v="0"/>
    <s v="Borivali"/>
    <x v="0"/>
    <n v="3"/>
    <n v="1365"/>
    <n v="4051"/>
    <n v="3"/>
    <n v="1982"/>
    <n v="0"/>
    <s v="Villa"/>
    <n v="3"/>
    <s v="South"/>
    <s v="Yes"/>
    <s v="Furnished"/>
    <n v="5"/>
    <n v="4"/>
    <s v="Borivali Heights"/>
    <n v="2"/>
    <s v="No"/>
    <n v="16810000"/>
    <x v="0"/>
    <s v="BRK-04"/>
    <x v="3"/>
    <s v="Tier C"/>
    <n v="0.01"/>
    <n v="168100"/>
    <n v="504300"/>
    <n v="336200"/>
  </r>
  <r>
    <x v="2"/>
    <s v="Aundh"/>
    <x v="0"/>
    <n v="1"/>
    <n v="2903"/>
    <n v="7257"/>
    <n v="1"/>
    <n v="1973"/>
    <n v="2005"/>
    <s v="Builder Floor"/>
    <n v="1"/>
    <s v="West"/>
    <s v="No"/>
    <s v="Furnished"/>
    <n v="5"/>
    <n v="1"/>
    <s v="Aundh Residency"/>
    <n v="2"/>
    <s v="No"/>
    <n v="24980500"/>
    <x v="0"/>
    <s v="BRK-05"/>
    <x v="4"/>
    <s v="Tier B"/>
    <n v="1.4999999999999999E-2"/>
    <n v="374707.5"/>
    <n v="749415"/>
    <n v="374707.5"/>
  </r>
  <r>
    <x v="4"/>
    <s v="Indiranagar"/>
    <x v="4"/>
    <n v="4"/>
    <n v="4898"/>
    <n v="5020"/>
    <n v="1"/>
    <n v="1994"/>
    <n v="2021"/>
    <s v="Apartment"/>
    <n v="1"/>
    <s v="North"/>
    <s v="No"/>
    <s v="Semi-Furnished"/>
    <n v="1"/>
    <n v="3"/>
    <s v="Indiranagar Enclave"/>
    <n v="2"/>
    <s v="Yes"/>
    <n v="44402000"/>
    <x v="1"/>
    <s v="BRK-03"/>
    <x v="1"/>
    <s v="Tier A"/>
    <n v="0.02"/>
    <n v="0"/>
    <n v="0"/>
    <n v="0"/>
  </r>
  <r>
    <x v="2"/>
    <s v="Viman Nagar"/>
    <x v="1"/>
    <n v="4"/>
    <n v="4287"/>
    <n v="4696"/>
    <n v="2"/>
    <n v="1974"/>
    <n v="1993"/>
    <s v="Builder Floor"/>
    <n v="0"/>
    <s v="South"/>
    <s v="Yes"/>
    <s v="Unfurnished"/>
    <n v="1"/>
    <n v="1"/>
    <s v="Viman Nagar Residency"/>
    <n v="3"/>
    <s v="Yes"/>
    <n v="36969500"/>
    <x v="2"/>
    <s v="BRK-01"/>
    <x v="2"/>
    <s v="Tier A"/>
    <n v="0.02"/>
    <n v="0"/>
    <n v="0"/>
    <n v="0"/>
  </r>
  <r>
    <x v="1"/>
    <s v="Lajpat Nagar"/>
    <x v="3"/>
    <n v="1"/>
    <n v="1559"/>
    <n v="1998"/>
    <n v="2"/>
    <n v="1992"/>
    <n v="1993"/>
    <s v="Builder Floor"/>
    <n v="0"/>
    <s v="North"/>
    <s v="Yes"/>
    <s v="Semi-Furnished"/>
    <n v="8"/>
    <n v="0"/>
    <s v="Lajpat Nagar Residency"/>
    <n v="2"/>
    <s v="No"/>
    <n v="15915000"/>
    <x v="1"/>
    <s v="BRK-02"/>
    <x v="0"/>
    <s v="Tier B"/>
    <n v="1.4999999999999999E-2"/>
    <n v="0"/>
    <n v="0"/>
    <n v="0"/>
  </r>
  <r>
    <x v="3"/>
    <s v="Anna Nagar"/>
    <x v="3"/>
    <n v="4"/>
    <n v="2891"/>
    <n v="3079"/>
    <n v="2"/>
    <n v="1965"/>
    <n v="1998"/>
    <s v="Builder Floor"/>
    <n v="0"/>
    <s v="North"/>
    <s v="Yes"/>
    <s v="Semi-Furnished"/>
    <n v="8"/>
    <n v="0"/>
    <s v="Anna Nagar Enclave"/>
    <n v="2"/>
    <s v="Yes"/>
    <n v="23593000"/>
    <x v="1"/>
    <s v="BRK-04"/>
    <x v="3"/>
    <s v="Tier C"/>
    <n v="0.01"/>
    <n v="0"/>
    <n v="0"/>
    <n v="0"/>
  </r>
  <r>
    <x v="4"/>
    <s v="MG Road"/>
    <x v="3"/>
    <n v="4"/>
    <n v="552"/>
    <n v="8367"/>
    <n v="1"/>
    <n v="2018"/>
    <n v="2020"/>
    <s v="Apartment"/>
    <n v="3"/>
    <s v="East"/>
    <s v="Yes"/>
    <s v="Semi-Furnished"/>
    <n v="10"/>
    <n v="5"/>
    <s v="MG Road Enclave"/>
    <n v="0"/>
    <s v="Yes"/>
    <n v="5383000"/>
    <x v="0"/>
    <s v="BRK-01"/>
    <x v="2"/>
    <s v="Tier A"/>
    <n v="0.02"/>
    <n v="107660"/>
    <n v="161490"/>
    <n v="53830"/>
  </r>
  <r>
    <x v="0"/>
    <s v="Andheri"/>
    <x v="2"/>
    <n v="4"/>
    <n v="4700"/>
    <n v="9235"/>
    <n v="1"/>
    <n v="1989"/>
    <n v="2001"/>
    <s v="Villa"/>
    <n v="1"/>
    <s v="West"/>
    <s v="Yes"/>
    <s v="Furnished"/>
    <n v="2"/>
    <n v="1"/>
    <s v="Andheri Enclave"/>
    <n v="1"/>
    <s v="Yes"/>
    <n v="56755000"/>
    <x v="1"/>
    <s v="BRK-04"/>
    <x v="3"/>
    <s v="Tier C"/>
    <n v="0.01"/>
    <n v="0"/>
    <n v="0"/>
    <n v="0"/>
  </r>
  <r>
    <x v="1"/>
    <s v="Lajpat Nagar"/>
    <x v="2"/>
    <n v="4"/>
    <n v="4802"/>
    <n v="5451"/>
    <n v="2"/>
    <n v="1958"/>
    <n v="1989"/>
    <s v="Builder Floor"/>
    <n v="1"/>
    <s v="West"/>
    <s v="No"/>
    <s v="Semi-Furnished"/>
    <n v="2"/>
    <n v="5"/>
    <s v="Lajpat Nagar Residency"/>
    <n v="0"/>
    <s v="No"/>
    <n v="48230000"/>
    <x v="2"/>
    <s v="BRK-02"/>
    <x v="0"/>
    <s v="Tier B"/>
    <n v="1.4999999999999999E-2"/>
    <n v="0"/>
    <n v="0"/>
    <n v="0"/>
  </r>
  <r>
    <x v="2"/>
    <s v="Kothrud"/>
    <x v="4"/>
    <n v="3"/>
    <n v="4280"/>
    <n v="8021"/>
    <n v="2"/>
    <n v="1989"/>
    <n v="2025"/>
    <s v="Apartment"/>
    <n v="2"/>
    <s v="East"/>
    <s v="No"/>
    <s v="Furnished"/>
    <n v="0"/>
    <n v="2"/>
    <s v="Kothrud Residency"/>
    <n v="1"/>
    <s v="No"/>
    <n v="36700000"/>
    <x v="1"/>
    <s v="BRK-02"/>
    <x v="0"/>
    <s v="Tier B"/>
    <n v="1.4999999999999999E-2"/>
    <n v="0"/>
    <n v="0"/>
    <n v="0"/>
  </r>
  <r>
    <x v="4"/>
    <s v="Indiranagar"/>
    <x v="4"/>
    <n v="3"/>
    <n v="4231"/>
    <n v="8072"/>
    <n v="2"/>
    <n v="1995"/>
    <n v="2013"/>
    <s v="Independent House"/>
    <n v="0"/>
    <s v="South"/>
    <s v="Yes"/>
    <s v="Semi-Furnished"/>
    <n v="2"/>
    <n v="4"/>
    <s v="Indiranagar Residency"/>
    <n v="2"/>
    <s v="Yes"/>
    <n v="38414000"/>
    <x v="1"/>
    <s v="BRK-03"/>
    <x v="1"/>
    <s v="Tier A"/>
    <n v="0.02"/>
    <n v="0"/>
    <n v="0"/>
    <n v="0"/>
  </r>
  <r>
    <x v="0"/>
    <s v="Andheri"/>
    <x v="1"/>
    <n v="1"/>
    <n v="3618"/>
    <n v="9969"/>
    <n v="3"/>
    <n v="1977"/>
    <n v="1978"/>
    <s v="Villa"/>
    <n v="3"/>
    <s v="South"/>
    <s v="No"/>
    <s v="Semi-Furnished"/>
    <n v="3"/>
    <n v="4"/>
    <s v="Andheri Enclave"/>
    <n v="1"/>
    <s v="No"/>
    <n v="43771000"/>
    <x v="1"/>
    <s v="BRK-01"/>
    <x v="2"/>
    <s v="Tier A"/>
    <n v="0.02"/>
    <n v="0"/>
    <n v="0"/>
    <n v="0"/>
  </r>
  <r>
    <x v="2"/>
    <s v="Aundh"/>
    <x v="2"/>
    <n v="4"/>
    <n v="3280"/>
    <n v="7443"/>
    <n v="1"/>
    <n v="1980"/>
    <n v="2018"/>
    <s v="Apartment"/>
    <n v="1"/>
    <s v="West"/>
    <s v="Yes"/>
    <s v="Furnished"/>
    <n v="9"/>
    <n v="4"/>
    <s v="Aundh Residency"/>
    <n v="3"/>
    <s v="No"/>
    <n v="28215000"/>
    <x v="0"/>
    <s v="BRK-05"/>
    <x v="4"/>
    <s v="Tier B"/>
    <n v="1.4999999999999999E-2"/>
    <n v="423225"/>
    <n v="846450"/>
    <n v="423225"/>
  </r>
  <r>
    <x v="0"/>
    <s v="Bandra"/>
    <x v="3"/>
    <n v="2"/>
    <n v="814"/>
    <n v="5195"/>
    <n v="2"/>
    <n v="1979"/>
    <n v="1980"/>
    <s v="Apartment"/>
    <n v="2"/>
    <s v="West"/>
    <s v="No"/>
    <s v="Semi-Furnished"/>
    <n v="0"/>
    <n v="0"/>
    <s v="Bandra Enclave"/>
    <n v="0"/>
    <s v="No"/>
    <n v="10068000"/>
    <x v="1"/>
    <s v="BRK-05"/>
    <x v="4"/>
    <s v="Tier B"/>
    <n v="1.4999999999999999E-2"/>
    <n v="0"/>
    <n v="0"/>
    <n v="0"/>
  </r>
  <r>
    <x v="4"/>
    <s v="HSR Layout"/>
    <x v="1"/>
    <n v="2"/>
    <n v="3385"/>
    <n v="8789"/>
    <n v="2"/>
    <n v="1996"/>
    <n v="2013"/>
    <s v="Builder Floor"/>
    <n v="2"/>
    <s v="West"/>
    <s v="Yes"/>
    <s v="Unfurnished"/>
    <n v="6"/>
    <n v="2"/>
    <s v="HSR Layout Enclave"/>
    <n v="3"/>
    <s v="No"/>
    <n v="30885000"/>
    <x v="0"/>
    <s v="BRK-02"/>
    <x v="0"/>
    <s v="Tier B"/>
    <n v="1.4999999999999999E-2"/>
    <n v="463275"/>
    <n v="926550"/>
    <n v="463275"/>
  </r>
  <r>
    <x v="2"/>
    <s v="Kothrud"/>
    <x v="1"/>
    <n v="2"/>
    <n v="3903"/>
    <n v="5309"/>
    <n v="1"/>
    <n v="1959"/>
    <n v="2023"/>
    <s v="Villa"/>
    <n v="1"/>
    <s v="South"/>
    <s v="Yes"/>
    <s v="Furnished"/>
    <n v="5"/>
    <n v="4"/>
    <s v="Kothrud Heights"/>
    <n v="1"/>
    <s v="No"/>
    <n v="33620500"/>
    <x v="0"/>
    <s v="BRK-05"/>
    <x v="4"/>
    <s v="Tier B"/>
    <n v="1.4999999999999999E-2"/>
    <n v="504307.5"/>
    <n v="1008615"/>
    <n v="504307.5"/>
  </r>
  <r>
    <x v="4"/>
    <s v="Whitefield"/>
    <x v="3"/>
    <n v="4"/>
    <n v="4224"/>
    <n v="6000"/>
    <n v="3"/>
    <n v="1970"/>
    <n v="2010"/>
    <s v="Independent House"/>
    <n v="0"/>
    <s v="South"/>
    <s v="Yes"/>
    <s v="Furnished"/>
    <n v="9"/>
    <n v="4"/>
    <s v="Whitefield Residency"/>
    <n v="1"/>
    <s v="Yes"/>
    <n v="38561000"/>
    <x v="2"/>
    <s v="BRK-04"/>
    <x v="3"/>
    <s v="Tier C"/>
    <n v="0.01"/>
    <n v="0"/>
    <n v="0"/>
    <n v="0"/>
  </r>
  <r>
    <x v="2"/>
    <s v="Hinjewadi"/>
    <x v="2"/>
    <n v="2"/>
    <n v="2415"/>
    <n v="3939"/>
    <n v="3"/>
    <n v="2001"/>
    <n v="2019"/>
    <s v="Builder Floor"/>
    <n v="2"/>
    <s v="North"/>
    <s v="Yes"/>
    <s v="Semi-Furnished"/>
    <n v="9"/>
    <n v="3"/>
    <s v="Hinjewadi Villa"/>
    <n v="1"/>
    <s v="Yes"/>
    <n v="20787500"/>
    <x v="1"/>
    <s v="BRK-05"/>
    <x v="4"/>
    <s v="Tier B"/>
    <n v="1.4999999999999999E-2"/>
    <n v="0"/>
    <n v="0"/>
    <n v="0"/>
  </r>
  <r>
    <x v="3"/>
    <s v="Perambur"/>
    <x v="4"/>
    <n v="2"/>
    <n v="4484"/>
    <n v="6700"/>
    <n v="1"/>
    <n v="1993"/>
    <n v="2021"/>
    <s v="Builder Floor"/>
    <n v="1"/>
    <s v="West"/>
    <s v="No"/>
    <s v="Furnished"/>
    <n v="1"/>
    <n v="0"/>
    <s v="Perambur Residency"/>
    <n v="3"/>
    <s v="Yes"/>
    <n v="36222000"/>
    <x v="0"/>
    <s v="BRK-03"/>
    <x v="1"/>
    <s v="Tier A"/>
    <n v="0.02"/>
    <n v="724440"/>
    <n v="1086660"/>
    <n v="362220"/>
  </r>
  <r>
    <x v="2"/>
    <s v="Kothrud"/>
    <x v="4"/>
    <n v="4"/>
    <n v="619"/>
    <n v="9375"/>
    <n v="3"/>
    <n v="1965"/>
    <n v="1969"/>
    <s v="Independent House"/>
    <n v="1"/>
    <s v="North"/>
    <s v="No"/>
    <s v="Unfurnished"/>
    <n v="6"/>
    <n v="2"/>
    <s v="Kothrud Heights"/>
    <n v="3"/>
    <s v="Yes"/>
    <n v="5636500"/>
    <x v="2"/>
    <s v="BRK-04"/>
    <x v="3"/>
    <s v="Tier C"/>
    <n v="0.01"/>
    <n v="0"/>
    <n v="0"/>
    <n v="0"/>
  </r>
  <r>
    <x v="3"/>
    <s v="Anna Nagar"/>
    <x v="0"/>
    <n v="1"/>
    <n v="3785"/>
    <n v="4931"/>
    <n v="2"/>
    <n v="2011"/>
    <n v="2017"/>
    <s v="Builder Floor"/>
    <n v="2"/>
    <s v="West"/>
    <s v="No"/>
    <s v="Furnished"/>
    <n v="0"/>
    <n v="5"/>
    <s v="Anna Nagar Heights"/>
    <n v="0"/>
    <s v="Yes"/>
    <n v="30625000"/>
    <x v="1"/>
    <s v="BRK-02"/>
    <x v="0"/>
    <s v="Tier B"/>
    <n v="1.4999999999999999E-2"/>
    <n v="0"/>
    <n v="0"/>
    <n v="0"/>
  </r>
  <r>
    <x v="3"/>
    <s v="Velachery"/>
    <x v="0"/>
    <n v="4"/>
    <n v="3267"/>
    <n v="4190"/>
    <n v="1"/>
    <n v="2004"/>
    <n v="2023"/>
    <s v="Villa"/>
    <n v="2"/>
    <s v="West"/>
    <s v="No"/>
    <s v="Unfurnished"/>
    <n v="4"/>
    <n v="5"/>
    <s v="Velachery Villa"/>
    <n v="1"/>
    <s v="No"/>
    <n v="26441000"/>
    <x v="0"/>
    <s v="BRK-05"/>
    <x v="4"/>
    <s v="Tier B"/>
    <n v="1.4999999999999999E-2"/>
    <n v="396615"/>
    <n v="793230"/>
    <n v="396615"/>
  </r>
  <r>
    <x v="2"/>
    <s v="Aundh"/>
    <x v="3"/>
    <n v="2"/>
    <n v="3332"/>
    <n v="7962"/>
    <n v="3"/>
    <n v="2011"/>
    <n v="2018"/>
    <s v="Villa"/>
    <n v="2"/>
    <s v="West"/>
    <s v="Yes"/>
    <s v="Unfurnished"/>
    <n v="1"/>
    <n v="5"/>
    <s v="Aundh Residency"/>
    <n v="3"/>
    <s v="Yes"/>
    <n v="28762000"/>
    <x v="2"/>
    <s v="BRK-04"/>
    <x v="3"/>
    <s v="Tier C"/>
    <n v="0.01"/>
    <n v="0"/>
    <n v="0"/>
    <n v="0"/>
  </r>
  <r>
    <x v="0"/>
    <s v="Bandra"/>
    <x v="1"/>
    <n v="4"/>
    <n v="3072"/>
    <n v="9682"/>
    <n v="3"/>
    <n v="1956"/>
    <n v="1975"/>
    <s v="Independent House"/>
    <n v="0"/>
    <s v="North"/>
    <s v="Yes"/>
    <s v="Semi-Furnished"/>
    <n v="9"/>
    <n v="3"/>
    <s v="Bandra Heights"/>
    <n v="0"/>
    <s v="No"/>
    <n v="37319000"/>
    <x v="2"/>
    <s v="BRK-05"/>
    <x v="4"/>
    <s v="Tier B"/>
    <n v="1.4999999999999999E-2"/>
    <n v="0"/>
    <n v="0"/>
    <n v="0"/>
  </r>
  <r>
    <x v="1"/>
    <s v="Saket"/>
    <x v="2"/>
    <n v="1"/>
    <n v="3448"/>
    <n v="6780"/>
    <n v="3"/>
    <n v="2016"/>
    <n v="2019"/>
    <s v="Builder Floor"/>
    <n v="1"/>
    <s v="West"/>
    <s v="No"/>
    <s v="Furnished"/>
    <n v="3"/>
    <n v="5"/>
    <s v="Saket Enclave"/>
    <n v="1"/>
    <s v="Yes"/>
    <n v="34760000"/>
    <x v="0"/>
    <s v="BRK-03"/>
    <x v="1"/>
    <s v="Tier A"/>
    <n v="0.02"/>
    <n v="695200"/>
    <n v="1042800"/>
    <n v="347600"/>
  </r>
  <r>
    <x v="2"/>
    <s v="Aundh"/>
    <x v="1"/>
    <n v="2"/>
    <n v="1688"/>
    <n v="2328"/>
    <n v="2"/>
    <n v="1980"/>
    <n v="2020"/>
    <s v="Builder Floor"/>
    <n v="1"/>
    <s v="North"/>
    <s v="No"/>
    <s v="Semi-Furnished"/>
    <n v="5"/>
    <n v="5"/>
    <s v="Aundh Villa"/>
    <n v="3"/>
    <s v="Yes"/>
    <n v="14793000"/>
    <x v="1"/>
    <s v="BRK-05"/>
    <x v="4"/>
    <s v="Tier B"/>
    <n v="1.4999999999999999E-2"/>
    <n v="0"/>
    <n v="0"/>
    <n v="0"/>
  </r>
  <r>
    <x v="2"/>
    <s v="Kothrud"/>
    <x v="2"/>
    <n v="1"/>
    <n v="4802"/>
    <n v="7182"/>
    <n v="3"/>
    <n v="2021"/>
    <n v="2024"/>
    <s v="Villa"/>
    <n v="2"/>
    <s v="East"/>
    <s v="Yes"/>
    <s v="Unfurnished"/>
    <n v="3"/>
    <n v="3"/>
    <s v="Kothrud Villa"/>
    <n v="0"/>
    <s v="No"/>
    <n v="40982000"/>
    <x v="2"/>
    <s v="BRK-03"/>
    <x v="1"/>
    <s v="Tier A"/>
    <n v="0.02"/>
    <n v="0"/>
    <n v="0"/>
    <n v="0"/>
  </r>
  <r>
    <x v="1"/>
    <s v="Vasant Kunj"/>
    <x v="1"/>
    <n v="1"/>
    <n v="4876"/>
    <n v="5518"/>
    <n v="3"/>
    <n v="1987"/>
    <n v="2007"/>
    <s v="Builder Floor"/>
    <n v="2"/>
    <s v="East"/>
    <s v="No"/>
    <s v="Semi-Furnished"/>
    <n v="9"/>
    <n v="3"/>
    <s v="Vasant Kunj Residency"/>
    <n v="2"/>
    <s v="No"/>
    <n v="49130000"/>
    <x v="2"/>
    <s v="BRK-02"/>
    <x v="0"/>
    <s v="Tier B"/>
    <n v="1.4999999999999999E-2"/>
    <n v="0"/>
    <n v="0"/>
    <n v="0"/>
  </r>
  <r>
    <x v="3"/>
    <s v="Perambur"/>
    <x v="2"/>
    <n v="4"/>
    <n v="1252"/>
    <n v="5526"/>
    <n v="1"/>
    <n v="1998"/>
    <n v="2017"/>
    <s v="Apartment"/>
    <n v="1"/>
    <s v="East"/>
    <s v="No"/>
    <s v="Semi-Furnished"/>
    <n v="8"/>
    <n v="4"/>
    <s v="Perambur Heights"/>
    <n v="2"/>
    <s v="Yes"/>
    <n v="10286000"/>
    <x v="1"/>
    <s v="BRK-01"/>
    <x v="2"/>
    <s v="Tier A"/>
    <n v="0.02"/>
    <n v="0"/>
    <n v="0"/>
    <n v="0"/>
  </r>
  <r>
    <x v="4"/>
    <s v="Whitefield"/>
    <x v="3"/>
    <n v="3"/>
    <n v="922"/>
    <n v="3896"/>
    <n v="2"/>
    <n v="1990"/>
    <n v="2011"/>
    <s v="Apartment"/>
    <n v="2"/>
    <s v="South"/>
    <s v="Yes"/>
    <s v="Semi-Furnished"/>
    <n v="3"/>
    <n v="1"/>
    <s v="Whitefield Residency"/>
    <n v="2"/>
    <s v="Yes"/>
    <n v="8733000"/>
    <x v="0"/>
    <s v="BRK-01"/>
    <x v="2"/>
    <s v="Tier A"/>
    <n v="0.02"/>
    <n v="174660"/>
    <n v="261990"/>
    <n v="87330"/>
  </r>
  <r>
    <x v="1"/>
    <s v="Rohini"/>
    <x v="4"/>
    <n v="3"/>
    <n v="1577"/>
    <n v="3374"/>
    <n v="1"/>
    <n v="1960"/>
    <n v="2022"/>
    <s v="Builder Floor"/>
    <n v="0"/>
    <s v="West"/>
    <s v="No"/>
    <s v="Unfurnished"/>
    <n v="5"/>
    <n v="3"/>
    <s v="Rohini Enclave"/>
    <n v="3"/>
    <s v="Yes"/>
    <n v="16075000"/>
    <x v="2"/>
    <s v="BRK-03"/>
    <x v="1"/>
    <s v="Tier A"/>
    <n v="0.02"/>
    <n v="0"/>
    <n v="0"/>
    <n v="0"/>
  </r>
  <r>
    <x v="2"/>
    <s v="Viman Nagar"/>
    <x v="3"/>
    <n v="2"/>
    <n v="1350"/>
    <n v="2287"/>
    <n v="3"/>
    <n v="2004"/>
    <n v="2018"/>
    <s v="Builder Floor"/>
    <n v="2"/>
    <s v="West"/>
    <s v="Yes"/>
    <s v="Semi-Furnished"/>
    <n v="1"/>
    <n v="5"/>
    <s v="Viman Nagar Villa"/>
    <n v="2"/>
    <s v="Yes"/>
    <n v="11900000"/>
    <x v="0"/>
    <s v="BRK-05"/>
    <x v="4"/>
    <s v="Tier B"/>
    <n v="1.4999999999999999E-2"/>
    <n v="178500"/>
    <n v="357000"/>
    <n v="178500"/>
  </r>
  <r>
    <x v="0"/>
    <s v="Bandra"/>
    <x v="3"/>
    <n v="1"/>
    <n v="2965"/>
    <n v="5977"/>
    <n v="3"/>
    <n v="1983"/>
    <n v="1993"/>
    <s v="Villa"/>
    <n v="1"/>
    <s v="East"/>
    <s v="No"/>
    <s v="Unfurnished"/>
    <n v="5"/>
    <n v="2"/>
    <s v="Bandra Residency"/>
    <n v="3"/>
    <s v="No"/>
    <n v="35915000"/>
    <x v="0"/>
    <s v="BRK-01"/>
    <x v="2"/>
    <s v="Tier A"/>
    <n v="0.02"/>
    <n v="718300"/>
    <n v="1077450"/>
    <n v="359150"/>
  </r>
  <r>
    <x v="1"/>
    <s v="Vasant Kunj"/>
    <x v="0"/>
    <n v="3"/>
    <n v="3581"/>
    <n v="5921"/>
    <n v="2"/>
    <n v="1973"/>
    <n v="2008"/>
    <s v="Apartment"/>
    <n v="1"/>
    <s v="North"/>
    <s v="No"/>
    <s v="Furnished"/>
    <n v="8"/>
    <n v="3"/>
    <s v="Vasant Kunj Villa"/>
    <n v="1"/>
    <s v="Yes"/>
    <n v="36230000"/>
    <x v="1"/>
    <s v="BRK-04"/>
    <x v="3"/>
    <s v="Tier C"/>
    <n v="0.01"/>
    <n v="0"/>
    <n v="0"/>
    <n v="0"/>
  </r>
  <r>
    <x v="1"/>
    <s v="Vasant Kunj"/>
    <x v="2"/>
    <n v="2"/>
    <n v="3753"/>
    <n v="7895"/>
    <n v="1"/>
    <n v="2016"/>
    <n v="2023"/>
    <s v="Villa"/>
    <n v="3"/>
    <s v="East"/>
    <s v="No"/>
    <s v="Unfurnished"/>
    <n v="9"/>
    <n v="0"/>
    <s v="Vasant Kunj Villa"/>
    <n v="0"/>
    <s v="Yes"/>
    <n v="37710000"/>
    <x v="1"/>
    <s v="BRK-04"/>
    <x v="3"/>
    <s v="Tier C"/>
    <n v="0.01"/>
    <n v="0"/>
    <n v="0"/>
    <n v="0"/>
  </r>
  <r>
    <x v="0"/>
    <s v="Bandra"/>
    <x v="0"/>
    <n v="4"/>
    <n v="1088"/>
    <n v="8508"/>
    <n v="3"/>
    <n v="1992"/>
    <n v="2007"/>
    <s v="Villa"/>
    <n v="2"/>
    <s v="East"/>
    <s v="No"/>
    <s v="Furnished"/>
    <n v="6"/>
    <n v="0"/>
    <s v="Bandra Enclave"/>
    <n v="1"/>
    <s v="Yes"/>
    <n v="13526000"/>
    <x v="2"/>
    <s v="BRK-05"/>
    <x v="4"/>
    <s v="Tier B"/>
    <n v="1.4999999999999999E-2"/>
    <n v="0"/>
    <n v="0"/>
    <n v="0"/>
  </r>
  <r>
    <x v="4"/>
    <s v="Indiranagar"/>
    <x v="0"/>
    <n v="4"/>
    <n v="3961"/>
    <n v="4653"/>
    <n v="2"/>
    <n v="1986"/>
    <n v="2014"/>
    <s v="Apartment"/>
    <n v="1"/>
    <s v="East"/>
    <s v="No"/>
    <s v="Unfurnished"/>
    <n v="9"/>
    <n v="4"/>
    <s v="Indiranagar Villa"/>
    <n v="0"/>
    <s v="Yes"/>
    <n v="36009000"/>
    <x v="2"/>
    <s v="BRK-02"/>
    <x v="0"/>
    <s v="Tier B"/>
    <n v="1.4999999999999999E-2"/>
    <n v="0"/>
    <n v="0"/>
    <n v="0"/>
  </r>
  <r>
    <x v="1"/>
    <s v="Saket"/>
    <x v="4"/>
    <n v="3"/>
    <n v="2895"/>
    <n v="8294"/>
    <n v="2"/>
    <n v="1984"/>
    <n v="2021"/>
    <s v="Independent House"/>
    <n v="2"/>
    <s v="West"/>
    <s v="No"/>
    <s v="Unfurnished"/>
    <n v="9"/>
    <n v="4"/>
    <s v="Saket Villa"/>
    <n v="3"/>
    <s v="Yes"/>
    <n v="29275000"/>
    <x v="0"/>
    <s v="BRK-03"/>
    <x v="1"/>
    <s v="Tier A"/>
    <n v="0.02"/>
    <n v="585500"/>
    <n v="878250"/>
    <n v="292750"/>
  </r>
  <r>
    <x v="1"/>
    <s v="Dwarka"/>
    <x v="4"/>
    <n v="2"/>
    <n v="2361"/>
    <n v="8504"/>
    <n v="3"/>
    <n v="1960"/>
    <n v="1985"/>
    <s v="Apartment"/>
    <n v="3"/>
    <s v="North"/>
    <s v="Yes"/>
    <s v="Furnished"/>
    <n v="7"/>
    <n v="4"/>
    <s v="Dwarka Heights"/>
    <n v="0"/>
    <s v="No"/>
    <n v="23930000"/>
    <x v="2"/>
    <s v="BRK-03"/>
    <x v="1"/>
    <s v="Tier A"/>
    <n v="0.02"/>
    <n v="0"/>
    <n v="0"/>
    <n v="0"/>
  </r>
  <r>
    <x v="2"/>
    <s v="Kothrud"/>
    <x v="2"/>
    <n v="3"/>
    <n v="1572"/>
    <n v="3003"/>
    <n v="3"/>
    <n v="1999"/>
    <n v="2007"/>
    <s v="Apartment"/>
    <n v="1"/>
    <s v="East"/>
    <s v="No"/>
    <s v="Unfurnished"/>
    <n v="2"/>
    <n v="1"/>
    <s v="Kothrud Residency"/>
    <n v="0"/>
    <s v="Yes"/>
    <n v="13612000"/>
    <x v="2"/>
    <s v="BRK-02"/>
    <x v="0"/>
    <s v="Tier B"/>
    <n v="1.4999999999999999E-2"/>
    <n v="0"/>
    <n v="0"/>
    <n v="0"/>
  </r>
  <r>
    <x v="4"/>
    <s v="Indiranagar"/>
    <x v="3"/>
    <n v="4"/>
    <n v="4728"/>
    <n v="7009"/>
    <n v="3"/>
    <n v="2006"/>
    <n v="2009"/>
    <s v="Apartment"/>
    <n v="3"/>
    <s v="West"/>
    <s v="No"/>
    <s v="Semi-Furnished"/>
    <n v="7"/>
    <n v="4"/>
    <s v="Indiranagar Residency"/>
    <n v="0"/>
    <s v="No"/>
    <n v="42932000"/>
    <x v="1"/>
    <s v="BRK-04"/>
    <x v="3"/>
    <s v="Tier C"/>
    <n v="0.01"/>
    <n v="0"/>
    <n v="0"/>
    <n v="0"/>
  </r>
  <r>
    <x v="4"/>
    <s v="Indiranagar"/>
    <x v="3"/>
    <n v="3"/>
    <n v="1575"/>
    <n v="6598"/>
    <n v="1"/>
    <n v="1950"/>
    <n v="2015"/>
    <s v="Apartment"/>
    <n v="2"/>
    <s v="East"/>
    <s v="No"/>
    <s v="Unfurnished"/>
    <n v="0"/>
    <n v="5"/>
    <s v="Indiranagar Villa"/>
    <n v="3"/>
    <s v="No"/>
    <n v="14530000"/>
    <x v="1"/>
    <s v="BRK-05"/>
    <x v="4"/>
    <s v="Tier B"/>
    <n v="1.4999999999999999E-2"/>
    <n v="0"/>
    <n v="0"/>
    <n v="0"/>
  </r>
  <r>
    <x v="0"/>
    <s v="Borivali"/>
    <x v="0"/>
    <n v="2"/>
    <n v="359"/>
    <n v="9390"/>
    <n v="2"/>
    <n v="1974"/>
    <n v="1999"/>
    <s v="Independent House"/>
    <n v="3"/>
    <s v="South"/>
    <s v="Yes"/>
    <s v="Unfurnished"/>
    <n v="10"/>
    <n v="3"/>
    <s v="Borivali Villa"/>
    <n v="1"/>
    <s v="No"/>
    <n v="4598000"/>
    <x v="2"/>
    <s v="BRK-03"/>
    <x v="1"/>
    <s v="Tier A"/>
    <n v="0.02"/>
    <n v="0"/>
    <n v="0"/>
    <n v="0"/>
  </r>
  <r>
    <x v="0"/>
    <s v="Borivali"/>
    <x v="4"/>
    <n v="3"/>
    <n v="2632"/>
    <n v="7994"/>
    <n v="3"/>
    <n v="2018"/>
    <n v="2021"/>
    <s v="Independent House"/>
    <n v="1"/>
    <s v="North"/>
    <s v="Yes"/>
    <s v="Furnished"/>
    <n v="4"/>
    <n v="0"/>
    <s v="Borivali Villa"/>
    <n v="3"/>
    <s v="No"/>
    <n v="31979000"/>
    <x v="2"/>
    <s v="BRK-05"/>
    <x v="4"/>
    <s v="Tier B"/>
    <n v="1.4999999999999999E-2"/>
    <n v="0"/>
    <n v="0"/>
    <n v="0"/>
  </r>
  <r>
    <x v="2"/>
    <s v="Baner"/>
    <x v="4"/>
    <n v="3"/>
    <n v="458"/>
    <n v="3000"/>
    <n v="1"/>
    <n v="2018"/>
    <n v="0"/>
    <s v="Apartment"/>
    <n v="0"/>
    <s v="East"/>
    <s v="No"/>
    <s v="Furnished"/>
    <n v="7"/>
    <n v="5"/>
    <s v="Baner Heights"/>
    <n v="1"/>
    <s v="Yes"/>
    <n v="4243000"/>
    <x v="2"/>
    <s v="BRK-02"/>
    <x v="0"/>
    <s v="Tier B"/>
    <n v="1.4999999999999999E-2"/>
    <n v="0"/>
    <n v="0"/>
    <n v="0"/>
  </r>
  <r>
    <x v="1"/>
    <s v="Dwarka"/>
    <x v="3"/>
    <n v="2"/>
    <n v="3100"/>
    <n v="6592"/>
    <n v="2"/>
    <n v="2013"/>
    <n v="2017"/>
    <s v="Independent House"/>
    <n v="0"/>
    <s v="East"/>
    <s v="Yes"/>
    <s v="Furnished"/>
    <n v="0"/>
    <n v="2"/>
    <s v="Dwarka Villa"/>
    <n v="0"/>
    <s v="No"/>
    <n v="31400000"/>
    <x v="2"/>
    <s v="BRK-01"/>
    <x v="2"/>
    <s v="Tier A"/>
    <n v="0.02"/>
    <n v="0"/>
    <n v="0"/>
    <n v="0"/>
  </r>
  <r>
    <x v="1"/>
    <s v="Rohini"/>
    <x v="0"/>
    <n v="4"/>
    <n v="403"/>
    <n v="2451"/>
    <n v="3"/>
    <n v="1981"/>
    <n v="2004"/>
    <s v="Independent House"/>
    <n v="1"/>
    <s v="North"/>
    <s v="Yes"/>
    <s v="Semi-Furnished"/>
    <n v="1"/>
    <n v="4"/>
    <s v="Rohini Residency"/>
    <n v="3"/>
    <s v="No"/>
    <n v="4430000"/>
    <x v="2"/>
    <s v="BRK-04"/>
    <x v="3"/>
    <s v="Tier C"/>
    <n v="0.01"/>
    <n v="0"/>
    <n v="0"/>
    <n v="0"/>
  </r>
  <r>
    <x v="4"/>
    <s v="Indiranagar"/>
    <x v="4"/>
    <n v="1"/>
    <n v="4802"/>
    <n v="9119"/>
    <n v="1"/>
    <n v="1982"/>
    <n v="2011"/>
    <s v="Villa"/>
    <n v="1"/>
    <s v="East"/>
    <s v="Yes"/>
    <s v="Unfurnished"/>
    <n v="3"/>
    <n v="0"/>
    <s v="Indiranagar Residency"/>
    <n v="3"/>
    <s v="No"/>
    <n v="43438000"/>
    <x v="2"/>
    <s v="BRK-03"/>
    <x v="1"/>
    <s v="Tier A"/>
    <n v="0.02"/>
    <n v="0"/>
    <n v="0"/>
    <n v="0"/>
  </r>
  <r>
    <x v="0"/>
    <s v="Bandra"/>
    <x v="0"/>
    <n v="1"/>
    <n v="3542"/>
    <n v="5583"/>
    <n v="1"/>
    <n v="1955"/>
    <n v="2014"/>
    <s v="Apartment"/>
    <n v="2"/>
    <s v="North"/>
    <s v="Yes"/>
    <s v="Furnished"/>
    <n v="7"/>
    <n v="0"/>
    <s v="Bandra Enclave"/>
    <n v="0"/>
    <s v="Yes"/>
    <n v="42854000"/>
    <x v="2"/>
    <s v="BRK-04"/>
    <x v="3"/>
    <s v="Tier C"/>
    <n v="0.01"/>
    <n v="0"/>
    <n v="0"/>
    <n v="0"/>
  </r>
  <r>
    <x v="4"/>
    <s v="Koramangala"/>
    <x v="1"/>
    <n v="1"/>
    <n v="1330"/>
    <n v="9372"/>
    <n v="1"/>
    <n v="1990"/>
    <n v="2024"/>
    <s v="Villa"/>
    <n v="3"/>
    <s v="South"/>
    <s v="Yes"/>
    <s v="Unfurnished"/>
    <n v="6"/>
    <n v="2"/>
    <s v="Koramangala Residency"/>
    <n v="2"/>
    <s v="Yes"/>
    <n v="12375000"/>
    <x v="1"/>
    <s v="BRK-04"/>
    <x v="3"/>
    <s v="Tier C"/>
    <n v="0.01"/>
    <n v="0"/>
    <n v="0"/>
    <n v="0"/>
  </r>
  <r>
    <x v="3"/>
    <s v="Anna Nagar"/>
    <x v="1"/>
    <n v="3"/>
    <n v="4746"/>
    <n v="8810"/>
    <n v="1"/>
    <n v="2022"/>
    <n v="2022"/>
    <s v="Villa"/>
    <n v="2"/>
    <s v="West"/>
    <s v="No"/>
    <s v="Unfurnished"/>
    <n v="8"/>
    <n v="1"/>
    <s v="Anna Nagar Heights"/>
    <n v="1"/>
    <s v="No"/>
    <n v="38343000"/>
    <x v="2"/>
    <s v="BRK-03"/>
    <x v="1"/>
    <s v="Tier A"/>
    <n v="0.02"/>
    <n v="0"/>
    <n v="0"/>
    <n v="0"/>
  </r>
  <r>
    <x v="4"/>
    <s v="Indiranagar"/>
    <x v="1"/>
    <n v="3"/>
    <n v="4019"/>
    <n v="4074"/>
    <n v="3"/>
    <n v="2014"/>
    <n v="2019"/>
    <s v="Apartment"/>
    <n v="0"/>
    <s v="East"/>
    <s v="Yes"/>
    <s v="Semi-Furnished"/>
    <n v="1"/>
    <n v="5"/>
    <s v="Indiranagar Villa"/>
    <n v="1"/>
    <s v="No"/>
    <n v="36611000"/>
    <x v="0"/>
    <s v="BRK-02"/>
    <x v="0"/>
    <s v="Tier B"/>
    <n v="1.4999999999999999E-2"/>
    <n v="549165"/>
    <n v="1098330"/>
    <n v="549165"/>
  </r>
  <r>
    <x v="2"/>
    <s v="Hinjewadi"/>
    <x v="1"/>
    <n v="3"/>
    <n v="2942"/>
    <n v="6349"/>
    <n v="3"/>
    <n v="1991"/>
    <n v="1997"/>
    <s v="Builder Floor"/>
    <n v="0"/>
    <s v="North"/>
    <s v="Yes"/>
    <s v="Furnished"/>
    <n v="0"/>
    <n v="1"/>
    <s v="Hinjewadi Heights"/>
    <n v="3"/>
    <s v="Yes"/>
    <n v="25602000"/>
    <x v="0"/>
    <s v="BRK-02"/>
    <x v="0"/>
    <s v="Tier B"/>
    <n v="1.4999999999999999E-2"/>
    <n v="384030"/>
    <n v="768060"/>
    <n v="384030"/>
  </r>
  <r>
    <x v="0"/>
    <s v="Andheri"/>
    <x v="1"/>
    <n v="4"/>
    <n v="4313"/>
    <n v="8670"/>
    <n v="3"/>
    <n v="2025"/>
    <n v="2025"/>
    <s v="Builder Floor"/>
    <n v="2"/>
    <s v="South"/>
    <s v="Yes"/>
    <s v="Furnished"/>
    <n v="3"/>
    <n v="5"/>
    <s v="Andheri Villa"/>
    <n v="0"/>
    <s v="No"/>
    <n v="52286000"/>
    <x v="0"/>
    <s v="BRK-05"/>
    <x v="4"/>
    <s v="Tier B"/>
    <n v="1.4999999999999999E-2"/>
    <n v="784290"/>
    <n v="1568580"/>
    <n v="784290"/>
  </r>
  <r>
    <x v="0"/>
    <s v="Juhu"/>
    <x v="1"/>
    <n v="4"/>
    <n v="3323"/>
    <n v="9879"/>
    <n v="3"/>
    <n v="1957"/>
    <n v="1990"/>
    <s v="Builder Floor"/>
    <n v="0"/>
    <s v="East"/>
    <s v="Yes"/>
    <s v="Furnished"/>
    <n v="8"/>
    <n v="0"/>
    <s v="Juhu Heights"/>
    <n v="1"/>
    <s v="No"/>
    <n v="40421000"/>
    <x v="0"/>
    <s v="BRK-05"/>
    <x v="4"/>
    <s v="Tier B"/>
    <n v="1.4999999999999999E-2"/>
    <n v="606315"/>
    <n v="1212630"/>
    <n v="606315"/>
  </r>
  <r>
    <x v="1"/>
    <s v="Rohini"/>
    <x v="1"/>
    <n v="2"/>
    <n v="4969"/>
    <n v="6484"/>
    <n v="3"/>
    <n v="2021"/>
    <n v="2023"/>
    <s v="Builder Floor"/>
    <n v="2"/>
    <s v="West"/>
    <s v="No"/>
    <s v="Furnished"/>
    <n v="2"/>
    <n v="1"/>
    <s v="Rohini Villa"/>
    <n v="2"/>
    <s v="Yes"/>
    <n v="50215000"/>
    <x v="0"/>
    <s v="BRK-03"/>
    <x v="1"/>
    <s v="Tier A"/>
    <n v="0.02"/>
    <n v="1004300"/>
    <n v="1506450"/>
    <n v="502150"/>
  </r>
  <r>
    <x v="2"/>
    <s v="Aundh"/>
    <x v="3"/>
    <n v="3"/>
    <n v="2881"/>
    <n v="7437"/>
    <n v="2"/>
    <n v="1997"/>
    <n v="2009"/>
    <s v="Independent House"/>
    <n v="2"/>
    <s v="South"/>
    <s v="Yes"/>
    <s v="Semi-Furnished"/>
    <n v="8"/>
    <n v="5"/>
    <s v="Aundh Enclave"/>
    <n v="2"/>
    <s v="No"/>
    <n v="24873500"/>
    <x v="0"/>
    <s v="BRK-05"/>
    <x v="4"/>
    <s v="Tier B"/>
    <n v="1.4999999999999999E-2"/>
    <n v="373102.5"/>
    <n v="746205"/>
    <n v="373102.5"/>
  </r>
  <r>
    <x v="3"/>
    <s v="Anna Nagar"/>
    <x v="2"/>
    <n v="1"/>
    <n v="2630"/>
    <n v="7560"/>
    <n v="1"/>
    <n v="2016"/>
    <n v="2017"/>
    <s v="Villa"/>
    <n v="0"/>
    <s v="East"/>
    <s v="Yes"/>
    <s v="Furnished"/>
    <n v="5"/>
    <n v="0"/>
    <s v="Anna Nagar Enclave"/>
    <n v="1"/>
    <s v="Yes"/>
    <n v="21305000"/>
    <x v="2"/>
    <s v="BRK-02"/>
    <x v="0"/>
    <s v="Tier B"/>
    <n v="1.4999999999999999E-2"/>
    <n v="0"/>
    <n v="0"/>
    <n v="0"/>
  </r>
  <r>
    <x v="0"/>
    <s v="Borivali"/>
    <x v="0"/>
    <n v="2"/>
    <n v="1433"/>
    <n v="5824"/>
    <n v="2"/>
    <n v="2024"/>
    <n v="0"/>
    <s v="Apartment"/>
    <n v="2"/>
    <s v="East"/>
    <s v="Yes"/>
    <s v="Unfurnished"/>
    <n v="6"/>
    <n v="4"/>
    <s v="Borivali Residency"/>
    <n v="0"/>
    <s v="No"/>
    <n v="17471000"/>
    <x v="1"/>
    <s v="BRK-02"/>
    <x v="0"/>
    <s v="Tier B"/>
    <n v="1.4999999999999999E-2"/>
    <n v="0"/>
    <n v="0"/>
    <n v="0"/>
  </r>
  <r>
    <x v="3"/>
    <s v="Velachery"/>
    <x v="3"/>
    <n v="1"/>
    <n v="2760"/>
    <n v="3116"/>
    <n v="3"/>
    <n v="2023"/>
    <n v="2025"/>
    <s v="Builder Floor"/>
    <n v="0"/>
    <s v="East"/>
    <s v="No"/>
    <s v="Semi-Furnished"/>
    <n v="6"/>
    <n v="0"/>
    <s v="Velachery Residency"/>
    <n v="0"/>
    <s v="No"/>
    <n v="22370000"/>
    <x v="2"/>
    <s v="BRK-01"/>
    <x v="2"/>
    <s v="Tier A"/>
    <n v="0.02"/>
    <n v="0"/>
    <n v="0"/>
    <n v="0"/>
  </r>
  <r>
    <x v="0"/>
    <s v="Juhu"/>
    <x v="1"/>
    <n v="1"/>
    <n v="2915"/>
    <n v="7388"/>
    <n v="3"/>
    <n v="1969"/>
    <n v="1988"/>
    <s v="Apartment"/>
    <n v="1"/>
    <s v="North"/>
    <s v="No"/>
    <s v="Semi-Furnished"/>
    <n v="9"/>
    <n v="4"/>
    <s v="Juhu Heights"/>
    <n v="1"/>
    <s v="No"/>
    <n v="35335000"/>
    <x v="2"/>
    <s v="BRK-01"/>
    <x v="2"/>
    <s v="Tier A"/>
    <n v="0.02"/>
    <n v="0"/>
    <n v="0"/>
    <n v="0"/>
  </r>
  <r>
    <x v="4"/>
    <s v="MG Road"/>
    <x v="4"/>
    <n v="2"/>
    <n v="3053"/>
    <n v="3779"/>
    <n v="2"/>
    <n v="2023"/>
    <n v="0"/>
    <s v="Independent House"/>
    <n v="2"/>
    <s v="North"/>
    <s v="No"/>
    <s v="Unfurnished"/>
    <n v="6"/>
    <n v="5"/>
    <s v="MG Road Residency"/>
    <n v="1"/>
    <s v="No"/>
    <n v="27692000"/>
    <x v="0"/>
    <s v="BRK-04"/>
    <x v="3"/>
    <s v="Tier C"/>
    <n v="0.01"/>
    <n v="276920"/>
    <n v="830760"/>
    <n v="553840"/>
  </r>
  <r>
    <x v="2"/>
    <s v="Hinjewadi"/>
    <x v="3"/>
    <n v="4"/>
    <n v="4980"/>
    <n v="6636"/>
    <n v="3"/>
    <n v="2017"/>
    <n v="2019"/>
    <s v="Apartment"/>
    <n v="0"/>
    <s v="East"/>
    <s v="No"/>
    <s v="Semi-Furnished"/>
    <n v="10"/>
    <n v="4"/>
    <s v="Hinjewadi Heights"/>
    <n v="0"/>
    <s v="No"/>
    <n v="42710000"/>
    <x v="1"/>
    <s v="BRK-02"/>
    <x v="0"/>
    <s v="Tier B"/>
    <n v="1.4999999999999999E-2"/>
    <n v="0"/>
    <n v="0"/>
    <n v="0"/>
  </r>
  <r>
    <x v="3"/>
    <s v="Adyar"/>
    <x v="0"/>
    <n v="2"/>
    <n v="2927"/>
    <n v="5799"/>
    <n v="3"/>
    <n v="1953"/>
    <n v="1991"/>
    <s v="Apartment"/>
    <n v="2"/>
    <s v="West"/>
    <s v="Yes"/>
    <s v="Semi-Furnished"/>
    <n v="0"/>
    <n v="1"/>
    <s v="Adyar Residency"/>
    <n v="2"/>
    <s v="Yes"/>
    <n v="23791000"/>
    <x v="0"/>
    <s v="BRK-04"/>
    <x v="3"/>
    <s v="Tier C"/>
    <n v="0.01"/>
    <n v="237910"/>
    <n v="713730"/>
    <n v="475820"/>
  </r>
  <r>
    <x v="0"/>
    <s v="Andheri"/>
    <x v="2"/>
    <n v="2"/>
    <n v="1509"/>
    <n v="6272"/>
    <n v="1"/>
    <n v="1993"/>
    <n v="1999"/>
    <s v="Villa"/>
    <n v="3"/>
    <s v="West"/>
    <s v="Yes"/>
    <s v="Semi-Furnished"/>
    <n v="3"/>
    <n v="5"/>
    <s v="Andheri Residency"/>
    <n v="1"/>
    <s v="No"/>
    <n v="18278000"/>
    <x v="2"/>
    <s v="BRK-01"/>
    <x v="2"/>
    <s v="Tier A"/>
    <n v="0.02"/>
    <n v="0"/>
    <n v="0"/>
    <n v="0"/>
  </r>
  <r>
    <x v="2"/>
    <s v="Baner"/>
    <x v="1"/>
    <n v="2"/>
    <n v="450"/>
    <n v="6670"/>
    <n v="3"/>
    <n v="2017"/>
    <n v="0"/>
    <s v="Villa"/>
    <n v="1"/>
    <s v="North"/>
    <s v="No"/>
    <s v="Furnished"/>
    <n v="9"/>
    <n v="2"/>
    <s v="Baner Heights"/>
    <n v="3"/>
    <s v="Yes"/>
    <n v="4365000"/>
    <x v="2"/>
    <s v="BRK-01"/>
    <x v="2"/>
    <s v="Tier A"/>
    <n v="0.02"/>
    <n v="0"/>
    <n v="0"/>
    <n v="0"/>
  </r>
  <r>
    <x v="0"/>
    <s v="Borivali"/>
    <x v="0"/>
    <n v="3"/>
    <n v="1183"/>
    <n v="1545"/>
    <n v="2"/>
    <n v="1999"/>
    <n v="2005"/>
    <s v="Independent House"/>
    <n v="0"/>
    <s v="East"/>
    <s v="No"/>
    <s v="Unfurnished"/>
    <n v="8"/>
    <n v="0"/>
    <s v="Borivali Residency"/>
    <n v="1"/>
    <s v="No"/>
    <n v="14491000"/>
    <x v="0"/>
    <s v="BRK-03"/>
    <x v="1"/>
    <s v="Tier A"/>
    <n v="0.02"/>
    <n v="289820"/>
    <n v="434730"/>
    <n v="144910"/>
  </r>
  <r>
    <x v="2"/>
    <s v="Kothrud"/>
    <x v="2"/>
    <n v="2"/>
    <n v="4636"/>
    <n v="7183"/>
    <n v="2"/>
    <n v="2012"/>
    <n v="2017"/>
    <s v="Apartment"/>
    <n v="0"/>
    <s v="East"/>
    <s v="No"/>
    <s v="Semi-Furnished"/>
    <n v="10"/>
    <n v="2"/>
    <s v="Kothrud Residency"/>
    <n v="2"/>
    <s v="Yes"/>
    <n v="39636000"/>
    <x v="0"/>
    <s v="BRK-04"/>
    <x v="3"/>
    <s v="Tier C"/>
    <n v="0.01"/>
    <n v="396360"/>
    <n v="1189080"/>
    <n v="792720"/>
  </r>
  <r>
    <x v="4"/>
    <s v="MG Road"/>
    <x v="2"/>
    <n v="3"/>
    <n v="2147"/>
    <n v="3439"/>
    <n v="2"/>
    <n v="2000"/>
    <n v="2020"/>
    <s v="Apartment"/>
    <n v="0"/>
    <s v="West"/>
    <s v="Yes"/>
    <s v="Semi-Furnished"/>
    <n v="3"/>
    <n v="4"/>
    <s v="MG Road Residency"/>
    <n v="3"/>
    <s v="No"/>
    <n v="19573000"/>
    <x v="0"/>
    <s v="BRK-01"/>
    <x v="2"/>
    <s v="Tier A"/>
    <n v="0.02"/>
    <n v="391460"/>
    <n v="587190"/>
    <n v="195730"/>
  </r>
  <r>
    <x v="2"/>
    <s v="Viman Nagar"/>
    <x v="3"/>
    <n v="2"/>
    <n v="1993"/>
    <n v="7388"/>
    <n v="1"/>
    <n v="2024"/>
    <n v="2025"/>
    <s v="Apartment"/>
    <n v="1"/>
    <s v="East"/>
    <s v="Yes"/>
    <s v="Semi-Furnished"/>
    <n v="2"/>
    <n v="5"/>
    <s v="Viman Nagar Residency"/>
    <n v="2"/>
    <s v="Yes"/>
    <n v="17325500"/>
    <x v="2"/>
    <s v="BRK-02"/>
    <x v="0"/>
    <s v="Tier B"/>
    <n v="1.4999999999999999E-2"/>
    <n v="0"/>
    <n v="0"/>
    <n v="0"/>
  </r>
  <r>
    <x v="2"/>
    <s v="Aundh"/>
    <x v="2"/>
    <n v="2"/>
    <n v="2901"/>
    <n v="9828"/>
    <n v="1"/>
    <n v="1953"/>
    <n v="1992"/>
    <s v="Independent House"/>
    <n v="3"/>
    <s v="East"/>
    <s v="No"/>
    <s v="Unfurnished"/>
    <n v="10"/>
    <n v="5"/>
    <s v="Aundh Enclave"/>
    <n v="1"/>
    <s v="Yes"/>
    <n v="24853500"/>
    <x v="1"/>
    <s v="BRK-04"/>
    <x v="3"/>
    <s v="Tier C"/>
    <n v="0.01"/>
    <n v="0"/>
    <n v="0"/>
    <n v="0"/>
  </r>
  <r>
    <x v="0"/>
    <s v="Bandra"/>
    <x v="4"/>
    <n v="1"/>
    <n v="2486"/>
    <n v="7497"/>
    <n v="3"/>
    <n v="1979"/>
    <n v="2016"/>
    <s v="Apartment"/>
    <n v="1"/>
    <s v="North"/>
    <s v="No"/>
    <s v="Furnished"/>
    <n v="7"/>
    <n v="1"/>
    <s v="Bandra Villa"/>
    <n v="2"/>
    <s v="Yes"/>
    <n v="30177000"/>
    <x v="1"/>
    <s v="BRK-02"/>
    <x v="0"/>
    <s v="Tier B"/>
    <n v="1.4999999999999999E-2"/>
    <n v="0"/>
    <n v="0"/>
    <n v="0"/>
  </r>
  <r>
    <x v="3"/>
    <s v="Anna Nagar"/>
    <x v="3"/>
    <n v="2"/>
    <n v="1641"/>
    <n v="4857"/>
    <n v="1"/>
    <n v="1954"/>
    <n v="2005"/>
    <s v="Builder Floor"/>
    <n v="2"/>
    <s v="West"/>
    <s v="Yes"/>
    <s v="Unfurnished"/>
    <n v="10"/>
    <n v="1"/>
    <s v="Anna Nagar Residency"/>
    <n v="0"/>
    <s v="Yes"/>
    <n v="13483000"/>
    <x v="0"/>
    <s v="BRK-04"/>
    <x v="3"/>
    <s v="Tier C"/>
    <n v="0.01"/>
    <n v="134830"/>
    <n v="404490"/>
    <n v="269660"/>
  </r>
  <r>
    <x v="3"/>
    <s v="Perambur"/>
    <x v="3"/>
    <n v="3"/>
    <n v="4048"/>
    <n v="6119"/>
    <n v="2"/>
    <n v="2001"/>
    <n v="2024"/>
    <s v="Builder Floor"/>
    <n v="3"/>
    <s v="East"/>
    <s v="No"/>
    <s v="Unfurnished"/>
    <n v="9"/>
    <n v="4"/>
    <s v="Perambur Heights"/>
    <n v="0"/>
    <s v="No"/>
    <n v="32714000"/>
    <x v="2"/>
    <s v="BRK-02"/>
    <x v="0"/>
    <s v="Tier B"/>
    <n v="1.4999999999999999E-2"/>
    <n v="0"/>
    <n v="0"/>
    <n v="0"/>
  </r>
  <r>
    <x v="3"/>
    <s v="T Nagar"/>
    <x v="4"/>
    <n v="4"/>
    <n v="621"/>
    <n v="9808"/>
    <n v="2"/>
    <n v="2016"/>
    <n v="2025"/>
    <s v="Builder Floor"/>
    <n v="1"/>
    <s v="East"/>
    <s v="No"/>
    <s v="Semi-Furnished"/>
    <n v="4"/>
    <n v="2"/>
    <s v="T Nagar Villa"/>
    <n v="1"/>
    <s v="No"/>
    <n v="5243000"/>
    <x v="2"/>
    <s v="BRK-04"/>
    <x v="3"/>
    <s v="Tier C"/>
    <n v="0.01"/>
    <n v="0"/>
    <n v="0"/>
    <n v="0"/>
  </r>
  <r>
    <x v="4"/>
    <s v="HSR Layout"/>
    <x v="2"/>
    <n v="2"/>
    <n v="4097"/>
    <n v="9439"/>
    <n v="2"/>
    <n v="1961"/>
    <n v="2024"/>
    <s v="Builder Floor"/>
    <n v="1"/>
    <s v="South"/>
    <s v="No"/>
    <s v="Semi-Furnished"/>
    <n v="5"/>
    <n v="3"/>
    <s v="HSR Layout Heights"/>
    <n v="1"/>
    <s v="No"/>
    <n v="37038000"/>
    <x v="2"/>
    <s v="BRK-04"/>
    <x v="3"/>
    <s v="Tier C"/>
    <n v="0.01"/>
    <n v="0"/>
    <n v="0"/>
    <n v="0"/>
  </r>
  <r>
    <x v="2"/>
    <s v="Hinjewadi"/>
    <x v="3"/>
    <n v="1"/>
    <n v="2348"/>
    <n v="5052"/>
    <n v="3"/>
    <n v="1970"/>
    <n v="2014"/>
    <s v="Builder Floor"/>
    <n v="0"/>
    <s v="North"/>
    <s v="No"/>
    <s v="Unfurnished"/>
    <n v="5"/>
    <n v="0"/>
    <s v="Hinjewadi Villa"/>
    <n v="1"/>
    <s v="No"/>
    <n v="20263000"/>
    <x v="0"/>
    <s v="BRK-05"/>
    <x v="4"/>
    <s v="Tier B"/>
    <n v="1.4999999999999999E-2"/>
    <n v="303945"/>
    <n v="607890"/>
    <n v="303945"/>
  </r>
  <r>
    <x v="2"/>
    <s v="Baner"/>
    <x v="2"/>
    <n v="2"/>
    <n v="3045"/>
    <n v="7727"/>
    <n v="3"/>
    <n v="1969"/>
    <n v="1978"/>
    <s v="Apartment"/>
    <n v="1"/>
    <s v="North"/>
    <s v="No"/>
    <s v="Semi-Furnished"/>
    <n v="4"/>
    <n v="5"/>
    <s v="Baner Villa"/>
    <n v="2"/>
    <s v="Yes"/>
    <n v="26132500"/>
    <x v="0"/>
    <s v="BRK-05"/>
    <x v="4"/>
    <s v="Tier B"/>
    <n v="1.4999999999999999E-2"/>
    <n v="391987.5"/>
    <n v="783975"/>
    <n v="391987.5"/>
  </r>
  <r>
    <x v="0"/>
    <s v="Bandra"/>
    <x v="4"/>
    <n v="1"/>
    <n v="2373"/>
    <n v="2523"/>
    <n v="2"/>
    <n v="2013"/>
    <n v="2025"/>
    <s v="Independent House"/>
    <n v="0"/>
    <s v="West"/>
    <s v="Yes"/>
    <s v="Furnished"/>
    <n v="9"/>
    <n v="5"/>
    <s v="Bandra Villa"/>
    <n v="3"/>
    <s v="No"/>
    <n v="28791000"/>
    <x v="1"/>
    <s v="BRK-03"/>
    <x v="1"/>
    <s v="Tier A"/>
    <n v="0.02"/>
    <n v="0"/>
    <n v="0"/>
    <n v="0"/>
  </r>
  <r>
    <x v="3"/>
    <s v="T Nagar"/>
    <x v="1"/>
    <n v="1"/>
    <n v="2304"/>
    <n v="9580"/>
    <n v="3"/>
    <n v="1985"/>
    <n v="2023"/>
    <s v="Apartment"/>
    <n v="0"/>
    <s v="South"/>
    <s v="Yes"/>
    <s v="Furnished"/>
    <n v="10"/>
    <n v="2"/>
    <s v="T Nagar Heights"/>
    <n v="1"/>
    <s v="Yes"/>
    <n v="18937000"/>
    <x v="1"/>
    <s v="BRK-04"/>
    <x v="3"/>
    <s v="Tier C"/>
    <n v="0.01"/>
    <n v="0"/>
    <n v="0"/>
    <n v="0"/>
  </r>
  <r>
    <x v="2"/>
    <s v="Aundh"/>
    <x v="0"/>
    <n v="3"/>
    <n v="1018"/>
    <n v="1871"/>
    <n v="1"/>
    <n v="2003"/>
    <n v="2007"/>
    <s v="Apartment"/>
    <n v="2"/>
    <s v="South"/>
    <s v="No"/>
    <s v="Unfurnished"/>
    <n v="9"/>
    <n v="2"/>
    <s v="Aundh Heights"/>
    <n v="0"/>
    <s v="No"/>
    <n v="8913000"/>
    <x v="2"/>
    <s v="BRK-01"/>
    <x v="2"/>
    <s v="Tier A"/>
    <n v="0.02"/>
    <n v="0"/>
    <n v="0"/>
    <n v="0"/>
  </r>
  <r>
    <x v="4"/>
    <s v="Indiranagar"/>
    <x v="3"/>
    <n v="1"/>
    <n v="3800"/>
    <n v="8359"/>
    <n v="1"/>
    <n v="1987"/>
    <n v="2016"/>
    <s v="Apartment"/>
    <n v="0"/>
    <s v="East"/>
    <s v="No"/>
    <s v="Unfurnished"/>
    <n v="6"/>
    <n v="4"/>
    <s v="Indiranagar Residency"/>
    <n v="1"/>
    <s v="Yes"/>
    <n v="34515000"/>
    <x v="1"/>
    <s v="BRK-05"/>
    <x v="4"/>
    <s v="Tier B"/>
    <n v="1.4999999999999999E-2"/>
    <n v="0"/>
    <n v="0"/>
    <n v="0"/>
  </r>
  <r>
    <x v="0"/>
    <s v="Powai"/>
    <x v="1"/>
    <n v="1"/>
    <n v="4262"/>
    <n v="9953"/>
    <n v="3"/>
    <n v="1986"/>
    <n v="2012"/>
    <s v="Villa"/>
    <n v="2"/>
    <s v="East"/>
    <s v="Yes"/>
    <s v="Unfurnished"/>
    <n v="9"/>
    <n v="3"/>
    <s v="Powai Villa"/>
    <n v="3"/>
    <s v="Yes"/>
    <n v="51604000"/>
    <x v="1"/>
    <s v="BRK-04"/>
    <x v="3"/>
    <s v="Tier C"/>
    <n v="0.01"/>
    <n v="0"/>
    <n v="0"/>
    <n v="0"/>
  </r>
  <r>
    <x v="2"/>
    <s v="Hinjewadi"/>
    <x v="0"/>
    <n v="2"/>
    <n v="312"/>
    <n v="2298"/>
    <n v="1"/>
    <n v="2009"/>
    <n v="2011"/>
    <s v="Apartment"/>
    <n v="3"/>
    <s v="West"/>
    <s v="Yes"/>
    <s v="Semi-Furnished"/>
    <n v="5"/>
    <n v="4"/>
    <s v="Hinjewadi Residency"/>
    <n v="0"/>
    <s v="Yes"/>
    <n v="2957000"/>
    <x v="0"/>
    <s v="BRK-02"/>
    <x v="0"/>
    <s v="Tier B"/>
    <n v="1.4999999999999999E-2"/>
    <n v="44355"/>
    <n v="88710"/>
    <n v="44355"/>
  </r>
  <r>
    <x v="4"/>
    <s v="Indiranagar"/>
    <x v="2"/>
    <n v="3"/>
    <n v="2759"/>
    <n v="6959"/>
    <n v="3"/>
    <n v="1991"/>
    <n v="0"/>
    <s v="Builder Floor"/>
    <n v="2"/>
    <s v="East"/>
    <s v="No"/>
    <s v="Unfurnished"/>
    <n v="9"/>
    <n v="4"/>
    <s v="Indiranagar Heights"/>
    <n v="1"/>
    <s v="Yes"/>
    <n v="25096000"/>
    <x v="0"/>
    <s v="BRK-01"/>
    <x v="2"/>
    <s v="Tier A"/>
    <n v="0.02"/>
    <n v="501920"/>
    <n v="752880"/>
    <n v="250960"/>
  </r>
  <r>
    <x v="4"/>
    <s v="Indiranagar"/>
    <x v="3"/>
    <n v="4"/>
    <n v="591"/>
    <n v="2865"/>
    <n v="2"/>
    <n v="1969"/>
    <n v="2008"/>
    <s v="Independent House"/>
    <n v="2"/>
    <s v="West"/>
    <s v="No"/>
    <s v="Unfurnished"/>
    <n v="0"/>
    <n v="4"/>
    <s v="Indiranagar Enclave"/>
    <n v="2"/>
    <s v="Yes"/>
    <n v="5759000"/>
    <x v="2"/>
    <s v="BRK-02"/>
    <x v="0"/>
    <s v="Tier B"/>
    <n v="1.4999999999999999E-2"/>
    <n v="0"/>
    <n v="0"/>
    <n v="0"/>
  </r>
  <r>
    <x v="1"/>
    <s v="Lajpat Nagar"/>
    <x v="0"/>
    <n v="3"/>
    <n v="842"/>
    <n v="3338"/>
    <n v="2"/>
    <n v="1953"/>
    <n v="1995"/>
    <s v="Independent House"/>
    <n v="1"/>
    <s v="West"/>
    <s v="Yes"/>
    <s v="Unfurnished"/>
    <n v="1"/>
    <n v="2"/>
    <s v="Lajpat Nagar Enclave"/>
    <n v="0"/>
    <s v="No"/>
    <n v="8725000"/>
    <x v="0"/>
    <s v="BRK-05"/>
    <x v="4"/>
    <s v="Tier B"/>
    <n v="1.4999999999999999E-2"/>
    <n v="130875"/>
    <n v="261750"/>
    <n v="130875"/>
  </r>
  <r>
    <x v="3"/>
    <s v="T Nagar"/>
    <x v="3"/>
    <n v="2"/>
    <n v="3344"/>
    <n v="7096"/>
    <n v="2"/>
    <n v="1977"/>
    <n v="2009"/>
    <s v="Villa"/>
    <n v="1"/>
    <s v="North"/>
    <s v="No"/>
    <s v="Furnished"/>
    <n v="3"/>
    <n v="0"/>
    <s v="T Nagar Villa"/>
    <n v="0"/>
    <s v="No"/>
    <n v="27127000"/>
    <x v="2"/>
    <s v="BRK-05"/>
    <x v="4"/>
    <s v="Tier B"/>
    <n v="1.4999999999999999E-2"/>
    <n v="0"/>
    <n v="0"/>
    <n v="0"/>
  </r>
  <r>
    <x v="2"/>
    <s v="Hinjewadi"/>
    <x v="4"/>
    <n v="3"/>
    <n v="4260"/>
    <n v="8599"/>
    <n v="2"/>
    <n v="1991"/>
    <n v="1999"/>
    <s v="Builder Floor"/>
    <n v="1"/>
    <s v="South"/>
    <s v="Yes"/>
    <s v="Semi-Furnished"/>
    <n v="6"/>
    <n v="5"/>
    <s v="Hinjewadi Heights"/>
    <n v="0"/>
    <s v="No"/>
    <n v="36465000"/>
    <x v="2"/>
    <s v="BRK-04"/>
    <x v="3"/>
    <s v="Tier C"/>
    <n v="0.01"/>
    <n v="0"/>
    <n v="0"/>
    <n v="0"/>
  </r>
  <r>
    <x v="0"/>
    <s v="Powai"/>
    <x v="2"/>
    <n v="3"/>
    <n v="4124"/>
    <n v="4551"/>
    <n v="1"/>
    <n v="2016"/>
    <n v="2025"/>
    <s v="Villa"/>
    <n v="0"/>
    <s v="East"/>
    <s v="Yes"/>
    <s v="Semi-Furnished"/>
    <n v="3"/>
    <n v="1"/>
    <s v="Powai Enclave"/>
    <n v="2"/>
    <s v="No"/>
    <n v="49703000"/>
    <x v="0"/>
    <s v="BRK-04"/>
    <x v="3"/>
    <s v="Tier C"/>
    <n v="0.01"/>
    <n v="497030"/>
    <n v="1491090"/>
    <n v="994060"/>
  </r>
  <r>
    <x v="3"/>
    <s v="T Nagar"/>
    <x v="0"/>
    <n v="2"/>
    <n v="1590"/>
    <n v="6123"/>
    <n v="1"/>
    <n v="1951"/>
    <n v="2021"/>
    <s v="Builder Floor"/>
    <n v="1"/>
    <s v="East"/>
    <s v="No"/>
    <s v="Semi-Furnished"/>
    <n v="2"/>
    <n v="5"/>
    <s v="T Nagar Enclave"/>
    <n v="1"/>
    <s v="Yes"/>
    <n v="13015000"/>
    <x v="0"/>
    <s v="BRK-05"/>
    <x v="4"/>
    <s v="Tier B"/>
    <n v="1.4999999999999999E-2"/>
    <n v="195225"/>
    <n v="390450"/>
    <n v="195225"/>
  </r>
  <r>
    <x v="0"/>
    <s v="Juhu"/>
    <x v="1"/>
    <n v="3"/>
    <n v="4728"/>
    <n v="8412"/>
    <n v="1"/>
    <n v="1966"/>
    <n v="1966"/>
    <s v="Independent House"/>
    <n v="0"/>
    <s v="North"/>
    <s v="No"/>
    <s v="Furnished"/>
    <n v="1"/>
    <n v="3"/>
    <s v="Juhu Villa"/>
    <n v="1"/>
    <s v="No"/>
    <n v="57186000"/>
    <x v="1"/>
    <s v="BRK-05"/>
    <x v="4"/>
    <s v="Tier B"/>
    <n v="1.4999999999999999E-2"/>
    <n v="0"/>
    <n v="0"/>
    <n v="0"/>
  </r>
  <r>
    <x v="2"/>
    <s v="Viman Nagar"/>
    <x v="0"/>
    <n v="3"/>
    <n v="1923"/>
    <n v="7813"/>
    <n v="3"/>
    <n v="2018"/>
    <n v="2018"/>
    <s v="Independent House"/>
    <n v="1"/>
    <s v="North"/>
    <s v="No"/>
    <s v="Furnished"/>
    <n v="7"/>
    <n v="2"/>
    <s v="Viman Nagar Villa"/>
    <n v="3"/>
    <s v="Yes"/>
    <n v="16815500"/>
    <x v="0"/>
    <s v="BRK-05"/>
    <x v="4"/>
    <s v="Tier B"/>
    <n v="1.4999999999999999E-2"/>
    <n v="252232.5"/>
    <n v="504465"/>
    <n v="252232.5"/>
  </r>
  <r>
    <x v="1"/>
    <s v="Rohini"/>
    <x v="1"/>
    <n v="3"/>
    <n v="3277"/>
    <n v="6538"/>
    <n v="1"/>
    <n v="1992"/>
    <n v="2011"/>
    <s v="Independent House"/>
    <n v="3"/>
    <s v="North"/>
    <s v="Yes"/>
    <s v="Semi-Furnished"/>
    <n v="1"/>
    <n v="2"/>
    <s v="Rohini Villa"/>
    <n v="3"/>
    <s v="Yes"/>
    <n v="33250000"/>
    <x v="2"/>
    <s v="BRK-03"/>
    <x v="1"/>
    <s v="Tier A"/>
    <n v="0.02"/>
    <n v="0"/>
    <n v="0"/>
    <n v="0"/>
  </r>
  <r>
    <x v="4"/>
    <s v="Indiranagar"/>
    <x v="1"/>
    <n v="2"/>
    <n v="4461"/>
    <n v="5354"/>
    <n v="2"/>
    <n v="1963"/>
    <n v="2003"/>
    <s v="Builder Floor"/>
    <n v="2"/>
    <s v="West"/>
    <s v="No"/>
    <s v="Unfurnished"/>
    <n v="6"/>
    <n v="1"/>
    <s v="Indiranagar Residency"/>
    <n v="1"/>
    <s v="No"/>
    <n v="40514000"/>
    <x v="0"/>
    <s v="BRK-05"/>
    <x v="4"/>
    <s v="Tier B"/>
    <n v="1.4999999999999999E-2"/>
    <n v="607710"/>
    <n v="1215420"/>
    <n v="607710"/>
  </r>
  <r>
    <x v="3"/>
    <s v="T Nagar"/>
    <x v="0"/>
    <n v="2"/>
    <n v="3831"/>
    <n v="7447"/>
    <n v="3"/>
    <n v="1993"/>
    <n v="2007"/>
    <s v="Apartment"/>
    <n v="0"/>
    <s v="West"/>
    <s v="Yes"/>
    <s v="Unfurnished"/>
    <n v="9"/>
    <n v="3"/>
    <s v="T Nagar Enclave"/>
    <n v="0"/>
    <s v="No"/>
    <n v="30943000"/>
    <x v="2"/>
    <s v="BRK-01"/>
    <x v="2"/>
    <s v="Tier A"/>
    <n v="0.02"/>
    <n v="0"/>
    <n v="0"/>
    <n v="0"/>
  </r>
  <r>
    <x v="1"/>
    <s v="Saket"/>
    <x v="3"/>
    <n v="1"/>
    <n v="1190"/>
    <n v="7448"/>
    <n v="2"/>
    <n v="2013"/>
    <n v="2022"/>
    <s v="Builder Floor"/>
    <n v="0"/>
    <s v="South"/>
    <s v="Yes"/>
    <s v="Unfurnished"/>
    <n v="10"/>
    <n v="0"/>
    <s v="Saket Residency"/>
    <n v="1"/>
    <s v="No"/>
    <n v="12210000"/>
    <x v="0"/>
    <s v="BRK-04"/>
    <x v="3"/>
    <s v="Tier C"/>
    <n v="0.01"/>
    <n v="122100"/>
    <n v="366300"/>
    <n v="244200"/>
  </r>
  <r>
    <x v="2"/>
    <s v="Viman Nagar"/>
    <x v="3"/>
    <n v="4"/>
    <n v="1902"/>
    <n v="3636"/>
    <n v="3"/>
    <n v="1990"/>
    <n v="2008"/>
    <s v="Villa"/>
    <n v="3"/>
    <s v="East"/>
    <s v="Yes"/>
    <s v="Unfurnished"/>
    <n v="0"/>
    <n v="4"/>
    <s v="Viman Nagar Villa"/>
    <n v="1"/>
    <s v="No"/>
    <n v="16587000"/>
    <x v="1"/>
    <s v="BRK-04"/>
    <x v="3"/>
    <s v="Tier C"/>
    <n v="0.01"/>
    <n v="0"/>
    <n v="0"/>
    <n v="0"/>
  </r>
  <r>
    <x v="0"/>
    <s v="Juhu"/>
    <x v="1"/>
    <n v="1"/>
    <n v="306"/>
    <n v="9531"/>
    <n v="2"/>
    <n v="1964"/>
    <n v="2018"/>
    <s v="Villa"/>
    <n v="0"/>
    <s v="South"/>
    <s v="No"/>
    <s v="Unfurnished"/>
    <n v="9"/>
    <n v="3"/>
    <s v="Juhu Enclave"/>
    <n v="3"/>
    <s v="No"/>
    <n v="4037000"/>
    <x v="1"/>
    <s v="BRK-03"/>
    <x v="1"/>
    <s v="Tier A"/>
    <n v="0.02"/>
    <n v="0"/>
    <n v="0"/>
    <n v="0"/>
  </r>
  <r>
    <x v="3"/>
    <s v="Anna Nagar"/>
    <x v="1"/>
    <n v="2"/>
    <n v="1720"/>
    <n v="9550"/>
    <n v="1"/>
    <n v="1974"/>
    <n v="2008"/>
    <s v="Independent House"/>
    <n v="2"/>
    <s v="West"/>
    <s v="Yes"/>
    <s v="Semi-Furnished"/>
    <n v="10"/>
    <n v="1"/>
    <s v="Anna Nagar Residency"/>
    <n v="0"/>
    <s v="Yes"/>
    <n v="14165000"/>
    <x v="2"/>
    <s v="BRK-05"/>
    <x v="4"/>
    <s v="Tier B"/>
    <n v="1.4999999999999999E-2"/>
    <n v="0"/>
    <n v="0"/>
    <n v="0"/>
  </r>
  <r>
    <x v="0"/>
    <s v="Bandra"/>
    <x v="3"/>
    <n v="4"/>
    <n v="1412"/>
    <n v="2849"/>
    <n v="1"/>
    <n v="2003"/>
    <n v="2016"/>
    <s v="Independent House"/>
    <n v="1"/>
    <s v="West"/>
    <s v="No"/>
    <s v="Unfurnished"/>
    <n v="7"/>
    <n v="3"/>
    <s v="Bandra Enclave"/>
    <n v="1"/>
    <s v="Yes"/>
    <n v="17349000"/>
    <x v="1"/>
    <s v="BRK-05"/>
    <x v="4"/>
    <s v="Tier B"/>
    <n v="1.4999999999999999E-2"/>
    <n v="0"/>
    <n v="0"/>
    <n v="0"/>
  </r>
  <r>
    <x v="3"/>
    <s v="Perambur"/>
    <x v="2"/>
    <n v="4"/>
    <n v="2239"/>
    <n v="8122"/>
    <n v="3"/>
    <n v="1984"/>
    <n v="2009"/>
    <s v="Villa"/>
    <n v="0"/>
    <s v="North"/>
    <s v="No"/>
    <s v="Unfurnished"/>
    <n v="5"/>
    <n v="0"/>
    <s v="Perambur Villa"/>
    <n v="0"/>
    <s v="Yes"/>
    <n v="18192000"/>
    <x v="1"/>
    <s v="BRK-05"/>
    <x v="4"/>
    <s v="Tier B"/>
    <n v="1.4999999999999999E-2"/>
    <n v="0"/>
    <n v="0"/>
    <n v="0"/>
  </r>
  <r>
    <x v="2"/>
    <s v="Viman Nagar"/>
    <x v="3"/>
    <n v="1"/>
    <n v="4587"/>
    <n v="9634"/>
    <n v="1"/>
    <n v="1981"/>
    <n v="2010"/>
    <s v="Builder Floor"/>
    <n v="2"/>
    <s v="North"/>
    <s v="No"/>
    <s v="Unfurnished"/>
    <n v="0"/>
    <n v="3"/>
    <s v="Viman Nagar Villa"/>
    <n v="3"/>
    <s v="No"/>
    <n v="39284500"/>
    <x v="1"/>
    <s v="BRK-01"/>
    <x v="2"/>
    <s v="Tier A"/>
    <n v="0.02"/>
    <n v="0"/>
    <n v="0"/>
    <n v="0"/>
  </r>
  <r>
    <x v="3"/>
    <s v="Adyar"/>
    <x v="0"/>
    <n v="3"/>
    <n v="1672"/>
    <n v="2300"/>
    <n v="3"/>
    <n v="1988"/>
    <n v="2023"/>
    <s v="Villa"/>
    <n v="0"/>
    <s v="West"/>
    <s v="Yes"/>
    <s v="Unfurnished"/>
    <n v="0"/>
    <n v="5"/>
    <s v="Adyar Enclave"/>
    <n v="0"/>
    <s v="No"/>
    <n v="13701000"/>
    <x v="0"/>
    <s v="BRK-01"/>
    <x v="2"/>
    <s v="Tier A"/>
    <n v="0.02"/>
    <n v="274020"/>
    <n v="411030"/>
    <n v="137010"/>
  </r>
  <r>
    <x v="3"/>
    <s v="T Nagar"/>
    <x v="4"/>
    <n v="1"/>
    <n v="2576"/>
    <n v="4690"/>
    <n v="1"/>
    <n v="1985"/>
    <n v="2001"/>
    <s v="Villa"/>
    <n v="0"/>
    <s v="North"/>
    <s v="Yes"/>
    <s v="Unfurnished"/>
    <n v="2"/>
    <n v="5"/>
    <s v="T Nagar Villa"/>
    <n v="2"/>
    <s v="Yes"/>
    <n v="20863000"/>
    <x v="1"/>
    <s v="BRK-04"/>
    <x v="3"/>
    <s v="Tier C"/>
    <n v="0.01"/>
    <n v="0"/>
    <n v="0"/>
    <n v="0"/>
  </r>
  <r>
    <x v="4"/>
    <s v="Koramangala"/>
    <x v="3"/>
    <n v="2"/>
    <n v="4620"/>
    <n v="4941"/>
    <n v="2"/>
    <n v="1960"/>
    <n v="1977"/>
    <s v="Apartment"/>
    <n v="3"/>
    <s v="West"/>
    <s v="No"/>
    <s v="Furnished"/>
    <n v="10"/>
    <n v="3"/>
    <s v="Koramangala Residency"/>
    <n v="1"/>
    <s v="No"/>
    <n v="41970000"/>
    <x v="1"/>
    <s v="BRK-05"/>
    <x v="4"/>
    <s v="Tier B"/>
    <n v="1.4999999999999999E-2"/>
    <n v="0"/>
    <n v="0"/>
    <n v="0"/>
  </r>
  <r>
    <x v="0"/>
    <s v="Juhu"/>
    <x v="2"/>
    <n v="1"/>
    <n v="1672"/>
    <n v="9324"/>
    <n v="2"/>
    <n v="2010"/>
    <n v="2018"/>
    <s v="Independent House"/>
    <n v="1"/>
    <s v="West"/>
    <s v="No"/>
    <s v="Semi-Furnished"/>
    <n v="4"/>
    <n v="1"/>
    <s v="Juhu Villa"/>
    <n v="0"/>
    <s v="No"/>
    <n v="20184000"/>
    <x v="0"/>
    <s v="BRK-03"/>
    <x v="1"/>
    <s v="Tier A"/>
    <n v="0.02"/>
    <n v="403680"/>
    <n v="605520"/>
    <n v="201840"/>
  </r>
  <r>
    <x v="3"/>
    <s v="Anna Nagar"/>
    <x v="0"/>
    <n v="1"/>
    <n v="1097"/>
    <n v="9851"/>
    <n v="3"/>
    <n v="1995"/>
    <n v="2021"/>
    <s v="Villa"/>
    <n v="2"/>
    <s v="East"/>
    <s v="No"/>
    <s v="Furnished"/>
    <n v="4"/>
    <n v="5"/>
    <s v="Anna Nagar Villa"/>
    <n v="3"/>
    <s v="Yes"/>
    <n v="9186000"/>
    <x v="1"/>
    <s v="BRK-04"/>
    <x v="3"/>
    <s v="Tier C"/>
    <n v="0.01"/>
    <n v="0"/>
    <n v="0"/>
    <n v="0"/>
  </r>
  <r>
    <x v="2"/>
    <s v="Hinjewadi"/>
    <x v="1"/>
    <n v="3"/>
    <n v="1773"/>
    <n v="4389"/>
    <n v="3"/>
    <n v="1951"/>
    <n v="1951"/>
    <s v="Builder Floor"/>
    <n v="0"/>
    <s v="West"/>
    <s v="Yes"/>
    <s v="Unfurnished"/>
    <n v="1"/>
    <n v="5"/>
    <s v="Hinjewadi Villa"/>
    <n v="2"/>
    <s v="Yes"/>
    <n v="15575500"/>
    <x v="2"/>
    <s v="BRK-03"/>
    <x v="1"/>
    <s v="Tier A"/>
    <n v="0.02"/>
    <n v="0"/>
    <n v="0"/>
    <n v="0"/>
  </r>
  <r>
    <x v="4"/>
    <s v="Indiranagar"/>
    <x v="4"/>
    <n v="1"/>
    <n v="494"/>
    <n v="2050"/>
    <n v="1"/>
    <n v="1977"/>
    <n v="2014"/>
    <s v="Builder Floor"/>
    <n v="0"/>
    <s v="North"/>
    <s v="Yes"/>
    <s v="Semi-Furnished"/>
    <n v="10"/>
    <n v="5"/>
    <s v="Indiranagar Residency"/>
    <n v="0"/>
    <s v="Yes"/>
    <n v="4671000"/>
    <x v="1"/>
    <s v="BRK-02"/>
    <x v="0"/>
    <s v="Tier B"/>
    <n v="1.4999999999999999E-2"/>
    <n v="0"/>
    <n v="0"/>
    <n v="0"/>
  </r>
  <r>
    <x v="4"/>
    <s v="Indiranagar"/>
    <x v="3"/>
    <n v="1"/>
    <n v="4014"/>
    <n v="6328"/>
    <n v="2"/>
    <n v="1991"/>
    <n v="2006"/>
    <s v="Apartment"/>
    <n v="0"/>
    <s v="East"/>
    <s v="Yes"/>
    <s v="Semi-Furnished"/>
    <n v="6"/>
    <n v="2"/>
    <s v="Indiranagar Heights"/>
    <n v="2"/>
    <s v="No"/>
    <n v="36451000"/>
    <x v="2"/>
    <s v="BRK-01"/>
    <x v="2"/>
    <s v="Tier A"/>
    <n v="0.02"/>
    <n v="0"/>
    <n v="0"/>
    <n v="0"/>
  </r>
  <r>
    <x v="1"/>
    <s v="Vasant Kunj"/>
    <x v="2"/>
    <n v="4"/>
    <n v="1943"/>
    <n v="6992"/>
    <n v="2"/>
    <n v="1972"/>
    <n v="2012"/>
    <s v="Independent House"/>
    <n v="0"/>
    <s v="South"/>
    <s v="No"/>
    <s v="Furnished"/>
    <n v="9"/>
    <n v="5"/>
    <s v="Vasant Kunj Heights"/>
    <n v="3"/>
    <s v="No"/>
    <n v="19760000"/>
    <x v="2"/>
    <s v="BRK-03"/>
    <x v="1"/>
    <s v="Tier A"/>
    <n v="0.02"/>
    <n v="0"/>
    <n v="0"/>
    <n v="0"/>
  </r>
  <r>
    <x v="0"/>
    <s v="Andheri"/>
    <x v="2"/>
    <n v="1"/>
    <n v="4980"/>
    <n v="7082"/>
    <n v="2"/>
    <n v="1952"/>
    <n v="2014"/>
    <s v="Apartment"/>
    <n v="0"/>
    <s v="North"/>
    <s v="No"/>
    <s v="Semi-Furnished"/>
    <n v="2"/>
    <n v="5"/>
    <s v="Andheri Enclave"/>
    <n v="3"/>
    <s v="Yes"/>
    <n v="59975000"/>
    <x v="1"/>
    <s v="BRK-03"/>
    <x v="1"/>
    <s v="Tier A"/>
    <n v="0.02"/>
    <n v="0"/>
    <n v="0"/>
    <n v="0"/>
  </r>
  <r>
    <x v="2"/>
    <s v="Baner"/>
    <x v="3"/>
    <n v="4"/>
    <n v="3608"/>
    <n v="9619"/>
    <n v="1"/>
    <n v="2019"/>
    <n v="2021"/>
    <s v="Builder Floor"/>
    <n v="3"/>
    <s v="West"/>
    <s v="Yes"/>
    <s v="Unfurnished"/>
    <n v="8"/>
    <n v="2"/>
    <s v="Baner Enclave"/>
    <n v="2"/>
    <s v="No"/>
    <n v="31063000"/>
    <x v="2"/>
    <s v="BRK-03"/>
    <x v="1"/>
    <s v="Tier A"/>
    <n v="0.02"/>
    <n v="0"/>
    <n v="0"/>
    <n v="0"/>
  </r>
  <r>
    <x v="0"/>
    <s v="Andheri"/>
    <x v="0"/>
    <n v="3"/>
    <n v="959"/>
    <n v="8539"/>
    <n v="2"/>
    <n v="1975"/>
    <n v="1985"/>
    <s v="Builder Floor"/>
    <n v="3"/>
    <s v="South"/>
    <s v="No"/>
    <s v="Unfurnished"/>
    <n v="6"/>
    <n v="0"/>
    <s v="Andheri Enclave"/>
    <n v="3"/>
    <s v="Yes"/>
    <n v="11883000"/>
    <x v="1"/>
    <s v="BRK-01"/>
    <x v="2"/>
    <s v="Tier A"/>
    <n v="0.02"/>
    <n v="0"/>
    <n v="0"/>
    <n v="0"/>
  </r>
  <r>
    <x v="3"/>
    <s v="Velachery"/>
    <x v="4"/>
    <n v="1"/>
    <n v="1881"/>
    <n v="2138"/>
    <n v="3"/>
    <n v="2025"/>
    <n v="0"/>
    <s v="Independent House"/>
    <n v="3"/>
    <s v="North"/>
    <s v="No"/>
    <s v="Semi-Furnished"/>
    <n v="8"/>
    <n v="3"/>
    <s v="Velachery Heights"/>
    <n v="0"/>
    <s v="No"/>
    <n v="15238000"/>
    <x v="2"/>
    <s v="BRK-03"/>
    <x v="1"/>
    <s v="Tier A"/>
    <n v="0.02"/>
    <n v="0"/>
    <n v="0"/>
    <n v="0"/>
  </r>
  <r>
    <x v="0"/>
    <s v="Juhu"/>
    <x v="2"/>
    <n v="4"/>
    <n v="1268"/>
    <n v="4786"/>
    <n v="3"/>
    <n v="2016"/>
    <n v="2022"/>
    <s v="Apartment"/>
    <n v="1"/>
    <s v="North"/>
    <s v="Yes"/>
    <s v="Unfurnished"/>
    <n v="2"/>
    <n v="3"/>
    <s v="Juhu Heights"/>
    <n v="3"/>
    <s v="Yes"/>
    <n v="15566000"/>
    <x v="0"/>
    <s v="BRK-01"/>
    <x v="2"/>
    <s v="Tier A"/>
    <n v="0.02"/>
    <n v="311320"/>
    <n v="466980"/>
    <n v="155660"/>
  </r>
  <r>
    <x v="1"/>
    <s v="Rohini"/>
    <x v="2"/>
    <n v="2"/>
    <n v="709"/>
    <n v="5794"/>
    <n v="1"/>
    <n v="2008"/>
    <n v="2012"/>
    <s v="Builder Floor"/>
    <n v="0"/>
    <s v="North"/>
    <s v="No"/>
    <s v="Unfurnished"/>
    <n v="9"/>
    <n v="1"/>
    <s v="Rohini Heights"/>
    <n v="1"/>
    <s v="No"/>
    <n v="7235000"/>
    <x v="2"/>
    <s v="BRK-05"/>
    <x v="4"/>
    <s v="Tier B"/>
    <n v="1.4999999999999999E-2"/>
    <n v="0"/>
    <n v="0"/>
    <n v="0"/>
  </r>
  <r>
    <x v="4"/>
    <s v="MG Road"/>
    <x v="0"/>
    <n v="1"/>
    <n v="4771"/>
    <n v="5946"/>
    <n v="2"/>
    <n v="1977"/>
    <n v="2024"/>
    <s v="Builder Floor"/>
    <n v="1"/>
    <s v="East"/>
    <s v="Yes"/>
    <s v="Furnished"/>
    <n v="4"/>
    <n v="1"/>
    <s v="MG Road Villa"/>
    <n v="1"/>
    <s v="No"/>
    <n v="43274000"/>
    <x v="2"/>
    <s v="BRK-05"/>
    <x v="4"/>
    <s v="Tier B"/>
    <n v="1.4999999999999999E-2"/>
    <n v="0"/>
    <n v="0"/>
    <n v="0"/>
  </r>
  <r>
    <x v="2"/>
    <s v="Hinjewadi"/>
    <x v="3"/>
    <n v="2"/>
    <n v="633"/>
    <n v="2868"/>
    <n v="1"/>
    <n v="1998"/>
    <n v="2021"/>
    <s v="Apartment"/>
    <n v="0"/>
    <s v="West"/>
    <s v="Yes"/>
    <s v="Furnished"/>
    <n v="0"/>
    <n v="1"/>
    <s v="Hinjewadi Heights"/>
    <n v="2"/>
    <s v="No"/>
    <n v="5790500"/>
    <x v="1"/>
    <s v="BRK-04"/>
    <x v="3"/>
    <s v="Tier C"/>
    <n v="0.01"/>
    <n v="0"/>
    <n v="0"/>
    <n v="0"/>
  </r>
  <r>
    <x v="3"/>
    <s v="Velachery"/>
    <x v="4"/>
    <n v="2"/>
    <n v="2519"/>
    <n v="6854"/>
    <n v="2"/>
    <n v="2002"/>
    <n v="2008"/>
    <s v="Apartment"/>
    <n v="0"/>
    <s v="South"/>
    <s v="No"/>
    <s v="Unfurnished"/>
    <n v="1"/>
    <n v="5"/>
    <s v="Velachery Enclave"/>
    <n v="2"/>
    <s v="No"/>
    <n v="20382000"/>
    <x v="0"/>
    <s v="BRK-05"/>
    <x v="4"/>
    <s v="Tier B"/>
    <n v="1.4999999999999999E-2"/>
    <n v="305730"/>
    <n v="611460"/>
    <n v="305730"/>
  </r>
  <r>
    <x v="0"/>
    <s v="Powai"/>
    <x v="4"/>
    <n v="2"/>
    <n v="1262"/>
    <n v="9998"/>
    <n v="1"/>
    <n v="1996"/>
    <n v="2022"/>
    <s v="Apartment"/>
    <n v="3"/>
    <s v="South"/>
    <s v="No"/>
    <s v="Furnished"/>
    <n v="3"/>
    <n v="0"/>
    <s v="Powai Residency"/>
    <n v="3"/>
    <s v="No"/>
    <n v="15444000"/>
    <x v="1"/>
    <s v="BRK-04"/>
    <x v="3"/>
    <s v="Tier C"/>
    <n v="0.01"/>
    <n v="0"/>
    <n v="0"/>
    <n v="0"/>
  </r>
  <r>
    <x v="1"/>
    <s v="Rohini"/>
    <x v="2"/>
    <n v="1"/>
    <n v="3283"/>
    <n v="5668"/>
    <n v="1"/>
    <n v="2005"/>
    <n v="2012"/>
    <s v="Villa"/>
    <n v="3"/>
    <s v="North"/>
    <s v="Yes"/>
    <s v="Unfurnished"/>
    <n v="0"/>
    <n v="4"/>
    <s v="Rohini Residency"/>
    <n v="1"/>
    <s v="Yes"/>
    <n v="33020000"/>
    <x v="1"/>
    <s v="BRK-02"/>
    <x v="0"/>
    <s v="Tier B"/>
    <n v="1.4999999999999999E-2"/>
    <n v="0"/>
    <n v="0"/>
    <n v="0"/>
  </r>
  <r>
    <x v="3"/>
    <s v="Perambur"/>
    <x v="2"/>
    <n v="1"/>
    <n v="2227"/>
    <n v="8186"/>
    <n v="2"/>
    <n v="2025"/>
    <n v="2025"/>
    <s v="Independent House"/>
    <n v="1"/>
    <s v="East"/>
    <s v="Yes"/>
    <s v="Furnished"/>
    <n v="5"/>
    <n v="1"/>
    <s v="Perambur Heights"/>
    <n v="1"/>
    <s v="No"/>
    <n v="18051000"/>
    <x v="0"/>
    <s v="BRK-04"/>
    <x v="3"/>
    <s v="Tier C"/>
    <n v="0.01"/>
    <n v="180510"/>
    <n v="541530"/>
    <n v="361020"/>
  </r>
  <r>
    <x v="1"/>
    <s v="Vasant Kunj"/>
    <x v="4"/>
    <n v="1"/>
    <n v="4158"/>
    <n v="9001"/>
    <n v="2"/>
    <n v="1956"/>
    <n v="2010"/>
    <s v="Apartment"/>
    <n v="1"/>
    <s v="West"/>
    <s v="Yes"/>
    <s v="Semi-Furnished"/>
    <n v="5"/>
    <n v="1"/>
    <s v="Vasant Kunj Villa"/>
    <n v="1"/>
    <s v="No"/>
    <n v="41790000"/>
    <x v="1"/>
    <s v="BRK-01"/>
    <x v="2"/>
    <s v="Tier A"/>
    <n v="0.02"/>
    <n v="0"/>
    <n v="0"/>
    <n v="0"/>
  </r>
  <r>
    <x v="4"/>
    <s v="Koramangala"/>
    <x v="0"/>
    <n v="2"/>
    <n v="562"/>
    <n v="9929"/>
    <n v="1"/>
    <n v="1985"/>
    <n v="1992"/>
    <s v="Builder Floor"/>
    <n v="3"/>
    <s v="West"/>
    <s v="No"/>
    <s v="Furnished"/>
    <n v="5"/>
    <n v="1"/>
    <s v="Koramangala Enclave"/>
    <n v="1"/>
    <s v="Yes"/>
    <n v="5428000"/>
    <x v="2"/>
    <s v="BRK-01"/>
    <x v="2"/>
    <s v="Tier A"/>
    <n v="0.02"/>
    <n v="0"/>
    <n v="0"/>
    <n v="0"/>
  </r>
  <r>
    <x v="2"/>
    <s v="Aundh"/>
    <x v="4"/>
    <n v="1"/>
    <n v="3672"/>
    <n v="7996"/>
    <n v="2"/>
    <n v="1977"/>
    <n v="2013"/>
    <s v="Independent House"/>
    <n v="3"/>
    <s v="East"/>
    <s v="Yes"/>
    <s v="Unfurnished"/>
    <n v="6"/>
    <n v="5"/>
    <s v="Aundh Residency"/>
    <n v="1"/>
    <s v="No"/>
    <n v="31422000"/>
    <x v="1"/>
    <s v="BRK-03"/>
    <x v="1"/>
    <s v="Tier A"/>
    <n v="0.02"/>
    <n v="0"/>
    <n v="0"/>
    <n v="0"/>
  </r>
  <r>
    <x v="3"/>
    <s v="Perambur"/>
    <x v="4"/>
    <n v="2"/>
    <n v="4999"/>
    <n v="5090"/>
    <n v="2"/>
    <n v="1955"/>
    <n v="1959"/>
    <s v="Independent House"/>
    <n v="0"/>
    <s v="West"/>
    <s v="No"/>
    <s v="Semi-Furnished"/>
    <n v="1"/>
    <n v="3"/>
    <s v="Perambur Villa"/>
    <n v="1"/>
    <s v="Yes"/>
    <n v="40257000"/>
    <x v="2"/>
    <s v="BRK-02"/>
    <x v="0"/>
    <s v="Tier B"/>
    <n v="1.4999999999999999E-2"/>
    <n v="0"/>
    <n v="0"/>
    <n v="0"/>
  </r>
  <r>
    <x v="2"/>
    <s v="Kothrud"/>
    <x v="3"/>
    <n v="2"/>
    <n v="1387"/>
    <n v="7309"/>
    <n v="2"/>
    <n v="1980"/>
    <n v="2020"/>
    <s v="Builder Floor"/>
    <n v="0"/>
    <s v="West"/>
    <s v="No"/>
    <s v="Furnished"/>
    <n v="7"/>
    <n v="4"/>
    <s v="Kothrud Heights"/>
    <n v="3"/>
    <s v="No"/>
    <n v="12209500"/>
    <x v="1"/>
    <s v="BRK-02"/>
    <x v="0"/>
    <s v="Tier B"/>
    <n v="1.4999999999999999E-2"/>
    <n v="0"/>
    <n v="0"/>
    <n v="0"/>
  </r>
  <r>
    <x v="1"/>
    <s v="Vasant Kunj"/>
    <x v="4"/>
    <n v="3"/>
    <n v="4103"/>
    <n v="9919"/>
    <n v="3"/>
    <n v="1950"/>
    <n v="1958"/>
    <s v="Independent House"/>
    <n v="2"/>
    <s v="North"/>
    <s v="No"/>
    <s v="Semi-Furnished"/>
    <n v="4"/>
    <n v="5"/>
    <s v="Vasant Kunj Residency"/>
    <n v="0"/>
    <s v="No"/>
    <n v="41280000"/>
    <x v="2"/>
    <s v="BRK-02"/>
    <x v="0"/>
    <s v="Tier B"/>
    <n v="1.4999999999999999E-2"/>
    <n v="0"/>
    <n v="0"/>
    <n v="0"/>
  </r>
  <r>
    <x v="0"/>
    <s v="Powai"/>
    <x v="0"/>
    <n v="1"/>
    <n v="1209"/>
    <n v="7533"/>
    <n v="2"/>
    <n v="2009"/>
    <n v="2009"/>
    <s v="Villa"/>
    <n v="2"/>
    <s v="South"/>
    <s v="Yes"/>
    <s v="Unfurnished"/>
    <n v="3"/>
    <n v="1"/>
    <s v="Powai Enclave"/>
    <n v="1"/>
    <s v="Yes"/>
    <n v="14818000"/>
    <x v="2"/>
    <s v="BRK-04"/>
    <x v="3"/>
    <s v="Tier C"/>
    <n v="0.01"/>
    <n v="0"/>
    <n v="0"/>
    <n v="0"/>
  </r>
  <r>
    <x v="3"/>
    <s v="Perambur"/>
    <x v="4"/>
    <n v="2"/>
    <n v="2925"/>
    <n v="5864"/>
    <n v="2"/>
    <n v="2014"/>
    <n v="2023"/>
    <s v="Independent House"/>
    <n v="2"/>
    <s v="North"/>
    <s v="Yes"/>
    <s v="Semi-Furnished"/>
    <n v="5"/>
    <n v="3"/>
    <s v="Perambur Villa"/>
    <n v="0"/>
    <s v="No"/>
    <n v="23625000"/>
    <x v="2"/>
    <s v="BRK-02"/>
    <x v="0"/>
    <s v="Tier B"/>
    <n v="1.4999999999999999E-2"/>
    <n v="0"/>
    <n v="0"/>
    <n v="0"/>
  </r>
  <r>
    <x v="2"/>
    <s v="Aundh"/>
    <x v="0"/>
    <n v="4"/>
    <n v="3315"/>
    <n v="9917"/>
    <n v="3"/>
    <n v="1958"/>
    <n v="1981"/>
    <s v="Independent House"/>
    <n v="0"/>
    <s v="North"/>
    <s v="No"/>
    <s v="Furnished"/>
    <n v="4"/>
    <n v="0"/>
    <s v="Aundh Heights"/>
    <n v="1"/>
    <s v="No"/>
    <n v="28597500"/>
    <x v="2"/>
    <s v="BRK-05"/>
    <x v="4"/>
    <s v="Tier B"/>
    <n v="1.4999999999999999E-2"/>
    <n v="0"/>
    <n v="0"/>
    <n v="0"/>
  </r>
  <r>
    <x v="0"/>
    <s v="Bandra"/>
    <x v="3"/>
    <n v="2"/>
    <n v="1973"/>
    <n v="6288"/>
    <n v="3"/>
    <n v="1952"/>
    <n v="1988"/>
    <s v="Independent House"/>
    <n v="1"/>
    <s v="West"/>
    <s v="No"/>
    <s v="Semi-Furnished"/>
    <n v="7"/>
    <n v="5"/>
    <s v="Bandra Heights"/>
    <n v="2"/>
    <s v="Yes"/>
    <n v="24076000"/>
    <x v="2"/>
    <s v="BRK-01"/>
    <x v="2"/>
    <s v="Tier A"/>
    <n v="0.02"/>
    <n v="0"/>
    <n v="0"/>
    <n v="0"/>
  </r>
  <r>
    <x v="0"/>
    <s v="Andheri"/>
    <x v="4"/>
    <n v="3"/>
    <n v="3672"/>
    <n v="8462"/>
    <n v="2"/>
    <n v="1991"/>
    <n v="2021"/>
    <s v="Independent House"/>
    <n v="3"/>
    <s v="East"/>
    <s v="Yes"/>
    <s v="Semi-Furnished"/>
    <n v="2"/>
    <n v="2"/>
    <s v="Andheri Residency"/>
    <n v="3"/>
    <s v="No"/>
    <n v="44364000"/>
    <x v="0"/>
    <s v="BRK-04"/>
    <x v="3"/>
    <s v="Tier C"/>
    <n v="0.01"/>
    <n v="443640"/>
    <n v="1330920"/>
    <n v="887280"/>
  </r>
  <r>
    <x v="4"/>
    <s v="Whitefield"/>
    <x v="4"/>
    <n v="3"/>
    <n v="2629"/>
    <n v="6413"/>
    <n v="1"/>
    <n v="1970"/>
    <n v="2014"/>
    <s v="Villa"/>
    <n v="1"/>
    <s v="South"/>
    <s v="Yes"/>
    <s v="Furnished"/>
    <n v="3"/>
    <n v="0"/>
    <s v="Whitefield Heights"/>
    <n v="2"/>
    <s v="Yes"/>
    <n v="24051000"/>
    <x v="1"/>
    <s v="BRK-03"/>
    <x v="1"/>
    <s v="Tier A"/>
    <n v="0.02"/>
    <n v="0"/>
    <n v="0"/>
    <n v="0"/>
  </r>
  <r>
    <x v="3"/>
    <s v="Adyar"/>
    <x v="0"/>
    <n v="2"/>
    <n v="1980"/>
    <n v="6637"/>
    <n v="3"/>
    <n v="1954"/>
    <n v="1993"/>
    <s v="Villa"/>
    <n v="1"/>
    <s v="East"/>
    <s v="No"/>
    <s v="Unfurnished"/>
    <n v="2"/>
    <n v="4"/>
    <s v="Adyar Enclave"/>
    <n v="0"/>
    <s v="Yes"/>
    <n v="16160000"/>
    <x v="1"/>
    <s v="BRK-04"/>
    <x v="3"/>
    <s v="Tier C"/>
    <n v="0.01"/>
    <n v="0"/>
    <n v="0"/>
    <n v="0"/>
  </r>
  <r>
    <x v="3"/>
    <s v="Anna Nagar"/>
    <x v="4"/>
    <n v="4"/>
    <n v="2923"/>
    <n v="4251"/>
    <n v="1"/>
    <n v="2019"/>
    <n v="2023"/>
    <s v="Villa"/>
    <n v="3"/>
    <s v="East"/>
    <s v="Yes"/>
    <s v="Unfurnished"/>
    <n v="7"/>
    <n v="2"/>
    <s v="Anna Nagar Heights"/>
    <n v="3"/>
    <s v="Yes"/>
    <n v="23744000"/>
    <x v="1"/>
    <s v="BRK-01"/>
    <x v="2"/>
    <s v="Tier A"/>
    <n v="0.02"/>
    <n v="0"/>
    <n v="0"/>
    <n v="0"/>
  </r>
  <r>
    <x v="1"/>
    <s v="Lajpat Nagar"/>
    <x v="2"/>
    <n v="3"/>
    <n v="503"/>
    <n v="7133"/>
    <n v="3"/>
    <n v="1978"/>
    <n v="2005"/>
    <s v="Villa"/>
    <n v="0"/>
    <s v="East"/>
    <s v="Yes"/>
    <s v="Unfurnished"/>
    <n v="10"/>
    <n v="1"/>
    <s v="Lajpat Nagar Residency"/>
    <n v="2"/>
    <s v="Yes"/>
    <n v="5335000"/>
    <x v="0"/>
    <s v="BRK-03"/>
    <x v="1"/>
    <s v="Tier A"/>
    <n v="0.02"/>
    <n v="106700"/>
    <n v="160050"/>
    <n v="53350"/>
  </r>
  <r>
    <x v="0"/>
    <s v="Andheri"/>
    <x v="1"/>
    <n v="4"/>
    <n v="1015"/>
    <n v="9450"/>
    <n v="2"/>
    <n v="1974"/>
    <n v="2004"/>
    <s v="Villa"/>
    <n v="0"/>
    <s v="East"/>
    <s v="No"/>
    <s v="Furnished"/>
    <n v="6"/>
    <n v="2"/>
    <s v="Andheri Villa"/>
    <n v="2"/>
    <s v="Yes"/>
    <n v="12745000"/>
    <x v="0"/>
    <s v="BRK-01"/>
    <x v="2"/>
    <s v="Tier A"/>
    <n v="0.02"/>
    <n v="254900"/>
    <n v="382350"/>
    <n v="127450"/>
  </r>
  <r>
    <x v="4"/>
    <s v="Indiranagar"/>
    <x v="0"/>
    <n v="3"/>
    <n v="3950"/>
    <n v="8595"/>
    <n v="1"/>
    <n v="1977"/>
    <n v="2022"/>
    <s v="Independent House"/>
    <n v="3"/>
    <s v="West"/>
    <s v="No"/>
    <s v="Furnished"/>
    <n v="6"/>
    <n v="5"/>
    <s v="Indiranagar Villa"/>
    <n v="1"/>
    <s v="Yes"/>
    <n v="35950000"/>
    <x v="0"/>
    <s v="BRK-03"/>
    <x v="1"/>
    <s v="Tier A"/>
    <n v="0.02"/>
    <n v="719000"/>
    <n v="1078500"/>
    <n v="359500"/>
  </r>
  <r>
    <x v="1"/>
    <s v="Rohini"/>
    <x v="0"/>
    <n v="4"/>
    <n v="4603"/>
    <n v="7400"/>
    <n v="1"/>
    <n v="2025"/>
    <n v="2025"/>
    <s v="Builder Floor"/>
    <n v="0"/>
    <s v="West"/>
    <s v="No"/>
    <s v="Semi-Furnished"/>
    <n v="2"/>
    <n v="4"/>
    <s v="Rohini Villa"/>
    <n v="1"/>
    <s v="Yes"/>
    <n v="46385000"/>
    <x v="1"/>
    <s v="BRK-02"/>
    <x v="0"/>
    <s v="Tier B"/>
    <n v="1.4999999999999999E-2"/>
    <n v="0"/>
    <n v="0"/>
    <n v="0"/>
  </r>
  <r>
    <x v="1"/>
    <s v="Vasant Kunj"/>
    <x v="0"/>
    <n v="4"/>
    <n v="645"/>
    <n v="5642"/>
    <n v="3"/>
    <n v="1988"/>
    <n v="2018"/>
    <s v="Independent House"/>
    <n v="1"/>
    <s v="North"/>
    <s v="Yes"/>
    <s v="Furnished"/>
    <n v="4"/>
    <n v="2"/>
    <s v="Vasant Kunj Villa"/>
    <n v="0"/>
    <s v="No"/>
    <n v="6880000"/>
    <x v="1"/>
    <s v="BRK-02"/>
    <x v="0"/>
    <s v="Tier B"/>
    <n v="1.4999999999999999E-2"/>
    <n v="0"/>
    <n v="0"/>
    <n v="0"/>
  </r>
  <r>
    <x v="3"/>
    <s v="Velachery"/>
    <x v="3"/>
    <n v="2"/>
    <n v="533"/>
    <n v="2538"/>
    <n v="2"/>
    <n v="2013"/>
    <n v="2013"/>
    <s v="Villa"/>
    <n v="3"/>
    <s v="West"/>
    <s v="No"/>
    <s v="Unfurnished"/>
    <n v="10"/>
    <n v="3"/>
    <s v="Velachery Heights"/>
    <n v="2"/>
    <s v="Yes"/>
    <n v="4644000"/>
    <x v="0"/>
    <s v="BRK-01"/>
    <x v="2"/>
    <s v="Tier A"/>
    <n v="0.02"/>
    <n v="92880"/>
    <n v="139320"/>
    <n v="46440"/>
  </r>
  <r>
    <x v="4"/>
    <s v="Koramangala"/>
    <x v="1"/>
    <n v="1"/>
    <n v="1497"/>
    <n v="6784"/>
    <n v="2"/>
    <n v="1967"/>
    <n v="1988"/>
    <s v="Apartment"/>
    <n v="0"/>
    <s v="East"/>
    <s v="No"/>
    <s v="Semi-Furnished"/>
    <n v="10"/>
    <n v="2"/>
    <s v="Koramangala Heights"/>
    <n v="2"/>
    <s v="No"/>
    <n v="13823000"/>
    <x v="0"/>
    <s v="BRK-02"/>
    <x v="0"/>
    <s v="Tier B"/>
    <n v="1.4999999999999999E-2"/>
    <n v="207345"/>
    <n v="414690"/>
    <n v="207345"/>
  </r>
  <r>
    <x v="2"/>
    <s v="Kothrud"/>
    <x v="1"/>
    <n v="2"/>
    <n v="1801"/>
    <n v="8115"/>
    <n v="1"/>
    <n v="1971"/>
    <n v="2004"/>
    <s v="Villa"/>
    <n v="2"/>
    <s v="East"/>
    <s v="No"/>
    <s v="Unfurnished"/>
    <n v="5"/>
    <n v="0"/>
    <s v="Kothrud Enclave"/>
    <n v="1"/>
    <s v="Yes"/>
    <n v="15703500"/>
    <x v="0"/>
    <s v="BRK-03"/>
    <x v="1"/>
    <s v="Tier A"/>
    <n v="0.02"/>
    <n v="314070"/>
    <n v="471105"/>
    <n v="157035"/>
  </r>
  <r>
    <x v="1"/>
    <s v="Lajpat Nagar"/>
    <x v="0"/>
    <n v="3"/>
    <n v="4272"/>
    <n v="7697"/>
    <n v="2"/>
    <n v="1970"/>
    <n v="1975"/>
    <s v="Apartment"/>
    <n v="1"/>
    <s v="South"/>
    <s v="Yes"/>
    <s v="Unfurnished"/>
    <n v="9"/>
    <n v="5"/>
    <s v="Lajpat Nagar Heights"/>
    <n v="3"/>
    <s v="No"/>
    <n v="43070000"/>
    <x v="2"/>
    <s v="BRK-03"/>
    <x v="1"/>
    <s v="Tier A"/>
    <n v="0.02"/>
    <n v="0"/>
    <n v="0"/>
    <n v="0"/>
  </r>
  <r>
    <x v="0"/>
    <s v="Andheri"/>
    <x v="4"/>
    <n v="1"/>
    <n v="4228"/>
    <n v="7130"/>
    <n v="2"/>
    <n v="1996"/>
    <n v="1999"/>
    <s v="Independent House"/>
    <n v="2"/>
    <s v="South"/>
    <s v="No"/>
    <s v="Furnished"/>
    <n v="1"/>
    <n v="1"/>
    <s v="Andheri Residency"/>
    <n v="1"/>
    <s v="Yes"/>
    <n v="51046000"/>
    <x v="2"/>
    <s v="BRK-03"/>
    <x v="1"/>
    <s v="Tier A"/>
    <n v="0.02"/>
    <n v="0"/>
    <n v="0"/>
    <n v="0"/>
  </r>
  <r>
    <x v="4"/>
    <s v="Koramangala"/>
    <x v="4"/>
    <n v="2"/>
    <n v="943"/>
    <n v="7953"/>
    <n v="3"/>
    <n v="1964"/>
    <n v="1967"/>
    <s v="Builder Floor"/>
    <n v="3"/>
    <s v="West"/>
    <s v="Yes"/>
    <s v="Furnished"/>
    <n v="1"/>
    <n v="0"/>
    <s v="Koramangala Heights"/>
    <n v="3"/>
    <s v="Yes"/>
    <n v="8902000"/>
    <x v="1"/>
    <s v="BRK-03"/>
    <x v="1"/>
    <s v="Tier A"/>
    <n v="0.02"/>
    <n v="0"/>
    <n v="0"/>
    <n v="0"/>
  </r>
  <r>
    <x v="4"/>
    <s v="Whitefield"/>
    <x v="2"/>
    <n v="3"/>
    <n v="384"/>
    <n v="2015"/>
    <n v="1"/>
    <n v="1976"/>
    <n v="2012"/>
    <s v="Apartment"/>
    <n v="1"/>
    <s v="East"/>
    <s v="Yes"/>
    <s v="Furnished"/>
    <n v="2"/>
    <n v="5"/>
    <s v="Whitefield Enclave"/>
    <n v="2"/>
    <s v="No"/>
    <n v="3746000"/>
    <x v="2"/>
    <s v="BRK-03"/>
    <x v="1"/>
    <s v="Tier A"/>
    <n v="0.02"/>
    <n v="0"/>
    <n v="0"/>
    <n v="0"/>
  </r>
  <r>
    <x v="1"/>
    <s v="Lajpat Nagar"/>
    <x v="1"/>
    <n v="2"/>
    <n v="4436"/>
    <n v="9157"/>
    <n v="1"/>
    <n v="1962"/>
    <n v="1962"/>
    <s v="Apartment"/>
    <n v="1"/>
    <s v="East"/>
    <s v="Yes"/>
    <s v="Unfurnished"/>
    <n v="0"/>
    <n v="5"/>
    <s v="Lajpat Nagar Heights"/>
    <n v="1"/>
    <s v="No"/>
    <n v="44730000"/>
    <x v="2"/>
    <s v="BRK-01"/>
    <x v="2"/>
    <s v="Tier A"/>
    <n v="0.02"/>
    <n v="0"/>
    <n v="0"/>
    <n v="0"/>
  </r>
  <r>
    <x v="4"/>
    <s v="HSR Layout"/>
    <x v="4"/>
    <n v="4"/>
    <n v="1179"/>
    <n v="4192"/>
    <n v="2"/>
    <n v="1998"/>
    <n v="2010"/>
    <s v="Apartment"/>
    <n v="1"/>
    <s v="West"/>
    <s v="Yes"/>
    <s v="Semi-Furnished"/>
    <n v="1"/>
    <n v="3"/>
    <s v="HSR Layout Heights"/>
    <n v="1"/>
    <s v="No"/>
    <n v="10911000"/>
    <x v="2"/>
    <s v="BRK-05"/>
    <x v="4"/>
    <s v="Tier B"/>
    <n v="1.4999999999999999E-2"/>
    <n v="0"/>
    <n v="0"/>
    <n v="0"/>
  </r>
  <r>
    <x v="4"/>
    <s v="Indiranagar"/>
    <x v="1"/>
    <n v="1"/>
    <n v="973"/>
    <n v="6398"/>
    <n v="2"/>
    <n v="1964"/>
    <n v="1987"/>
    <s v="Villa"/>
    <n v="3"/>
    <s v="East"/>
    <s v="No"/>
    <s v="Furnished"/>
    <n v="8"/>
    <n v="3"/>
    <s v="Indiranagar Enclave"/>
    <n v="3"/>
    <s v="Yes"/>
    <n v="9247000"/>
    <x v="1"/>
    <s v="BRK-02"/>
    <x v="0"/>
    <s v="Tier B"/>
    <n v="1.4999999999999999E-2"/>
    <n v="0"/>
    <n v="0"/>
    <n v="0"/>
  </r>
  <r>
    <x v="0"/>
    <s v="Borivali"/>
    <x v="0"/>
    <n v="2"/>
    <n v="404"/>
    <n v="8509"/>
    <n v="3"/>
    <n v="1963"/>
    <n v="2012"/>
    <s v="Independent House"/>
    <n v="0"/>
    <s v="North"/>
    <s v="Yes"/>
    <s v="Semi-Furnished"/>
    <n v="6"/>
    <n v="5"/>
    <s v="Borivali Heights"/>
    <n v="1"/>
    <s v="Yes"/>
    <n v="5208000"/>
    <x v="0"/>
    <s v="BRK-03"/>
    <x v="1"/>
    <s v="Tier A"/>
    <n v="0.02"/>
    <n v="104160"/>
    <n v="156240"/>
    <n v="52080"/>
  </r>
  <r>
    <x v="4"/>
    <s v="Koramangala"/>
    <x v="0"/>
    <n v="2"/>
    <n v="3611"/>
    <n v="4666"/>
    <n v="1"/>
    <n v="2004"/>
    <n v="2018"/>
    <s v="Villa"/>
    <n v="2"/>
    <s v="West"/>
    <s v="No"/>
    <s v="Semi-Furnished"/>
    <n v="10"/>
    <n v="4"/>
    <s v="Koramangala Villa"/>
    <n v="3"/>
    <s v="No"/>
    <n v="32774000"/>
    <x v="2"/>
    <s v="BRK-03"/>
    <x v="1"/>
    <s v="Tier A"/>
    <n v="0.02"/>
    <n v="0"/>
    <n v="0"/>
    <n v="0"/>
  </r>
  <r>
    <x v="1"/>
    <s v="Vasant Kunj"/>
    <x v="2"/>
    <n v="1"/>
    <n v="2353"/>
    <n v="6411"/>
    <n v="2"/>
    <n v="1979"/>
    <n v="2018"/>
    <s v="Apartment"/>
    <n v="0"/>
    <s v="North"/>
    <s v="Yes"/>
    <s v="Furnished"/>
    <n v="7"/>
    <n v="5"/>
    <s v="Vasant Kunj Heights"/>
    <n v="1"/>
    <s v="No"/>
    <n v="23765000"/>
    <x v="0"/>
    <s v="BRK-02"/>
    <x v="0"/>
    <s v="Tier B"/>
    <n v="1.4999999999999999E-2"/>
    <n v="356475"/>
    <n v="712950"/>
    <n v="356475"/>
  </r>
  <r>
    <x v="2"/>
    <s v="Viman Nagar"/>
    <x v="4"/>
    <n v="3"/>
    <n v="1089"/>
    <n v="2392"/>
    <n v="3"/>
    <n v="2016"/>
    <n v="2022"/>
    <s v="Independent House"/>
    <n v="1"/>
    <s v="East"/>
    <s v="No"/>
    <s v="Semi-Furnished"/>
    <n v="8"/>
    <n v="2"/>
    <s v="Viman Nagar Enclave"/>
    <n v="0"/>
    <s v="Yes"/>
    <n v="9556500"/>
    <x v="1"/>
    <s v="BRK-03"/>
    <x v="1"/>
    <s v="Tier A"/>
    <n v="0.02"/>
    <n v="0"/>
    <n v="0"/>
    <n v="0"/>
  </r>
  <r>
    <x v="3"/>
    <s v="T Nagar"/>
    <x v="3"/>
    <n v="4"/>
    <n v="2876"/>
    <n v="9912"/>
    <n v="2"/>
    <n v="2006"/>
    <n v="2019"/>
    <s v="Builder Floor"/>
    <n v="0"/>
    <s v="South"/>
    <s v="No"/>
    <s v="Unfurnished"/>
    <n v="2"/>
    <n v="3"/>
    <s v="T Nagar Villa"/>
    <n v="1"/>
    <s v="No"/>
    <n v="23383000"/>
    <x v="2"/>
    <s v="BRK-02"/>
    <x v="0"/>
    <s v="Tier B"/>
    <n v="1.4999999999999999E-2"/>
    <n v="0"/>
    <n v="0"/>
    <n v="0"/>
  </r>
  <r>
    <x v="3"/>
    <s v="Anna Nagar"/>
    <x v="2"/>
    <n v="4"/>
    <n v="4836"/>
    <n v="9304"/>
    <n v="3"/>
    <n v="2010"/>
    <n v="2024"/>
    <s v="Apartment"/>
    <n v="0"/>
    <s v="West"/>
    <s v="No"/>
    <s v="Semi-Furnished"/>
    <n v="9"/>
    <n v="3"/>
    <s v="Anna Nagar Enclave"/>
    <n v="2"/>
    <s v="No"/>
    <n v="38948000"/>
    <x v="1"/>
    <s v="BRK-05"/>
    <x v="4"/>
    <s v="Tier B"/>
    <n v="1.4999999999999999E-2"/>
    <n v="0"/>
    <n v="0"/>
    <n v="0"/>
  </r>
  <r>
    <x v="0"/>
    <s v="Andheri"/>
    <x v="1"/>
    <n v="1"/>
    <n v="1350"/>
    <n v="7403"/>
    <n v="2"/>
    <n v="2024"/>
    <n v="0"/>
    <s v="Villa"/>
    <n v="3"/>
    <s v="North"/>
    <s v="No"/>
    <s v="Semi-Furnished"/>
    <n v="5"/>
    <n v="3"/>
    <s v="Andheri Enclave"/>
    <n v="0"/>
    <s v="Yes"/>
    <n v="16570000"/>
    <x v="0"/>
    <s v="BRK-05"/>
    <x v="4"/>
    <s v="Tier B"/>
    <n v="1.4999999999999999E-2"/>
    <n v="248550"/>
    <n v="497100"/>
    <n v="248550"/>
  </r>
  <r>
    <x v="1"/>
    <s v="Rohini"/>
    <x v="0"/>
    <n v="1"/>
    <n v="836"/>
    <n v="5881"/>
    <n v="1"/>
    <n v="1993"/>
    <n v="2002"/>
    <s v="Builder Floor"/>
    <n v="2"/>
    <s v="North"/>
    <s v="No"/>
    <s v="Unfurnished"/>
    <n v="6"/>
    <n v="4"/>
    <s v="Rohini Villa"/>
    <n v="2"/>
    <s v="Yes"/>
    <n v="8640000"/>
    <x v="2"/>
    <s v="BRK-05"/>
    <x v="4"/>
    <s v="Tier B"/>
    <n v="1.4999999999999999E-2"/>
    <n v="0"/>
    <n v="0"/>
    <n v="0"/>
  </r>
  <r>
    <x v="3"/>
    <s v="Perambur"/>
    <x v="2"/>
    <n v="3"/>
    <n v="3394"/>
    <n v="8116"/>
    <n v="2"/>
    <n v="1991"/>
    <n v="1996"/>
    <s v="Independent House"/>
    <n v="0"/>
    <s v="South"/>
    <s v="No"/>
    <s v="Semi-Furnished"/>
    <n v="8"/>
    <n v="5"/>
    <s v="Perambur Enclave"/>
    <n v="1"/>
    <s v="No"/>
    <n v="27347000"/>
    <x v="2"/>
    <s v="BRK-04"/>
    <x v="3"/>
    <s v="Tier C"/>
    <n v="0.01"/>
    <n v="0"/>
    <n v="0"/>
    <n v="0"/>
  </r>
  <r>
    <x v="4"/>
    <s v="MG Road"/>
    <x v="4"/>
    <n v="4"/>
    <n v="917"/>
    <n v="9746"/>
    <n v="1"/>
    <n v="1986"/>
    <n v="2001"/>
    <s v="Builder Floor"/>
    <n v="2"/>
    <s v="West"/>
    <s v="Yes"/>
    <s v="Unfurnished"/>
    <n v="1"/>
    <n v="5"/>
    <s v="MG Road Heights"/>
    <n v="2"/>
    <s v="No"/>
    <n v="8548000"/>
    <x v="2"/>
    <s v="BRK-04"/>
    <x v="3"/>
    <s v="Tier C"/>
    <n v="0.01"/>
    <n v="0"/>
    <n v="0"/>
    <n v="0"/>
  </r>
  <r>
    <x v="0"/>
    <s v="Powai"/>
    <x v="1"/>
    <n v="4"/>
    <n v="3798"/>
    <n v="5566"/>
    <n v="2"/>
    <n v="1959"/>
    <n v="1996"/>
    <s v="Villa"/>
    <n v="3"/>
    <s v="East"/>
    <s v="Yes"/>
    <s v="Semi-Furnished"/>
    <n v="6"/>
    <n v="2"/>
    <s v="Powai Villa"/>
    <n v="1"/>
    <s v="Yes"/>
    <n v="46076000"/>
    <x v="1"/>
    <s v="BRK-01"/>
    <x v="2"/>
    <s v="Tier A"/>
    <n v="0.02"/>
    <n v="0"/>
    <n v="0"/>
    <n v="0"/>
  </r>
  <r>
    <x v="2"/>
    <s v="Hinjewadi"/>
    <x v="1"/>
    <n v="4"/>
    <n v="2044"/>
    <n v="7507"/>
    <n v="3"/>
    <n v="2009"/>
    <n v="2016"/>
    <s v="Independent House"/>
    <n v="0"/>
    <s v="South"/>
    <s v="No"/>
    <s v="Semi-Furnished"/>
    <n v="2"/>
    <n v="1"/>
    <s v="Hinjewadi Residency"/>
    <n v="2"/>
    <s v="No"/>
    <n v="17834000"/>
    <x v="0"/>
    <s v="BRK-05"/>
    <x v="4"/>
    <s v="Tier B"/>
    <n v="1.4999999999999999E-2"/>
    <n v="267510"/>
    <n v="535020"/>
    <n v="267510"/>
  </r>
  <r>
    <x v="3"/>
    <s v="Adyar"/>
    <x v="2"/>
    <n v="2"/>
    <n v="3678"/>
    <n v="5914"/>
    <n v="2"/>
    <n v="1970"/>
    <n v="1985"/>
    <s v="Apartment"/>
    <n v="3"/>
    <s v="South"/>
    <s v="Yes"/>
    <s v="Furnished"/>
    <n v="3"/>
    <n v="0"/>
    <s v="Adyar Residency"/>
    <n v="2"/>
    <s v="No"/>
    <n v="29704000"/>
    <x v="0"/>
    <s v="BRK-01"/>
    <x v="2"/>
    <s v="Tier A"/>
    <n v="0.02"/>
    <n v="594080"/>
    <n v="891120"/>
    <n v="297040"/>
  </r>
  <r>
    <x v="3"/>
    <s v="Perambur"/>
    <x v="3"/>
    <n v="4"/>
    <n v="603"/>
    <n v="3962"/>
    <n v="1"/>
    <n v="1984"/>
    <n v="1991"/>
    <s v="Builder Floor"/>
    <n v="2"/>
    <s v="East"/>
    <s v="Yes"/>
    <s v="Unfurnished"/>
    <n v="0"/>
    <n v="5"/>
    <s v="Perambur Villa"/>
    <n v="0"/>
    <s v="Yes"/>
    <n v="5239000"/>
    <x v="2"/>
    <s v="BRK-01"/>
    <x v="2"/>
    <s v="Tier A"/>
    <n v="0.02"/>
    <n v="0"/>
    <n v="0"/>
    <n v="0"/>
  </r>
  <r>
    <x v="0"/>
    <s v="Juhu"/>
    <x v="1"/>
    <n v="3"/>
    <n v="820"/>
    <n v="7538"/>
    <n v="2"/>
    <n v="1961"/>
    <n v="2010"/>
    <s v="Apartment"/>
    <n v="1"/>
    <s v="North"/>
    <s v="Yes"/>
    <s v="Unfurnished"/>
    <n v="10"/>
    <n v="4"/>
    <s v="Juhu Enclave"/>
    <n v="3"/>
    <s v="Yes"/>
    <n v="10340000"/>
    <x v="1"/>
    <s v="BRK-01"/>
    <x v="2"/>
    <s v="Tier A"/>
    <n v="0.02"/>
    <n v="0"/>
    <n v="0"/>
    <n v="0"/>
  </r>
  <r>
    <x v="1"/>
    <s v="Lajpat Nagar"/>
    <x v="2"/>
    <n v="3"/>
    <n v="2997"/>
    <n v="9865"/>
    <n v="3"/>
    <n v="1999"/>
    <n v="2023"/>
    <s v="Apartment"/>
    <n v="3"/>
    <s v="South"/>
    <s v="Yes"/>
    <s v="Furnished"/>
    <n v="2"/>
    <n v="1"/>
    <s v="Lajpat Nagar Enclave"/>
    <n v="3"/>
    <s v="No"/>
    <n v="30315000"/>
    <x v="1"/>
    <s v="BRK-02"/>
    <x v="0"/>
    <s v="Tier B"/>
    <n v="1.4999999999999999E-2"/>
    <n v="0"/>
    <n v="0"/>
    <n v="0"/>
  </r>
  <r>
    <x v="4"/>
    <s v="HSR Layout"/>
    <x v="2"/>
    <n v="4"/>
    <n v="4670"/>
    <n v="7789"/>
    <n v="3"/>
    <n v="1964"/>
    <n v="1983"/>
    <s v="Independent House"/>
    <n v="3"/>
    <s v="South"/>
    <s v="No"/>
    <s v="Furnished"/>
    <n v="5"/>
    <n v="3"/>
    <s v="HSR Layout Enclave"/>
    <n v="2"/>
    <s v="Yes"/>
    <n v="42415000"/>
    <x v="2"/>
    <s v="BRK-02"/>
    <x v="0"/>
    <s v="Tier B"/>
    <n v="1.4999999999999999E-2"/>
    <n v="0"/>
    <n v="0"/>
    <n v="0"/>
  </r>
  <r>
    <x v="2"/>
    <s v="Kothrud"/>
    <x v="2"/>
    <n v="2"/>
    <n v="2372"/>
    <n v="6949"/>
    <n v="2"/>
    <n v="1989"/>
    <n v="2011"/>
    <s v="Builder Floor"/>
    <n v="1"/>
    <s v="West"/>
    <s v="No"/>
    <s v="Furnished"/>
    <n v="6"/>
    <n v="2"/>
    <s v="Kothrud Enclave"/>
    <n v="0"/>
    <s v="Yes"/>
    <n v="20437000"/>
    <x v="0"/>
    <s v="BRK-02"/>
    <x v="0"/>
    <s v="Tier B"/>
    <n v="1.4999999999999999E-2"/>
    <n v="306555"/>
    <n v="613110"/>
    <n v="306555"/>
  </r>
  <r>
    <x v="4"/>
    <s v="Koramangala"/>
    <x v="4"/>
    <n v="4"/>
    <n v="2898"/>
    <n v="9601"/>
    <n v="3"/>
    <n v="2002"/>
    <n v="2002"/>
    <s v="Villa"/>
    <n v="0"/>
    <s v="West"/>
    <s v="No"/>
    <s v="Unfurnished"/>
    <n v="6"/>
    <n v="2"/>
    <s v="Koramangala Villa"/>
    <n v="0"/>
    <s v="Yes"/>
    <n v="26412000"/>
    <x v="2"/>
    <s v="BRK-05"/>
    <x v="4"/>
    <s v="Tier B"/>
    <n v="1.4999999999999999E-2"/>
    <n v="0"/>
    <n v="0"/>
    <n v="0"/>
  </r>
  <r>
    <x v="4"/>
    <s v="HSR Layout"/>
    <x v="2"/>
    <n v="3"/>
    <n v="3747"/>
    <n v="8729"/>
    <n v="3"/>
    <n v="2020"/>
    <n v="2024"/>
    <s v="Villa"/>
    <n v="3"/>
    <s v="North"/>
    <s v="Yes"/>
    <s v="Unfurnished"/>
    <n v="10"/>
    <n v="1"/>
    <s v="HSR Layout Villa"/>
    <n v="1"/>
    <s v="Yes"/>
    <n v="34013000"/>
    <x v="1"/>
    <s v="BRK-05"/>
    <x v="4"/>
    <s v="Tier B"/>
    <n v="1.4999999999999999E-2"/>
    <n v="0"/>
    <n v="0"/>
    <n v="0"/>
  </r>
  <r>
    <x v="3"/>
    <s v="Velachery"/>
    <x v="0"/>
    <n v="3"/>
    <n v="973"/>
    <n v="2838"/>
    <n v="1"/>
    <n v="1981"/>
    <n v="2013"/>
    <s v="Apartment"/>
    <n v="3"/>
    <s v="East"/>
    <s v="No"/>
    <s v="Semi-Furnished"/>
    <n v="2"/>
    <n v="2"/>
    <s v="Velachery Residency"/>
    <n v="2"/>
    <s v="No"/>
    <n v="8074000"/>
    <x v="0"/>
    <s v="BRK-01"/>
    <x v="2"/>
    <s v="Tier A"/>
    <n v="0.02"/>
    <n v="161480"/>
    <n v="242220"/>
    <n v="80740"/>
  </r>
  <r>
    <x v="1"/>
    <s v="Dwarka"/>
    <x v="3"/>
    <n v="3"/>
    <n v="1790"/>
    <n v="5063"/>
    <n v="2"/>
    <n v="2023"/>
    <n v="2023"/>
    <s v="Builder Floor"/>
    <n v="0"/>
    <s v="South"/>
    <s v="Yes"/>
    <s v="Semi-Furnished"/>
    <n v="3"/>
    <n v="2"/>
    <s v="Dwarka Residency"/>
    <n v="0"/>
    <s v="No"/>
    <n v="18255000"/>
    <x v="0"/>
    <s v="BRK-02"/>
    <x v="0"/>
    <s v="Tier B"/>
    <n v="1.4999999999999999E-2"/>
    <n v="273825"/>
    <n v="547650"/>
    <n v="273825"/>
  </r>
  <r>
    <x v="2"/>
    <s v="Baner"/>
    <x v="1"/>
    <n v="3"/>
    <n v="1522"/>
    <n v="3031"/>
    <n v="2"/>
    <n v="1971"/>
    <n v="2006"/>
    <s v="Builder Floor"/>
    <n v="0"/>
    <s v="West"/>
    <s v="No"/>
    <s v="Unfurnished"/>
    <n v="7"/>
    <n v="0"/>
    <s v="Baner Residency"/>
    <n v="1"/>
    <s v="Yes"/>
    <n v="13382000"/>
    <x v="0"/>
    <s v="BRK-03"/>
    <x v="1"/>
    <s v="Tier A"/>
    <n v="0.02"/>
    <n v="267640"/>
    <n v="401460"/>
    <n v="133820"/>
  </r>
  <r>
    <x v="4"/>
    <s v="Indiranagar"/>
    <x v="3"/>
    <n v="4"/>
    <n v="1366"/>
    <n v="8482"/>
    <n v="1"/>
    <n v="1977"/>
    <n v="1994"/>
    <s v="Apartment"/>
    <n v="3"/>
    <s v="South"/>
    <s v="No"/>
    <s v="Furnished"/>
    <n v="0"/>
    <n v="2"/>
    <s v="Indiranagar Enclave"/>
    <n v="1"/>
    <s v="No"/>
    <n v="12724000"/>
    <x v="0"/>
    <s v="BRK-02"/>
    <x v="0"/>
    <s v="Tier B"/>
    <n v="1.4999999999999999E-2"/>
    <n v="190860"/>
    <n v="381720"/>
    <n v="190860"/>
  </r>
  <r>
    <x v="1"/>
    <s v="Saket"/>
    <x v="1"/>
    <n v="4"/>
    <n v="1002"/>
    <n v="1221"/>
    <n v="2"/>
    <n v="1967"/>
    <n v="2021"/>
    <s v="Villa"/>
    <n v="3"/>
    <s v="South"/>
    <s v="No"/>
    <s v="Unfurnished"/>
    <n v="6"/>
    <n v="5"/>
    <s v="Saket Enclave"/>
    <n v="0"/>
    <s v="Yes"/>
    <n v="10480000"/>
    <x v="2"/>
    <s v="BRK-05"/>
    <x v="4"/>
    <s v="Tier B"/>
    <n v="1.4999999999999999E-2"/>
    <n v="0"/>
    <n v="0"/>
    <n v="0"/>
  </r>
  <r>
    <x v="2"/>
    <s v="Kothrud"/>
    <x v="2"/>
    <n v="3"/>
    <n v="2223"/>
    <n v="6130"/>
    <n v="2"/>
    <n v="1955"/>
    <n v="0"/>
    <s v="Villa"/>
    <n v="3"/>
    <s v="East"/>
    <s v="No"/>
    <s v="Unfurnished"/>
    <n v="5"/>
    <n v="1"/>
    <s v="Kothrud Heights"/>
    <n v="1"/>
    <s v="No"/>
    <n v="19090500"/>
    <x v="0"/>
    <s v="BRK-02"/>
    <x v="0"/>
    <s v="Tier B"/>
    <n v="1.4999999999999999E-2"/>
    <n v="286357.5"/>
    <n v="572715"/>
    <n v="286357.5"/>
  </r>
  <r>
    <x v="1"/>
    <s v="Lajpat Nagar"/>
    <x v="3"/>
    <n v="3"/>
    <n v="4134"/>
    <n v="5264"/>
    <n v="1"/>
    <n v="1990"/>
    <n v="2022"/>
    <s v="Independent House"/>
    <n v="1"/>
    <s v="East"/>
    <s v="Yes"/>
    <s v="Semi-Furnished"/>
    <n v="0"/>
    <n v="1"/>
    <s v="Lajpat Nagar Villa"/>
    <n v="2"/>
    <s v="No"/>
    <n v="41705000"/>
    <x v="0"/>
    <s v="BRK-01"/>
    <x v="2"/>
    <s v="Tier A"/>
    <n v="0.02"/>
    <n v="834100"/>
    <n v="1251150"/>
    <n v="417050"/>
  </r>
  <r>
    <x v="3"/>
    <s v="Adyar"/>
    <x v="0"/>
    <n v="3"/>
    <n v="4535"/>
    <n v="7149"/>
    <n v="2"/>
    <n v="1971"/>
    <n v="1990"/>
    <s v="Independent House"/>
    <n v="1"/>
    <s v="West"/>
    <s v="Yes"/>
    <s v="Furnished"/>
    <n v="2"/>
    <n v="0"/>
    <s v="Adyar Residency"/>
    <n v="1"/>
    <s v="Yes"/>
    <n v="36725000"/>
    <x v="1"/>
    <s v="BRK-01"/>
    <x v="2"/>
    <s v="Tier A"/>
    <n v="0.02"/>
    <n v="0"/>
    <n v="0"/>
    <n v="0"/>
  </r>
  <r>
    <x v="3"/>
    <s v="Adyar"/>
    <x v="4"/>
    <n v="4"/>
    <n v="3875"/>
    <n v="4875"/>
    <n v="2"/>
    <n v="1955"/>
    <n v="2010"/>
    <s v="Villa"/>
    <n v="3"/>
    <s v="West"/>
    <s v="No"/>
    <s v="Furnished"/>
    <n v="2"/>
    <n v="0"/>
    <s v="Adyar Enclave"/>
    <n v="0"/>
    <s v="Yes"/>
    <n v="31385000"/>
    <x v="1"/>
    <s v="BRK-02"/>
    <x v="0"/>
    <s v="Tier B"/>
    <n v="1.4999999999999999E-2"/>
    <n v="0"/>
    <n v="0"/>
    <n v="0"/>
  </r>
  <r>
    <x v="4"/>
    <s v="Koramangala"/>
    <x v="4"/>
    <n v="3"/>
    <n v="4914"/>
    <n v="9761"/>
    <n v="1"/>
    <n v="2024"/>
    <n v="0"/>
    <s v="Apartment"/>
    <n v="3"/>
    <s v="North"/>
    <s v="Yes"/>
    <s v="Semi-Furnished"/>
    <n v="10"/>
    <n v="0"/>
    <s v="Koramangala Enclave"/>
    <n v="0"/>
    <s v="No"/>
    <n v="44461000"/>
    <x v="2"/>
    <s v="BRK-03"/>
    <x v="1"/>
    <s v="Tier A"/>
    <n v="0.02"/>
    <n v="0"/>
    <n v="0"/>
    <n v="0"/>
  </r>
  <r>
    <x v="0"/>
    <s v="Borivali"/>
    <x v="0"/>
    <n v="1"/>
    <n v="2950"/>
    <n v="4259"/>
    <n v="1"/>
    <n v="1960"/>
    <n v="2017"/>
    <s v="Independent House"/>
    <n v="3"/>
    <s v="East"/>
    <s v="Yes"/>
    <s v="Semi-Furnished"/>
    <n v="0"/>
    <n v="5"/>
    <s v="Borivali Villa"/>
    <n v="2"/>
    <s v="Yes"/>
    <n v="35705000"/>
    <x v="1"/>
    <s v="BRK-04"/>
    <x v="3"/>
    <s v="Tier C"/>
    <n v="0.01"/>
    <n v="0"/>
    <n v="0"/>
    <n v="0"/>
  </r>
  <r>
    <x v="1"/>
    <s v="Dwarka"/>
    <x v="0"/>
    <n v="3"/>
    <n v="754"/>
    <n v="1962"/>
    <n v="3"/>
    <n v="1998"/>
    <n v="1999"/>
    <s v="Independent House"/>
    <n v="2"/>
    <s v="South"/>
    <s v="Yes"/>
    <s v="Semi-Furnished"/>
    <n v="1"/>
    <n v="0"/>
    <s v="Dwarka Residency"/>
    <n v="1"/>
    <s v="No"/>
    <n v="7880000"/>
    <x v="0"/>
    <s v="BRK-01"/>
    <x v="2"/>
    <s v="Tier A"/>
    <n v="0.02"/>
    <n v="157600"/>
    <n v="236400"/>
    <n v="78800"/>
  </r>
  <r>
    <x v="3"/>
    <s v="Adyar"/>
    <x v="4"/>
    <n v="1"/>
    <n v="2745"/>
    <n v="6816"/>
    <n v="2"/>
    <n v="1989"/>
    <n v="1996"/>
    <s v="Villa"/>
    <n v="0"/>
    <s v="East"/>
    <s v="Yes"/>
    <s v="Semi-Furnished"/>
    <n v="7"/>
    <n v="3"/>
    <s v="Adyar Villa"/>
    <n v="2"/>
    <s v="No"/>
    <n v="22185000"/>
    <x v="1"/>
    <s v="BRK-01"/>
    <x v="2"/>
    <s v="Tier A"/>
    <n v="0.02"/>
    <n v="0"/>
    <n v="0"/>
    <n v="0"/>
  </r>
  <r>
    <x v="0"/>
    <s v="Borivali"/>
    <x v="0"/>
    <n v="2"/>
    <n v="3856"/>
    <n v="9072"/>
    <n v="2"/>
    <n v="1961"/>
    <n v="1965"/>
    <s v="Villa"/>
    <n v="3"/>
    <s v="South"/>
    <s v="Yes"/>
    <s v="Semi-Furnished"/>
    <n v="8"/>
    <n v="5"/>
    <s v="Borivali Heights"/>
    <n v="2"/>
    <s v="No"/>
    <n v="46577000"/>
    <x v="1"/>
    <s v="BRK-04"/>
    <x v="3"/>
    <s v="Tier C"/>
    <n v="0.01"/>
    <n v="0"/>
    <n v="0"/>
    <n v="0"/>
  </r>
  <r>
    <x v="3"/>
    <s v="T Nagar"/>
    <x v="3"/>
    <n v="3"/>
    <n v="1517"/>
    <n v="3660"/>
    <n v="3"/>
    <n v="1988"/>
    <n v="2002"/>
    <s v="Independent House"/>
    <n v="2"/>
    <s v="North"/>
    <s v="Yes"/>
    <s v="Furnished"/>
    <n v="8"/>
    <n v="0"/>
    <s v="T Nagar Villa"/>
    <n v="3"/>
    <s v="Yes"/>
    <n v="12681000"/>
    <x v="2"/>
    <s v="BRK-03"/>
    <x v="1"/>
    <s v="Tier A"/>
    <n v="0.02"/>
    <n v="0"/>
    <n v="0"/>
    <n v="0"/>
  </r>
  <r>
    <x v="3"/>
    <s v="Perambur"/>
    <x v="0"/>
    <n v="3"/>
    <n v="2387"/>
    <n v="7233"/>
    <n v="1"/>
    <n v="2014"/>
    <n v="0"/>
    <s v="Builder Floor"/>
    <n v="3"/>
    <s v="South"/>
    <s v="Yes"/>
    <s v="Semi-Furnished"/>
    <n v="0"/>
    <n v="0"/>
    <s v="Perambur Villa"/>
    <n v="2"/>
    <s v="No"/>
    <n v="19411000"/>
    <x v="0"/>
    <s v="BRK-05"/>
    <x v="4"/>
    <s v="Tier B"/>
    <n v="1.4999999999999999E-2"/>
    <n v="291165"/>
    <n v="582330"/>
    <n v="291165"/>
  </r>
  <r>
    <x v="2"/>
    <s v="Baner"/>
    <x v="3"/>
    <n v="3"/>
    <n v="3096"/>
    <n v="9781"/>
    <n v="1"/>
    <n v="1977"/>
    <n v="1987"/>
    <s v="Builder Floor"/>
    <n v="2"/>
    <s v="North"/>
    <s v="No"/>
    <s v="Unfurnished"/>
    <n v="0"/>
    <n v="0"/>
    <s v="Baner Villa"/>
    <n v="0"/>
    <s v="Yes"/>
    <n v="26676000"/>
    <x v="2"/>
    <s v="BRK-02"/>
    <x v="0"/>
    <s v="Tier B"/>
    <n v="1.4999999999999999E-2"/>
    <n v="0"/>
    <n v="0"/>
    <n v="0"/>
  </r>
  <r>
    <x v="1"/>
    <s v="Vasant Kunj"/>
    <x v="3"/>
    <n v="4"/>
    <n v="4287"/>
    <n v="6817"/>
    <n v="3"/>
    <n v="1996"/>
    <n v="2017"/>
    <s v="Independent House"/>
    <n v="2"/>
    <s v="North"/>
    <s v="Yes"/>
    <s v="Furnished"/>
    <n v="0"/>
    <n v="1"/>
    <s v="Vasant Kunj Heights"/>
    <n v="0"/>
    <s v="Yes"/>
    <n v="43400000"/>
    <x v="2"/>
    <s v="BRK-03"/>
    <x v="1"/>
    <s v="Tier A"/>
    <n v="0.02"/>
    <n v="0"/>
    <n v="0"/>
    <n v="0"/>
  </r>
  <r>
    <x v="0"/>
    <s v="Bandra"/>
    <x v="3"/>
    <n v="2"/>
    <n v="2280"/>
    <n v="5899"/>
    <n v="3"/>
    <n v="2018"/>
    <n v="2020"/>
    <s v="Builder Floor"/>
    <n v="2"/>
    <s v="West"/>
    <s v="Yes"/>
    <s v="Semi-Furnished"/>
    <n v="6"/>
    <n v="0"/>
    <s v="Bandra Heights"/>
    <n v="1"/>
    <s v="Yes"/>
    <n v="27770000"/>
    <x v="2"/>
    <s v="BRK-02"/>
    <x v="0"/>
    <s v="Tier B"/>
    <n v="1.4999999999999999E-2"/>
    <n v="0"/>
    <n v="0"/>
    <n v="0"/>
  </r>
  <r>
    <x v="3"/>
    <s v="Anna Nagar"/>
    <x v="3"/>
    <n v="1"/>
    <n v="3982"/>
    <n v="8826"/>
    <n v="1"/>
    <n v="1975"/>
    <n v="1992"/>
    <s v="Independent House"/>
    <n v="0"/>
    <s v="East"/>
    <s v="Yes"/>
    <s v="Furnished"/>
    <n v="10"/>
    <n v="5"/>
    <s v="Anna Nagar Villa"/>
    <n v="3"/>
    <s v="No"/>
    <n v="32251000"/>
    <x v="2"/>
    <s v="BRK-04"/>
    <x v="3"/>
    <s v="Tier C"/>
    <n v="0.01"/>
    <n v="0"/>
    <n v="0"/>
    <n v="0"/>
  </r>
  <r>
    <x v="2"/>
    <s v="Aundh"/>
    <x v="1"/>
    <n v="3"/>
    <n v="603"/>
    <n v="8640"/>
    <n v="2"/>
    <n v="2012"/>
    <n v="2019"/>
    <s v="Independent House"/>
    <n v="1"/>
    <s v="North"/>
    <s v="Yes"/>
    <s v="Semi-Furnished"/>
    <n v="9"/>
    <n v="2"/>
    <s v="Aundh Heights"/>
    <n v="2"/>
    <s v="No"/>
    <n v="5560500"/>
    <x v="0"/>
    <s v="BRK-03"/>
    <x v="1"/>
    <s v="Tier A"/>
    <n v="0.02"/>
    <n v="111210"/>
    <n v="166815"/>
    <n v="55605"/>
  </r>
  <r>
    <x v="3"/>
    <s v="T Nagar"/>
    <x v="3"/>
    <n v="3"/>
    <n v="3972"/>
    <n v="9736"/>
    <n v="2"/>
    <n v="1952"/>
    <n v="1971"/>
    <s v="Villa"/>
    <n v="1"/>
    <s v="West"/>
    <s v="No"/>
    <s v="Semi-Furnished"/>
    <n v="3"/>
    <n v="4"/>
    <s v="T Nagar Residency"/>
    <n v="2"/>
    <s v="No"/>
    <n v="32136000"/>
    <x v="0"/>
    <s v="BRK-03"/>
    <x v="1"/>
    <s v="Tier A"/>
    <n v="0.02"/>
    <n v="642720"/>
    <n v="964080"/>
    <n v="321360"/>
  </r>
  <r>
    <x v="1"/>
    <s v="Saket"/>
    <x v="3"/>
    <n v="4"/>
    <n v="3251"/>
    <n v="9821"/>
    <n v="2"/>
    <n v="1970"/>
    <n v="2008"/>
    <s v="Apartment"/>
    <n v="2"/>
    <s v="North"/>
    <s v="No"/>
    <s v="Furnished"/>
    <n v="2"/>
    <n v="1"/>
    <s v="Saket Residency"/>
    <n v="3"/>
    <s v="Yes"/>
    <n v="33040000"/>
    <x v="2"/>
    <s v="BRK-05"/>
    <x v="4"/>
    <s v="Tier B"/>
    <n v="1.4999999999999999E-2"/>
    <n v="0"/>
    <n v="0"/>
    <n v="0"/>
  </r>
  <r>
    <x v="3"/>
    <s v="Anna Nagar"/>
    <x v="0"/>
    <n v="2"/>
    <n v="2015"/>
    <n v="6626"/>
    <n v="1"/>
    <n v="1952"/>
    <n v="1996"/>
    <s v="Villa"/>
    <n v="2"/>
    <s v="South"/>
    <s v="Yes"/>
    <s v="Unfurnished"/>
    <n v="0"/>
    <n v="0"/>
    <s v="Anna Nagar Enclave"/>
    <n v="3"/>
    <s v="Yes"/>
    <n v="16470000"/>
    <x v="1"/>
    <s v="BRK-01"/>
    <x v="2"/>
    <s v="Tier A"/>
    <n v="0.02"/>
    <n v="0"/>
    <n v="0"/>
    <n v="0"/>
  </r>
  <r>
    <x v="2"/>
    <s v="Hinjewadi"/>
    <x v="2"/>
    <n v="2"/>
    <n v="4284"/>
    <n v="6446"/>
    <n v="2"/>
    <n v="1995"/>
    <n v="1996"/>
    <s v="Villa"/>
    <n v="1"/>
    <s v="North"/>
    <s v="Yes"/>
    <s v="Semi-Furnished"/>
    <n v="7"/>
    <n v="0"/>
    <s v="Hinjewadi Heights"/>
    <n v="0"/>
    <s v="Yes"/>
    <n v="36639000"/>
    <x v="1"/>
    <s v="BRK-05"/>
    <x v="4"/>
    <s v="Tier B"/>
    <n v="1.4999999999999999E-2"/>
    <n v="0"/>
    <n v="0"/>
    <n v="0"/>
  </r>
  <r>
    <x v="2"/>
    <s v="Kothrud"/>
    <x v="4"/>
    <n v="1"/>
    <n v="1982"/>
    <n v="9494"/>
    <n v="2"/>
    <n v="1970"/>
    <n v="2015"/>
    <s v="Villa"/>
    <n v="3"/>
    <s v="West"/>
    <s v="Yes"/>
    <s v="Furnished"/>
    <n v="10"/>
    <n v="2"/>
    <s v="Kothrud Enclave"/>
    <n v="1"/>
    <s v="Yes"/>
    <n v="17182000"/>
    <x v="1"/>
    <s v="BRK-01"/>
    <x v="2"/>
    <s v="Tier A"/>
    <n v="0.02"/>
    <n v="0"/>
    <n v="0"/>
    <n v="0"/>
  </r>
  <r>
    <x v="1"/>
    <s v="Vasant Kunj"/>
    <x v="3"/>
    <n v="1"/>
    <n v="2309"/>
    <n v="9197"/>
    <n v="2"/>
    <n v="1993"/>
    <n v="2010"/>
    <s v="Apartment"/>
    <n v="0"/>
    <s v="East"/>
    <s v="No"/>
    <s v="Unfurnished"/>
    <n v="6"/>
    <n v="2"/>
    <s v="Vasant Kunj Residency"/>
    <n v="1"/>
    <s v="No"/>
    <n v="23375000"/>
    <x v="2"/>
    <s v="BRK-05"/>
    <x v="4"/>
    <s v="Tier B"/>
    <n v="1.4999999999999999E-2"/>
    <n v="0"/>
    <n v="0"/>
    <n v="0"/>
  </r>
  <r>
    <x v="1"/>
    <s v="Rohini"/>
    <x v="3"/>
    <n v="4"/>
    <n v="3653"/>
    <n v="7461"/>
    <n v="3"/>
    <n v="1996"/>
    <n v="2025"/>
    <s v="Builder Floor"/>
    <n v="3"/>
    <s v="South"/>
    <s v="Yes"/>
    <s v="Unfurnished"/>
    <n v="8"/>
    <n v="0"/>
    <s v="Rohini Heights"/>
    <n v="2"/>
    <s v="No"/>
    <n v="36965000"/>
    <x v="0"/>
    <s v="BRK-04"/>
    <x v="3"/>
    <s v="Tier C"/>
    <n v="0.01"/>
    <n v="369650"/>
    <n v="1108950"/>
    <n v="739300"/>
  </r>
  <r>
    <x v="3"/>
    <s v="Velachery"/>
    <x v="3"/>
    <n v="1"/>
    <n v="3521"/>
    <n v="9790"/>
    <n v="1"/>
    <n v="1969"/>
    <n v="2025"/>
    <s v="Builder Floor"/>
    <n v="2"/>
    <s v="West"/>
    <s v="No"/>
    <s v="Unfurnished"/>
    <n v="8"/>
    <n v="2"/>
    <s v="Velachery Enclave"/>
    <n v="2"/>
    <s v="Yes"/>
    <n v="28498000"/>
    <x v="1"/>
    <s v="BRK-03"/>
    <x v="1"/>
    <s v="Tier A"/>
    <n v="0.02"/>
    <n v="0"/>
    <n v="0"/>
    <n v="0"/>
  </r>
  <r>
    <x v="4"/>
    <s v="HSR Layout"/>
    <x v="1"/>
    <n v="2"/>
    <n v="3609"/>
    <n v="7314"/>
    <n v="3"/>
    <n v="1976"/>
    <n v="2009"/>
    <s v="Independent House"/>
    <n v="2"/>
    <s v="West"/>
    <s v="Yes"/>
    <s v="Semi-Furnished"/>
    <n v="1"/>
    <n v="0"/>
    <s v="HSR Layout Enclave"/>
    <n v="3"/>
    <s v="Yes"/>
    <n v="32971000"/>
    <x v="0"/>
    <s v="BRK-03"/>
    <x v="1"/>
    <s v="Tier A"/>
    <n v="0.02"/>
    <n v="659420"/>
    <n v="989130"/>
    <n v="329710"/>
  </r>
  <r>
    <x v="2"/>
    <s v="Aundh"/>
    <x v="0"/>
    <n v="2"/>
    <n v="1060"/>
    <n v="9493"/>
    <n v="3"/>
    <n v="1989"/>
    <n v="2021"/>
    <s v="Villa"/>
    <n v="1"/>
    <s v="North"/>
    <s v="Yes"/>
    <s v="Unfurnished"/>
    <n v="9"/>
    <n v="2"/>
    <s v="Aundh Residency"/>
    <n v="2"/>
    <s v="No"/>
    <n v="9335000"/>
    <x v="2"/>
    <s v="BRK-05"/>
    <x v="4"/>
    <s v="Tier B"/>
    <n v="1.4999999999999999E-2"/>
    <n v="0"/>
    <n v="0"/>
    <n v="0"/>
  </r>
  <r>
    <x v="2"/>
    <s v="Kothrud"/>
    <x v="2"/>
    <n v="3"/>
    <n v="2427"/>
    <n v="7613"/>
    <n v="3"/>
    <n v="1995"/>
    <n v="2001"/>
    <s v="Builder Floor"/>
    <n v="0"/>
    <s v="West"/>
    <s v="No"/>
    <s v="Unfurnished"/>
    <n v="0"/>
    <n v="3"/>
    <s v="Kothrud Enclave"/>
    <n v="1"/>
    <s v="Yes"/>
    <n v="20894500"/>
    <x v="1"/>
    <s v="BRK-04"/>
    <x v="3"/>
    <s v="Tier C"/>
    <n v="0.01"/>
    <n v="0"/>
    <n v="0"/>
    <n v="0"/>
  </r>
  <r>
    <x v="4"/>
    <s v="Indiranagar"/>
    <x v="0"/>
    <n v="2"/>
    <n v="3393"/>
    <n v="7700"/>
    <n v="3"/>
    <n v="1981"/>
    <n v="1986"/>
    <s v="Villa"/>
    <n v="1"/>
    <s v="East"/>
    <s v="No"/>
    <s v="Furnished"/>
    <n v="2"/>
    <n v="5"/>
    <s v="Indiranagar Villa"/>
    <n v="3"/>
    <s v="Yes"/>
    <n v="30977000"/>
    <x v="2"/>
    <s v="BRK-03"/>
    <x v="1"/>
    <s v="Tier A"/>
    <n v="0.02"/>
    <n v="0"/>
    <n v="0"/>
    <n v="0"/>
  </r>
  <r>
    <x v="0"/>
    <s v="Andheri"/>
    <x v="3"/>
    <n v="2"/>
    <n v="4201"/>
    <n v="6010"/>
    <n v="2"/>
    <n v="1959"/>
    <n v="2005"/>
    <s v="Independent House"/>
    <n v="3"/>
    <s v="East"/>
    <s v="No"/>
    <s v="Unfurnished"/>
    <n v="6"/>
    <n v="3"/>
    <s v="Andheri Villa"/>
    <n v="3"/>
    <s v="Yes"/>
    <n v="50807000"/>
    <x v="2"/>
    <s v="BRK-04"/>
    <x v="3"/>
    <s v="Tier C"/>
    <n v="0.01"/>
    <n v="0"/>
    <n v="0"/>
    <n v="0"/>
  </r>
  <r>
    <x v="1"/>
    <s v="Lajpat Nagar"/>
    <x v="4"/>
    <n v="4"/>
    <n v="4049"/>
    <n v="5158"/>
    <n v="3"/>
    <n v="2015"/>
    <n v="2022"/>
    <s v="Builder Floor"/>
    <n v="1"/>
    <s v="West"/>
    <s v="No"/>
    <s v="Furnished"/>
    <n v="2"/>
    <n v="4"/>
    <s v="Lajpat Nagar Enclave"/>
    <n v="0"/>
    <s v="No"/>
    <n v="40845000"/>
    <x v="0"/>
    <s v="BRK-04"/>
    <x v="3"/>
    <s v="Tier C"/>
    <n v="0.01"/>
    <n v="408450"/>
    <n v="1225350"/>
    <n v="816900"/>
  </r>
  <r>
    <x v="0"/>
    <s v="Andheri"/>
    <x v="0"/>
    <n v="3"/>
    <n v="629"/>
    <n v="9244"/>
    <n v="1"/>
    <n v="1965"/>
    <n v="1987"/>
    <s v="Villa"/>
    <n v="2"/>
    <s v="East"/>
    <s v="No"/>
    <s v="Semi-Furnished"/>
    <n v="0"/>
    <n v="1"/>
    <s v="Andheri Residency"/>
    <n v="3"/>
    <s v="Yes"/>
    <n v="7903000"/>
    <x v="1"/>
    <s v="BRK-01"/>
    <x v="2"/>
    <s v="Tier A"/>
    <n v="0.02"/>
    <n v="0"/>
    <n v="0"/>
    <n v="0"/>
  </r>
  <r>
    <x v="4"/>
    <s v="Indiranagar"/>
    <x v="4"/>
    <n v="2"/>
    <n v="4304"/>
    <n v="4371"/>
    <n v="1"/>
    <n v="2020"/>
    <n v="2021"/>
    <s v="Builder Floor"/>
    <n v="0"/>
    <s v="West"/>
    <s v="No"/>
    <s v="Unfurnished"/>
    <n v="4"/>
    <n v="4"/>
    <s v="Indiranagar Villa"/>
    <n v="2"/>
    <s v="No"/>
    <n v="38946000"/>
    <x v="1"/>
    <s v="BRK-02"/>
    <x v="0"/>
    <s v="Tier B"/>
    <n v="1.4999999999999999E-2"/>
    <n v="0"/>
    <n v="0"/>
    <n v="0"/>
  </r>
  <r>
    <x v="3"/>
    <s v="Perambur"/>
    <x v="4"/>
    <n v="2"/>
    <n v="4435"/>
    <n v="9698"/>
    <n v="2"/>
    <n v="2007"/>
    <n v="2020"/>
    <s v="Apartment"/>
    <n v="2"/>
    <s v="North"/>
    <s v="No"/>
    <s v="Semi-Furnished"/>
    <n v="3"/>
    <n v="3"/>
    <s v="Perambur Enclave"/>
    <n v="0"/>
    <s v="No"/>
    <n v="35680000"/>
    <x v="0"/>
    <s v="BRK-05"/>
    <x v="4"/>
    <s v="Tier B"/>
    <n v="1.4999999999999999E-2"/>
    <n v="535200"/>
    <n v="1070400"/>
    <n v="535200"/>
  </r>
  <r>
    <x v="4"/>
    <s v="Whitefield"/>
    <x v="4"/>
    <n v="1"/>
    <n v="4985"/>
    <n v="7565"/>
    <n v="3"/>
    <n v="1965"/>
    <n v="2005"/>
    <s v="Builder Floor"/>
    <n v="1"/>
    <s v="North"/>
    <s v="Yes"/>
    <s v="Semi-Furnished"/>
    <n v="8"/>
    <n v="0"/>
    <s v="Whitefield Heights"/>
    <n v="1"/>
    <s v="Yes"/>
    <n v="45145000"/>
    <x v="2"/>
    <s v="BRK-02"/>
    <x v="0"/>
    <s v="Tier B"/>
    <n v="1.4999999999999999E-2"/>
    <n v="0"/>
    <n v="0"/>
    <n v="0"/>
  </r>
  <r>
    <x v="4"/>
    <s v="Koramangala"/>
    <x v="4"/>
    <n v="4"/>
    <n v="993"/>
    <n v="9784"/>
    <n v="3"/>
    <n v="1991"/>
    <n v="2015"/>
    <s v="Builder Floor"/>
    <n v="3"/>
    <s v="North"/>
    <s v="No"/>
    <s v="Semi-Furnished"/>
    <n v="2"/>
    <n v="3"/>
    <s v="Koramangala Heights"/>
    <n v="2"/>
    <s v="No"/>
    <n v="9247000"/>
    <x v="1"/>
    <s v="BRK-01"/>
    <x v="2"/>
    <s v="Tier A"/>
    <n v="0.02"/>
    <n v="0"/>
    <n v="0"/>
    <n v="0"/>
  </r>
  <r>
    <x v="4"/>
    <s v="Whitefield"/>
    <x v="2"/>
    <n v="1"/>
    <n v="4738"/>
    <n v="6165"/>
    <n v="2"/>
    <n v="1968"/>
    <n v="1978"/>
    <s v="Villa"/>
    <n v="0"/>
    <s v="South"/>
    <s v="No"/>
    <s v="Semi-Furnished"/>
    <n v="10"/>
    <n v="1"/>
    <s v="Whitefield Heights"/>
    <n v="2"/>
    <s v="Yes"/>
    <n v="42842000"/>
    <x v="1"/>
    <s v="BRK-05"/>
    <x v="4"/>
    <s v="Tier B"/>
    <n v="1.4999999999999999E-2"/>
    <n v="0"/>
    <n v="0"/>
    <n v="0"/>
  </r>
  <r>
    <x v="0"/>
    <s v="Andheri"/>
    <x v="0"/>
    <n v="4"/>
    <n v="1108"/>
    <n v="6401"/>
    <n v="1"/>
    <n v="2002"/>
    <n v="2011"/>
    <s v="Villa"/>
    <n v="3"/>
    <s v="North"/>
    <s v="Yes"/>
    <s v="Furnished"/>
    <n v="3"/>
    <n v="4"/>
    <s v="Andheri Residency"/>
    <n v="3"/>
    <s v="No"/>
    <n v="13731000"/>
    <x v="1"/>
    <s v="BRK-03"/>
    <x v="1"/>
    <s v="Tier A"/>
    <n v="0.02"/>
    <n v="0"/>
    <n v="0"/>
    <n v="0"/>
  </r>
  <r>
    <x v="0"/>
    <s v="Juhu"/>
    <x v="2"/>
    <n v="3"/>
    <n v="4107"/>
    <n v="8688"/>
    <n v="2"/>
    <n v="1958"/>
    <n v="2018"/>
    <s v="Builder Floor"/>
    <n v="3"/>
    <s v="South"/>
    <s v="Yes"/>
    <s v="Semi-Furnished"/>
    <n v="8"/>
    <n v="4"/>
    <s v="Juhu Heights"/>
    <n v="1"/>
    <s v="Yes"/>
    <n v="49554000"/>
    <x v="0"/>
    <s v="BRK-05"/>
    <x v="4"/>
    <s v="Tier B"/>
    <n v="1.4999999999999999E-2"/>
    <n v="743310"/>
    <n v="1486620"/>
    <n v="743310"/>
  </r>
  <r>
    <x v="4"/>
    <s v="HSR Layout"/>
    <x v="3"/>
    <n v="4"/>
    <n v="987"/>
    <n v="9236"/>
    <n v="1"/>
    <n v="1968"/>
    <n v="1990"/>
    <s v="Apartment"/>
    <n v="1"/>
    <s v="West"/>
    <s v="No"/>
    <s v="Furnished"/>
    <n v="0"/>
    <n v="3"/>
    <s v="HSR Layout Enclave"/>
    <n v="1"/>
    <s v="Yes"/>
    <n v="9363000"/>
    <x v="1"/>
    <s v="BRK-05"/>
    <x v="4"/>
    <s v="Tier B"/>
    <n v="1.4999999999999999E-2"/>
    <n v="0"/>
    <n v="0"/>
    <n v="0"/>
  </r>
  <r>
    <x v="0"/>
    <s v="Borivali"/>
    <x v="0"/>
    <n v="3"/>
    <n v="3414"/>
    <n v="6342"/>
    <n v="3"/>
    <n v="1977"/>
    <n v="2013"/>
    <s v="Villa"/>
    <n v="0"/>
    <s v="South"/>
    <s v="Yes"/>
    <s v="Semi-Furnished"/>
    <n v="1"/>
    <n v="3"/>
    <s v="Borivali Heights"/>
    <n v="1"/>
    <s v="No"/>
    <n v="41308000"/>
    <x v="0"/>
    <s v="BRK-05"/>
    <x v="4"/>
    <s v="Tier B"/>
    <n v="1.4999999999999999E-2"/>
    <n v="619620"/>
    <n v="1239240"/>
    <n v="619620"/>
  </r>
  <r>
    <x v="3"/>
    <s v="Velachery"/>
    <x v="1"/>
    <n v="3"/>
    <n v="3106"/>
    <n v="8359"/>
    <n v="2"/>
    <n v="2007"/>
    <n v="2014"/>
    <s v="Apartment"/>
    <n v="2"/>
    <s v="East"/>
    <s v="Yes"/>
    <s v="Semi-Furnished"/>
    <n v="9"/>
    <n v="2"/>
    <s v="Velachery Heights"/>
    <n v="1"/>
    <s v="Yes"/>
    <n v="25318000"/>
    <x v="0"/>
    <s v="BRK-02"/>
    <x v="0"/>
    <s v="Tier B"/>
    <n v="1.4999999999999999E-2"/>
    <n v="379770"/>
    <n v="759540"/>
    <n v="379770"/>
  </r>
  <r>
    <x v="2"/>
    <s v="Baner"/>
    <x v="2"/>
    <n v="1"/>
    <n v="1721"/>
    <n v="8540"/>
    <n v="3"/>
    <n v="2012"/>
    <n v="2023"/>
    <s v="Independent House"/>
    <n v="0"/>
    <s v="North"/>
    <s v="Yes"/>
    <s v="Unfurnished"/>
    <n v="7"/>
    <n v="5"/>
    <s v="Baner Heights"/>
    <n v="2"/>
    <s v="No"/>
    <n v="14823500"/>
    <x v="0"/>
    <s v="BRK-02"/>
    <x v="0"/>
    <s v="Tier B"/>
    <n v="1.4999999999999999E-2"/>
    <n v="222352.5"/>
    <n v="444705"/>
    <n v="222352.5"/>
  </r>
  <r>
    <x v="2"/>
    <s v="Viman Nagar"/>
    <x v="3"/>
    <n v="2"/>
    <n v="369"/>
    <n v="2463"/>
    <n v="2"/>
    <n v="1997"/>
    <n v="2025"/>
    <s v="Apartment"/>
    <n v="3"/>
    <s v="North"/>
    <s v="Yes"/>
    <s v="Unfurnished"/>
    <n v="0"/>
    <n v="2"/>
    <s v="Viman Nagar Enclave"/>
    <n v="1"/>
    <s v="Yes"/>
    <n v="3526500"/>
    <x v="1"/>
    <s v="BRK-01"/>
    <x v="2"/>
    <s v="Tier A"/>
    <n v="0.02"/>
    <n v="0"/>
    <n v="0"/>
    <n v="0"/>
  </r>
  <r>
    <x v="2"/>
    <s v="Viman Nagar"/>
    <x v="4"/>
    <n v="2"/>
    <n v="4345"/>
    <n v="7368"/>
    <n v="1"/>
    <n v="1985"/>
    <n v="2015"/>
    <s v="Apartment"/>
    <n v="0"/>
    <s v="South"/>
    <s v="No"/>
    <s v="Furnished"/>
    <n v="4"/>
    <n v="4"/>
    <s v="Viman Nagar Villa"/>
    <n v="1"/>
    <s v="Yes"/>
    <n v="37252500"/>
    <x v="2"/>
    <s v="BRK-03"/>
    <x v="1"/>
    <s v="Tier A"/>
    <n v="0.02"/>
    <n v="0"/>
    <n v="0"/>
    <n v="0"/>
  </r>
  <r>
    <x v="2"/>
    <s v="Aundh"/>
    <x v="1"/>
    <n v="2"/>
    <n v="835"/>
    <n v="2986"/>
    <n v="3"/>
    <n v="1958"/>
    <n v="1973"/>
    <s v="Villa"/>
    <n v="1"/>
    <s v="East"/>
    <s v="Yes"/>
    <s v="Unfurnished"/>
    <n v="0"/>
    <n v="5"/>
    <s v="Aundh Enclave"/>
    <n v="3"/>
    <s v="Yes"/>
    <n v="7587500"/>
    <x v="0"/>
    <s v="BRK-04"/>
    <x v="3"/>
    <s v="Tier C"/>
    <n v="0.01"/>
    <n v="75875"/>
    <n v="227625"/>
    <n v="151750"/>
  </r>
  <r>
    <x v="3"/>
    <s v="T Nagar"/>
    <x v="0"/>
    <n v="4"/>
    <n v="3633"/>
    <n v="5927"/>
    <n v="1"/>
    <n v="2016"/>
    <n v="2022"/>
    <s v="Independent House"/>
    <n v="2"/>
    <s v="North"/>
    <s v="Yes"/>
    <s v="Furnished"/>
    <n v="4"/>
    <n v="3"/>
    <s v="T Nagar Villa"/>
    <n v="2"/>
    <s v="Yes"/>
    <n v="29534000"/>
    <x v="0"/>
    <s v="BRK-02"/>
    <x v="0"/>
    <s v="Tier B"/>
    <n v="1.4999999999999999E-2"/>
    <n v="443010"/>
    <n v="886020"/>
    <n v="443010"/>
  </r>
  <r>
    <x v="3"/>
    <s v="Velachery"/>
    <x v="0"/>
    <n v="1"/>
    <n v="4984"/>
    <n v="5241"/>
    <n v="3"/>
    <n v="1978"/>
    <n v="2021"/>
    <s v="Independent House"/>
    <n v="0"/>
    <s v="South"/>
    <s v="Yes"/>
    <s v="Furnished"/>
    <n v="5"/>
    <n v="2"/>
    <s v="Velachery Heights"/>
    <n v="0"/>
    <s v="Yes"/>
    <n v="40262000"/>
    <x v="2"/>
    <s v="BRK-03"/>
    <x v="1"/>
    <s v="Tier A"/>
    <n v="0.02"/>
    <n v="0"/>
    <n v="0"/>
    <n v="0"/>
  </r>
  <r>
    <x v="3"/>
    <s v="Anna Nagar"/>
    <x v="2"/>
    <n v="3"/>
    <n v="2351"/>
    <n v="4425"/>
    <n v="1"/>
    <n v="2010"/>
    <n v="2016"/>
    <s v="Villa"/>
    <n v="0"/>
    <s v="East"/>
    <s v="Yes"/>
    <s v="Furnished"/>
    <n v="9"/>
    <n v="4"/>
    <s v="Anna Nagar Villa"/>
    <n v="0"/>
    <s v="No"/>
    <n v="19068000"/>
    <x v="1"/>
    <s v="BRK-05"/>
    <x v="4"/>
    <s v="Tier B"/>
    <n v="1.4999999999999999E-2"/>
    <n v="0"/>
    <n v="0"/>
    <n v="0"/>
  </r>
  <r>
    <x v="2"/>
    <s v="Kothrud"/>
    <x v="2"/>
    <n v="1"/>
    <n v="573"/>
    <n v="6806"/>
    <n v="2"/>
    <n v="1958"/>
    <n v="1973"/>
    <s v="Builder Floor"/>
    <n v="3"/>
    <s v="North"/>
    <s v="No"/>
    <s v="Unfurnished"/>
    <n v="10"/>
    <n v="3"/>
    <s v="Kothrud Heights"/>
    <n v="0"/>
    <s v="Yes"/>
    <n v="5040500"/>
    <x v="0"/>
    <s v="BRK-05"/>
    <x v="4"/>
    <s v="Tier B"/>
    <n v="1.4999999999999999E-2"/>
    <n v="75607.5"/>
    <n v="151215"/>
    <n v="75607.5"/>
  </r>
  <r>
    <x v="2"/>
    <s v="Kothrud"/>
    <x v="0"/>
    <n v="4"/>
    <n v="3590"/>
    <n v="4425"/>
    <n v="3"/>
    <n v="2002"/>
    <n v="2008"/>
    <s v="Builder Floor"/>
    <n v="3"/>
    <s v="West"/>
    <s v="No"/>
    <s v="Semi-Furnished"/>
    <n v="9"/>
    <n v="4"/>
    <s v="Kothrud Heights"/>
    <n v="2"/>
    <s v="Yes"/>
    <n v="30925000"/>
    <x v="0"/>
    <s v="BRK-01"/>
    <x v="2"/>
    <s v="Tier A"/>
    <n v="0.02"/>
    <n v="618500"/>
    <n v="927750"/>
    <n v="309250"/>
  </r>
  <r>
    <x v="3"/>
    <s v="Perambur"/>
    <x v="0"/>
    <n v="2"/>
    <n v="1184"/>
    <n v="2916"/>
    <n v="1"/>
    <n v="1958"/>
    <n v="1981"/>
    <s v="Apartment"/>
    <n v="2"/>
    <s v="East"/>
    <s v="No"/>
    <s v="Semi-Furnished"/>
    <n v="9"/>
    <n v="3"/>
    <s v="Perambur Residency"/>
    <n v="1"/>
    <s v="Yes"/>
    <n v="9767000"/>
    <x v="1"/>
    <s v="BRK-04"/>
    <x v="3"/>
    <s v="Tier C"/>
    <n v="0.01"/>
    <n v="0"/>
    <n v="0"/>
    <n v="0"/>
  </r>
  <r>
    <x v="0"/>
    <s v="Andheri"/>
    <x v="4"/>
    <n v="3"/>
    <n v="3870"/>
    <n v="8123"/>
    <n v="3"/>
    <n v="1995"/>
    <n v="2013"/>
    <s v="Apartment"/>
    <n v="1"/>
    <s v="West"/>
    <s v="No"/>
    <s v="Unfurnished"/>
    <n v="5"/>
    <n v="2"/>
    <s v="Andheri Enclave"/>
    <n v="0"/>
    <s v="Yes"/>
    <n v="46740000"/>
    <x v="2"/>
    <s v="BRK-01"/>
    <x v="2"/>
    <s v="Tier A"/>
    <n v="0.02"/>
    <n v="0"/>
    <n v="0"/>
    <n v="0"/>
  </r>
  <r>
    <x v="0"/>
    <s v="Bandra"/>
    <x v="1"/>
    <n v="1"/>
    <n v="3757"/>
    <n v="6623"/>
    <n v="1"/>
    <n v="1975"/>
    <n v="2014"/>
    <s v="Apartment"/>
    <n v="0"/>
    <s v="East"/>
    <s v="Yes"/>
    <s v="Unfurnished"/>
    <n v="7"/>
    <n v="5"/>
    <s v="Bandra Villa"/>
    <n v="2"/>
    <s v="No"/>
    <n v="45439000"/>
    <x v="1"/>
    <s v="BRK-05"/>
    <x v="4"/>
    <s v="Tier B"/>
    <n v="1.4999999999999999E-2"/>
    <n v="0"/>
    <n v="0"/>
    <n v="0"/>
  </r>
  <r>
    <x v="2"/>
    <s v="Viman Nagar"/>
    <x v="3"/>
    <n v="3"/>
    <n v="1629"/>
    <n v="3396"/>
    <n v="2"/>
    <n v="1955"/>
    <n v="2017"/>
    <s v="Apartment"/>
    <n v="0"/>
    <s v="South"/>
    <s v="Yes"/>
    <s v="Semi-Furnished"/>
    <n v="9"/>
    <n v="1"/>
    <s v="Viman Nagar Residency"/>
    <n v="3"/>
    <s v="No"/>
    <n v="14246500"/>
    <x v="2"/>
    <s v="BRK-01"/>
    <x v="2"/>
    <s v="Tier A"/>
    <n v="0.02"/>
    <n v="0"/>
    <n v="0"/>
    <n v="0"/>
  </r>
  <r>
    <x v="3"/>
    <s v="Velachery"/>
    <x v="3"/>
    <n v="2"/>
    <n v="355"/>
    <n v="6349"/>
    <n v="1"/>
    <n v="1959"/>
    <n v="2003"/>
    <s v="Builder Floor"/>
    <n v="0"/>
    <s v="South"/>
    <s v="No"/>
    <s v="Semi-Furnished"/>
    <n v="3"/>
    <n v="5"/>
    <s v="Velachery Enclave"/>
    <n v="0"/>
    <s v="Yes"/>
    <n v="3170000"/>
    <x v="2"/>
    <s v="BRK-03"/>
    <x v="1"/>
    <s v="Tier A"/>
    <n v="0.02"/>
    <n v="0"/>
    <n v="0"/>
    <n v="0"/>
  </r>
  <r>
    <x v="1"/>
    <s v="Rohini"/>
    <x v="0"/>
    <n v="2"/>
    <n v="2093"/>
    <n v="9396"/>
    <n v="2"/>
    <n v="1972"/>
    <n v="1992"/>
    <s v="Apartment"/>
    <n v="1"/>
    <s v="South"/>
    <s v="Yes"/>
    <s v="Furnished"/>
    <n v="4"/>
    <n v="0"/>
    <s v="Rohini Heights"/>
    <n v="1"/>
    <s v="No"/>
    <n v="21295000"/>
    <x v="1"/>
    <s v="BRK-01"/>
    <x v="2"/>
    <s v="Tier A"/>
    <n v="0.02"/>
    <n v="0"/>
    <n v="0"/>
    <n v="0"/>
  </r>
  <r>
    <x v="0"/>
    <s v="Juhu"/>
    <x v="4"/>
    <n v="3"/>
    <n v="4037"/>
    <n v="6054"/>
    <n v="2"/>
    <n v="1997"/>
    <n v="2017"/>
    <s v="Apartment"/>
    <n v="3"/>
    <s v="North"/>
    <s v="Yes"/>
    <s v="Furnished"/>
    <n v="2"/>
    <n v="1"/>
    <s v="Juhu Residency"/>
    <n v="3"/>
    <s v="No"/>
    <n v="48819000"/>
    <x v="1"/>
    <s v="BRK-01"/>
    <x v="2"/>
    <s v="Tier A"/>
    <n v="0.02"/>
    <n v="0"/>
    <n v="0"/>
    <n v="0"/>
  </r>
  <r>
    <x v="4"/>
    <s v="HSR Layout"/>
    <x v="3"/>
    <n v="2"/>
    <n v="678"/>
    <n v="3826"/>
    <n v="3"/>
    <n v="1987"/>
    <n v="1995"/>
    <s v="Villa"/>
    <n v="1"/>
    <s v="North"/>
    <s v="No"/>
    <s v="Furnished"/>
    <n v="8"/>
    <n v="4"/>
    <s v="HSR Layout Villa"/>
    <n v="1"/>
    <s v="Yes"/>
    <n v="6562000"/>
    <x v="2"/>
    <s v="BRK-05"/>
    <x v="4"/>
    <s v="Tier B"/>
    <n v="1.4999999999999999E-2"/>
    <n v="0"/>
    <n v="0"/>
    <n v="0"/>
  </r>
  <r>
    <x v="3"/>
    <s v="Perambur"/>
    <x v="2"/>
    <n v="2"/>
    <n v="4466"/>
    <n v="7695"/>
    <n v="3"/>
    <n v="2015"/>
    <n v="2019"/>
    <s v="Independent House"/>
    <n v="3"/>
    <s v="South"/>
    <s v="No"/>
    <s v="Unfurnished"/>
    <n v="5"/>
    <n v="4"/>
    <s v="Perambur Villa"/>
    <n v="3"/>
    <s v="No"/>
    <n v="35943000"/>
    <x v="2"/>
    <s v="BRK-01"/>
    <x v="2"/>
    <s v="Tier A"/>
    <n v="0.02"/>
    <n v="0"/>
    <n v="0"/>
    <n v="0"/>
  </r>
  <r>
    <x v="4"/>
    <s v="HSR Layout"/>
    <x v="3"/>
    <n v="1"/>
    <n v="1997"/>
    <n v="3845"/>
    <n v="1"/>
    <n v="2007"/>
    <n v="2013"/>
    <s v="Independent House"/>
    <n v="1"/>
    <s v="East"/>
    <s v="No"/>
    <s v="Semi-Furnished"/>
    <n v="9"/>
    <n v="1"/>
    <s v="HSR Layout Enclave"/>
    <n v="2"/>
    <s v="Yes"/>
    <n v="18303000"/>
    <x v="0"/>
    <s v="BRK-01"/>
    <x v="2"/>
    <s v="Tier A"/>
    <n v="0.02"/>
    <n v="366060"/>
    <n v="549090"/>
    <n v="183030"/>
  </r>
  <r>
    <x v="1"/>
    <s v="Dwarka"/>
    <x v="0"/>
    <n v="4"/>
    <n v="4550"/>
    <n v="7480"/>
    <n v="1"/>
    <n v="2024"/>
    <n v="0"/>
    <s v="Independent House"/>
    <n v="2"/>
    <s v="West"/>
    <s v="No"/>
    <s v="Semi-Furnished"/>
    <n v="6"/>
    <n v="3"/>
    <s v="Dwarka Enclave"/>
    <n v="3"/>
    <s v="No"/>
    <n v="45835000"/>
    <x v="1"/>
    <s v="BRK-02"/>
    <x v="0"/>
    <s v="Tier B"/>
    <n v="1.4999999999999999E-2"/>
    <n v="0"/>
    <n v="0"/>
    <n v="0"/>
  </r>
  <r>
    <x v="4"/>
    <s v="MG Road"/>
    <x v="2"/>
    <n v="2"/>
    <n v="3918"/>
    <n v="5883"/>
    <n v="2"/>
    <n v="1959"/>
    <n v="2003"/>
    <s v="Builder Floor"/>
    <n v="2"/>
    <s v="North"/>
    <s v="No"/>
    <s v="Furnished"/>
    <n v="1"/>
    <n v="0"/>
    <s v="MG Road Heights"/>
    <n v="2"/>
    <s v="Yes"/>
    <n v="35567000"/>
    <x v="2"/>
    <s v="BRK-01"/>
    <x v="2"/>
    <s v="Tier A"/>
    <n v="0.02"/>
    <n v="0"/>
    <n v="0"/>
    <n v="0"/>
  </r>
  <r>
    <x v="2"/>
    <s v="Hinjewadi"/>
    <x v="0"/>
    <n v="2"/>
    <n v="2997"/>
    <n v="5095"/>
    <n v="2"/>
    <n v="1985"/>
    <n v="1996"/>
    <s v="Apartment"/>
    <n v="2"/>
    <s v="North"/>
    <s v="No"/>
    <s v="Semi-Furnished"/>
    <n v="5"/>
    <n v="3"/>
    <s v="Hinjewadi Villa"/>
    <n v="0"/>
    <s v="No"/>
    <n v="25724500"/>
    <x v="0"/>
    <s v="BRK-01"/>
    <x v="2"/>
    <s v="Tier A"/>
    <n v="0.02"/>
    <n v="514490"/>
    <n v="771735"/>
    <n v="257245"/>
  </r>
  <r>
    <x v="2"/>
    <s v="Hinjewadi"/>
    <x v="3"/>
    <n v="2"/>
    <n v="2158"/>
    <n v="8133"/>
    <n v="3"/>
    <n v="1976"/>
    <n v="2005"/>
    <s v="Apartment"/>
    <n v="3"/>
    <s v="West"/>
    <s v="No"/>
    <s v="Furnished"/>
    <n v="5"/>
    <n v="1"/>
    <s v="Hinjewadi Villa"/>
    <n v="3"/>
    <s v="Yes"/>
    <n v="18833000"/>
    <x v="0"/>
    <s v="BRK-03"/>
    <x v="1"/>
    <s v="Tier A"/>
    <n v="0.02"/>
    <n v="376660"/>
    <n v="564990"/>
    <n v="188330"/>
  </r>
  <r>
    <x v="3"/>
    <s v="Anna Nagar"/>
    <x v="1"/>
    <n v="1"/>
    <n v="3369"/>
    <n v="4557"/>
    <n v="3"/>
    <n v="1966"/>
    <n v="1984"/>
    <s v="Builder Floor"/>
    <n v="3"/>
    <s v="East"/>
    <s v="No"/>
    <s v="Furnished"/>
    <n v="6"/>
    <n v="3"/>
    <s v="Anna Nagar Villa"/>
    <n v="2"/>
    <s v="No"/>
    <n v="27397000"/>
    <x v="1"/>
    <s v="BRK-02"/>
    <x v="0"/>
    <s v="Tier B"/>
    <n v="1.4999999999999999E-2"/>
    <n v="0"/>
    <n v="0"/>
    <n v="0"/>
  </r>
  <r>
    <x v="2"/>
    <s v="Kothrud"/>
    <x v="1"/>
    <n v="1"/>
    <n v="1439"/>
    <n v="4007"/>
    <n v="2"/>
    <n v="2022"/>
    <n v="2025"/>
    <s v="Independent House"/>
    <n v="3"/>
    <s v="South"/>
    <s v="No"/>
    <s v="Furnished"/>
    <n v="8"/>
    <n v="3"/>
    <s v="Kothrud Residency"/>
    <n v="3"/>
    <s v="Yes"/>
    <n v="12721500"/>
    <x v="0"/>
    <s v="BRK-05"/>
    <x v="4"/>
    <s v="Tier B"/>
    <n v="1.4999999999999999E-2"/>
    <n v="190822.5"/>
    <n v="381645"/>
    <n v="190822.5"/>
  </r>
  <r>
    <x v="4"/>
    <s v="HSR Layout"/>
    <x v="3"/>
    <n v="3"/>
    <n v="1063"/>
    <n v="3921"/>
    <n v="1"/>
    <n v="2020"/>
    <n v="2020"/>
    <s v="Builder Floor"/>
    <n v="3"/>
    <s v="North"/>
    <s v="Yes"/>
    <s v="Furnished"/>
    <n v="1"/>
    <n v="3"/>
    <s v="HSR Layout Enclave"/>
    <n v="1"/>
    <s v="Yes"/>
    <n v="10042000"/>
    <x v="1"/>
    <s v="BRK-02"/>
    <x v="0"/>
    <s v="Tier B"/>
    <n v="1.4999999999999999E-2"/>
    <n v="0"/>
    <n v="0"/>
    <n v="0"/>
  </r>
  <r>
    <x v="4"/>
    <s v="HSR Layout"/>
    <x v="2"/>
    <n v="4"/>
    <n v="770"/>
    <n v="6859"/>
    <n v="3"/>
    <n v="1951"/>
    <n v="1971"/>
    <s v="Villa"/>
    <n v="3"/>
    <s v="West"/>
    <s v="Yes"/>
    <s v="Furnished"/>
    <n v="2"/>
    <n v="4"/>
    <s v="HSR Layout Villa"/>
    <n v="3"/>
    <s v="Yes"/>
    <n v="7355000"/>
    <x v="1"/>
    <s v="BRK-01"/>
    <x v="2"/>
    <s v="Tier A"/>
    <n v="0.02"/>
    <n v="0"/>
    <n v="0"/>
    <n v="0"/>
  </r>
  <r>
    <x v="3"/>
    <s v="Velachery"/>
    <x v="4"/>
    <n v="2"/>
    <n v="2837"/>
    <n v="6427"/>
    <n v="3"/>
    <n v="2010"/>
    <n v="2014"/>
    <s v="Villa"/>
    <n v="1"/>
    <s v="West"/>
    <s v="No"/>
    <s v="Furnished"/>
    <n v="0"/>
    <n v="1"/>
    <s v="Velachery Villa"/>
    <n v="0"/>
    <s v="No"/>
    <n v="22991000"/>
    <x v="2"/>
    <s v="BRK-03"/>
    <x v="1"/>
    <s v="Tier A"/>
    <n v="0.02"/>
    <n v="0"/>
    <n v="0"/>
    <n v="0"/>
  </r>
  <r>
    <x v="2"/>
    <s v="Hinjewadi"/>
    <x v="1"/>
    <n v="3"/>
    <n v="4963"/>
    <n v="9034"/>
    <n v="2"/>
    <n v="2009"/>
    <n v="2009"/>
    <s v="Builder Floor"/>
    <n v="2"/>
    <s v="West"/>
    <s v="No"/>
    <s v="Unfurnished"/>
    <n v="4"/>
    <n v="3"/>
    <s v="Hinjewadi Residency"/>
    <n v="3"/>
    <s v="Yes"/>
    <n v="42660500"/>
    <x v="1"/>
    <s v="BRK-03"/>
    <x v="1"/>
    <s v="Tier A"/>
    <n v="0.02"/>
    <n v="0"/>
    <n v="0"/>
    <n v="0"/>
  </r>
  <r>
    <x v="1"/>
    <s v="Lajpat Nagar"/>
    <x v="3"/>
    <n v="4"/>
    <n v="3451"/>
    <n v="8900"/>
    <n v="1"/>
    <n v="2022"/>
    <n v="0"/>
    <s v="Independent House"/>
    <n v="0"/>
    <s v="South"/>
    <s v="Yes"/>
    <s v="Semi-Furnished"/>
    <n v="10"/>
    <n v="4"/>
    <s v="Lajpat Nagar Enclave"/>
    <n v="0"/>
    <s v="Yes"/>
    <n v="34925000"/>
    <x v="2"/>
    <s v="BRK-01"/>
    <x v="2"/>
    <s v="Tier A"/>
    <n v="0.02"/>
    <n v="0"/>
    <n v="0"/>
    <n v="0"/>
  </r>
  <r>
    <x v="3"/>
    <s v="Anna Nagar"/>
    <x v="1"/>
    <n v="1"/>
    <n v="3320"/>
    <n v="3996"/>
    <n v="1"/>
    <n v="2014"/>
    <n v="2025"/>
    <s v="Villa"/>
    <n v="3"/>
    <s v="West"/>
    <s v="Yes"/>
    <s v="Semi-Furnished"/>
    <n v="3"/>
    <n v="4"/>
    <s v="Anna Nagar Heights"/>
    <n v="3"/>
    <s v="Yes"/>
    <n v="26980000"/>
    <x v="1"/>
    <s v="BRK-04"/>
    <x v="3"/>
    <s v="Tier C"/>
    <n v="0.01"/>
    <n v="0"/>
    <n v="0"/>
    <n v="0"/>
  </r>
  <r>
    <x v="0"/>
    <s v="Borivali"/>
    <x v="3"/>
    <n v="3"/>
    <n v="3571"/>
    <n v="5213"/>
    <n v="2"/>
    <n v="1954"/>
    <n v="1954"/>
    <s v="Villa"/>
    <n v="0"/>
    <s v="South"/>
    <s v="No"/>
    <s v="Unfurnished"/>
    <n v="7"/>
    <n v="3"/>
    <s v="Borivali Villa"/>
    <n v="0"/>
    <s v="Yes"/>
    <n v="43232000"/>
    <x v="0"/>
    <s v="BRK-01"/>
    <x v="2"/>
    <s v="Tier A"/>
    <n v="0.02"/>
    <n v="864640"/>
    <n v="1296960"/>
    <n v="432320"/>
  </r>
  <r>
    <x v="2"/>
    <s v="Hinjewadi"/>
    <x v="3"/>
    <n v="2"/>
    <n v="4156"/>
    <n v="6492"/>
    <n v="1"/>
    <n v="1971"/>
    <n v="2023"/>
    <s v="Builder Floor"/>
    <n v="0"/>
    <s v="South"/>
    <s v="No"/>
    <s v="Furnished"/>
    <n v="8"/>
    <n v="5"/>
    <s v="Hinjewadi Villa"/>
    <n v="1"/>
    <s v="Yes"/>
    <n v="35746000"/>
    <x v="2"/>
    <s v="BRK-05"/>
    <x v="4"/>
    <s v="Tier B"/>
    <n v="1.4999999999999999E-2"/>
    <n v="0"/>
    <n v="0"/>
    <n v="0"/>
  </r>
  <r>
    <x v="0"/>
    <s v="Juhu"/>
    <x v="4"/>
    <n v="4"/>
    <n v="3233"/>
    <n v="4740"/>
    <n v="1"/>
    <n v="1954"/>
    <n v="2021"/>
    <s v="Apartment"/>
    <n v="3"/>
    <s v="North"/>
    <s v="Yes"/>
    <s v="Semi-Furnished"/>
    <n v="4"/>
    <n v="3"/>
    <s v="Juhu Heights"/>
    <n v="0"/>
    <s v="Yes"/>
    <n v="39111000"/>
    <x v="1"/>
    <s v="BRK-05"/>
    <x v="4"/>
    <s v="Tier B"/>
    <n v="1.4999999999999999E-2"/>
    <n v="0"/>
    <n v="0"/>
    <n v="0"/>
  </r>
  <r>
    <x v="3"/>
    <s v="Velachery"/>
    <x v="4"/>
    <n v="3"/>
    <n v="2254"/>
    <n v="3942"/>
    <n v="1"/>
    <n v="1952"/>
    <n v="2004"/>
    <s v="Builder Floor"/>
    <n v="0"/>
    <s v="East"/>
    <s v="Yes"/>
    <s v="Unfurnished"/>
    <n v="10"/>
    <n v="0"/>
    <s v="Velachery Residency"/>
    <n v="0"/>
    <s v="Yes"/>
    <n v="18317000"/>
    <x v="2"/>
    <s v="BRK-05"/>
    <x v="4"/>
    <s v="Tier B"/>
    <n v="1.4999999999999999E-2"/>
    <n v="0"/>
    <n v="0"/>
    <n v="0"/>
  </r>
  <r>
    <x v="1"/>
    <s v="Dwarka"/>
    <x v="3"/>
    <n v="1"/>
    <n v="2979"/>
    <n v="5672"/>
    <n v="3"/>
    <n v="1974"/>
    <n v="2012"/>
    <s v="Apartment"/>
    <n v="3"/>
    <s v="West"/>
    <s v="Yes"/>
    <s v="Furnished"/>
    <n v="3"/>
    <n v="0"/>
    <s v="Dwarka Enclave"/>
    <n v="2"/>
    <s v="Yes"/>
    <n v="30260000"/>
    <x v="1"/>
    <s v="BRK-05"/>
    <x v="4"/>
    <s v="Tier B"/>
    <n v="1.4999999999999999E-2"/>
    <n v="0"/>
    <n v="0"/>
    <n v="0"/>
  </r>
  <r>
    <x v="0"/>
    <s v="Borivali"/>
    <x v="0"/>
    <n v="1"/>
    <n v="3488"/>
    <n v="5280"/>
    <n v="2"/>
    <n v="1978"/>
    <n v="1981"/>
    <s v="Villa"/>
    <n v="2"/>
    <s v="North"/>
    <s v="Yes"/>
    <s v="Furnished"/>
    <n v="6"/>
    <n v="2"/>
    <s v="Borivali Villa"/>
    <n v="0"/>
    <s v="Yes"/>
    <n v="42226000"/>
    <x v="1"/>
    <s v="BRK-01"/>
    <x v="2"/>
    <s v="Tier A"/>
    <n v="0.02"/>
    <n v="0"/>
    <n v="0"/>
    <n v="0"/>
  </r>
  <r>
    <x v="4"/>
    <s v="Whitefield"/>
    <x v="1"/>
    <n v="3"/>
    <n v="3483"/>
    <n v="9086"/>
    <n v="3"/>
    <n v="1967"/>
    <n v="1987"/>
    <s v="Apartment"/>
    <n v="2"/>
    <s v="West"/>
    <s v="Yes"/>
    <s v="Semi-Furnished"/>
    <n v="0"/>
    <n v="4"/>
    <s v="Whitefield Villa"/>
    <n v="3"/>
    <s v="Yes"/>
    <n v="31867000"/>
    <x v="2"/>
    <s v="BRK-02"/>
    <x v="0"/>
    <s v="Tier B"/>
    <n v="1.4999999999999999E-2"/>
    <n v="0"/>
    <n v="0"/>
    <n v="0"/>
  </r>
  <r>
    <x v="2"/>
    <s v="Aundh"/>
    <x v="2"/>
    <n v="2"/>
    <n v="473"/>
    <n v="2555"/>
    <n v="2"/>
    <n v="1980"/>
    <n v="2006"/>
    <s v="Apartment"/>
    <n v="0"/>
    <s v="North"/>
    <s v="Yes"/>
    <s v="Semi-Furnished"/>
    <n v="7"/>
    <n v="2"/>
    <s v="Aundh Residency"/>
    <n v="1"/>
    <s v="No"/>
    <n v="4210500"/>
    <x v="0"/>
    <s v="BRK-03"/>
    <x v="1"/>
    <s v="Tier A"/>
    <n v="0.02"/>
    <n v="84210"/>
    <n v="126315"/>
    <n v="42105"/>
  </r>
  <r>
    <x v="1"/>
    <s v="Dwarka"/>
    <x v="4"/>
    <n v="4"/>
    <n v="2992"/>
    <n v="4141"/>
    <n v="2"/>
    <n v="1990"/>
    <n v="1991"/>
    <s v="Independent House"/>
    <n v="2"/>
    <s v="North"/>
    <s v="Yes"/>
    <s v="Unfurnished"/>
    <n v="5"/>
    <n v="2"/>
    <s v="Dwarka Residency"/>
    <n v="1"/>
    <s v="Yes"/>
    <n v="30270000"/>
    <x v="0"/>
    <s v="BRK-05"/>
    <x v="4"/>
    <s v="Tier B"/>
    <n v="1.4999999999999999E-2"/>
    <n v="454050"/>
    <n v="908100"/>
    <n v="454050"/>
  </r>
  <r>
    <x v="1"/>
    <s v="Rohini"/>
    <x v="1"/>
    <n v="4"/>
    <n v="4571"/>
    <n v="7255"/>
    <n v="1"/>
    <n v="2006"/>
    <n v="2025"/>
    <s v="Builder Floor"/>
    <n v="0"/>
    <s v="West"/>
    <s v="Yes"/>
    <s v="Furnished"/>
    <n v="0"/>
    <n v="5"/>
    <s v="Rohini Residency"/>
    <n v="1"/>
    <s v="Yes"/>
    <n v="46265000"/>
    <x v="2"/>
    <s v="BRK-03"/>
    <x v="1"/>
    <s v="Tier A"/>
    <n v="0.02"/>
    <n v="0"/>
    <n v="0"/>
    <n v="0"/>
  </r>
  <r>
    <x v="0"/>
    <s v="Bandra"/>
    <x v="1"/>
    <n v="2"/>
    <n v="2235"/>
    <n v="6441"/>
    <n v="1"/>
    <n v="2004"/>
    <n v="2017"/>
    <s v="Villa"/>
    <n v="1"/>
    <s v="South"/>
    <s v="Yes"/>
    <s v="Semi-Furnished"/>
    <n v="2"/>
    <n v="4"/>
    <s v="Bandra Residency"/>
    <n v="2"/>
    <s v="No"/>
    <n v="27205000"/>
    <x v="2"/>
    <s v="BRK-05"/>
    <x v="4"/>
    <s v="Tier B"/>
    <n v="1.4999999999999999E-2"/>
    <n v="0"/>
    <n v="0"/>
    <n v="0"/>
  </r>
  <r>
    <x v="2"/>
    <s v="Baner"/>
    <x v="4"/>
    <n v="3"/>
    <n v="4241"/>
    <n v="4946"/>
    <n v="2"/>
    <n v="2000"/>
    <n v="2011"/>
    <s v="Apartment"/>
    <n v="3"/>
    <s v="West"/>
    <s v="No"/>
    <s v="Unfurnished"/>
    <n v="9"/>
    <n v="5"/>
    <s v="Baner Villa"/>
    <n v="1"/>
    <s v="No"/>
    <n v="36293500"/>
    <x v="2"/>
    <s v="BRK-03"/>
    <x v="1"/>
    <s v="Tier A"/>
    <n v="0.02"/>
    <n v="0"/>
    <n v="0"/>
    <n v="0"/>
  </r>
  <r>
    <x v="0"/>
    <s v="Borivali"/>
    <x v="3"/>
    <n v="1"/>
    <n v="2759"/>
    <n v="7684"/>
    <n v="3"/>
    <n v="1969"/>
    <n v="2003"/>
    <s v="Apartment"/>
    <n v="2"/>
    <s v="West"/>
    <s v="No"/>
    <s v="Semi-Furnished"/>
    <n v="7"/>
    <n v="2"/>
    <s v="Borivali Villa"/>
    <n v="3"/>
    <s v="Yes"/>
    <n v="33493000"/>
    <x v="0"/>
    <s v="BRK-05"/>
    <x v="4"/>
    <s v="Tier B"/>
    <n v="1.4999999999999999E-2"/>
    <n v="502395"/>
    <n v="1004790"/>
    <n v="502395"/>
  </r>
  <r>
    <x v="4"/>
    <s v="Koramangala"/>
    <x v="3"/>
    <n v="2"/>
    <n v="1567"/>
    <n v="4723"/>
    <n v="1"/>
    <n v="1951"/>
    <n v="2014"/>
    <s v="Villa"/>
    <n v="3"/>
    <s v="West"/>
    <s v="No"/>
    <s v="Semi-Furnished"/>
    <n v="5"/>
    <n v="3"/>
    <s v="Koramangala Villa"/>
    <n v="2"/>
    <s v="Yes"/>
    <n v="14463000"/>
    <x v="1"/>
    <s v="BRK-04"/>
    <x v="3"/>
    <s v="Tier C"/>
    <n v="0.01"/>
    <n v="0"/>
    <n v="0"/>
    <n v="0"/>
  </r>
  <r>
    <x v="3"/>
    <s v="T Nagar"/>
    <x v="2"/>
    <n v="4"/>
    <n v="4933"/>
    <n v="6313"/>
    <n v="1"/>
    <n v="2005"/>
    <n v="2012"/>
    <s v="Villa"/>
    <n v="3"/>
    <s v="East"/>
    <s v="Yes"/>
    <s v="Unfurnished"/>
    <n v="6"/>
    <n v="3"/>
    <s v="T Nagar Residency"/>
    <n v="1"/>
    <s v="No"/>
    <n v="39694000"/>
    <x v="1"/>
    <s v="BRK-01"/>
    <x v="2"/>
    <s v="Tier A"/>
    <n v="0.02"/>
    <n v="0"/>
    <n v="0"/>
    <n v="0"/>
  </r>
  <r>
    <x v="0"/>
    <s v="Juhu"/>
    <x v="2"/>
    <n v="2"/>
    <n v="2440"/>
    <n v="7449"/>
    <n v="2"/>
    <n v="1968"/>
    <n v="1983"/>
    <s v="Apartment"/>
    <n v="1"/>
    <s v="North"/>
    <s v="Yes"/>
    <s v="Furnished"/>
    <n v="10"/>
    <n v="5"/>
    <s v="Juhu Villa"/>
    <n v="3"/>
    <s v="Yes"/>
    <n v="29625000"/>
    <x v="1"/>
    <s v="BRK-04"/>
    <x v="3"/>
    <s v="Tier C"/>
    <n v="0.01"/>
    <n v="0"/>
    <n v="0"/>
    <n v="0"/>
  </r>
  <r>
    <x v="2"/>
    <s v="Hinjewadi"/>
    <x v="3"/>
    <n v="2"/>
    <n v="3796"/>
    <n v="5917"/>
    <n v="3"/>
    <n v="1988"/>
    <n v="2019"/>
    <s v="Independent House"/>
    <n v="2"/>
    <s v="West"/>
    <s v="Yes"/>
    <s v="Furnished"/>
    <n v="10"/>
    <n v="4"/>
    <s v="Hinjewadi Enclave"/>
    <n v="1"/>
    <s v="No"/>
    <n v="32701000"/>
    <x v="1"/>
    <s v="BRK-03"/>
    <x v="1"/>
    <s v="Tier A"/>
    <n v="0.02"/>
    <n v="0"/>
    <n v="0"/>
    <n v="0"/>
  </r>
  <r>
    <x v="1"/>
    <s v="Vasant Kunj"/>
    <x v="0"/>
    <n v="1"/>
    <n v="1679"/>
    <n v="9785"/>
    <n v="1"/>
    <n v="1962"/>
    <n v="1969"/>
    <s v="Independent House"/>
    <n v="3"/>
    <s v="East"/>
    <s v="No"/>
    <s v="Furnished"/>
    <n v="2"/>
    <n v="2"/>
    <s v="Vasant Kunj Residency"/>
    <n v="1"/>
    <s v="Yes"/>
    <n v="17130000"/>
    <x v="2"/>
    <s v="BRK-05"/>
    <x v="4"/>
    <s v="Tier B"/>
    <n v="1.4999999999999999E-2"/>
    <n v="0"/>
    <n v="0"/>
    <n v="0"/>
  </r>
  <r>
    <x v="3"/>
    <s v="Velachery"/>
    <x v="1"/>
    <n v="1"/>
    <n v="3991"/>
    <n v="8686"/>
    <n v="1"/>
    <n v="1973"/>
    <n v="1984"/>
    <s v="Builder Floor"/>
    <n v="1"/>
    <s v="South"/>
    <s v="No"/>
    <s v="Semi-Furnished"/>
    <n v="7"/>
    <n v="5"/>
    <s v="Velachery Heights"/>
    <n v="1"/>
    <s v="Yes"/>
    <n v="32293000"/>
    <x v="0"/>
    <s v="BRK-02"/>
    <x v="0"/>
    <s v="Tier B"/>
    <n v="1.4999999999999999E-2"/>
    <n v="484395"/>
    <n v="968790"/>
    <n v="484395"/>
  </r>
  <r>
    <x v="4"/>
    <s v="Whitefield"/>
    <x v="3"/>
    <n v="1"/>
    <n v="2567"/>
    <n v="3143"/>
    <n v="2"/>
    <n v="1953"/>
    <n v="1982"/>
    <s v="Independent House"/>
    <n v="3"/>
    <s v="North"/>
    <s v="Yes"/>
    <s v="Furnished"/>
    <n v="4"/>
    <n v="0"/>
    <s v="Whitefield Heights"/>
    <n v="0"/>
    <s v="Yes"/>
    <n v="23523000"/>
    <x v="2"/>
    <s v="BRK-01"/>
    <x v="2"/>
    <s v="Tier A"/>
    <n v="0.02"/>
    <n v="0"/>
    <n v="0"/>
    <n v="0"/>
  </r>
  <r>
    <x v="2"/>
    <s v="Kothrud"/>
    <x v="3"/>
    <n v="3"/>
    <n v="4280"/>
    <n v="8206"/>
    <n v="2"/>
    <n v="2004"/>
    <n v="2013"/>
    <s v="Villa"/>
    <n v="2"/>
    <s v="East"/>
    <s v="Yes"/>
    <s v="Semi-Furnished"/>
    <n v="10"/>
    <n v="3"/>
    <s v="Kothrud Villa"/>
    <n v="0"/>
    <s v="No"/>
    <n v="36735000"/>
    <x v="2"/>
    <s v="BRK-05"/>
    <x v="4"/>
    <s v="Tier B"/>
    <n v="1.4999999999999999E-2"/>
    <n v="0"/>
    <n v="0"/>
    <n v="0"/>
  </r>
  <r>
    <x v="4"/>
    <s v="Whitefield"/>
    <x v="2"/>
    <n v="4"/>
    <n v="3591"/>
    <n v="9582"/>
    <n v="1"/>
    <n v="1953"/>
    <n v="1967"/>
    <s v="Villa"/>
    <n v="1"/>
    <s v="East"/>
    <s v="No"/>
    <s v="Unfurnished"/>
    <n v="10"/>
    <n v="5"/>
    <s v="Whitefield Villa"/>
    <n v="3"/>
    <s v="Yes"/>
    <n v="32604000"/>
    <x v="2"/>
    <s v="BRK-02"/>
    <x v="0"/>
    <s v="Tier B"/>
    <n v="1.4999999999999999E-2"/>
    <n v="0"/>
    <n v="0"/>
    <n v="0"/>
  </r>
  <r>
    <x v="0"/>
    <s v="Juhu"/>
    <x v="2"/>
    <n v="3"/>
    <n v="674"/>
    <n v="6057"/>
    <n v="3"/>
    <n v="2006"/>
    <n v="2012"/>
    <s v="Independent House"/>
    <n v="3"/>
    <s v="North"/>
    <s v="No"/>
    <s v="Semi-Furnished"/>
    <n v="7"/>
    <n v="5"/>
    <s v="Juhu Heights"/>
    <n v="3"/>
    <s v="No"/>
    <n v="8333000"/>
    <x v="1"/>
    <s v="BRK-01"/>
    <x v="2"/>
    <s v="Tier A"/>
    <n v="0.02"/>
    <n v="0"/>
    <n v="0"/>
    <n v="0"/>
  </r>
  <r>
    <x v="2"/>
    <s v="Hinjewadi"/>
    <x v="4"/>
    <n v="1"/>
    <n v="1347"/>
    <n v="9555"/>
    <n v="1"/>
    <n v="1988"/>
    <n v="2022"/>
    <s v="Independent House"/>
    <n v="1"/>
    <s v="West"/>
    <s v="Yes"/>
    <s v="Semi-Furnished"/>
    <n v="10"/>
    <n v="4"/>
    <s v="Hinjewadi Residency"/>
    <n v="1"/>
    <s v="Yes"/>
    <n v="11689500"/>
    <x v="0"/>
    <s v="BRK-03"/>
    <x v="1"/>
    <s v="Tier A"/>
    <n v="0.02"/>
    <n v="233790"/>
    <n v="350685"/>
    <n v="116895"/>
  </r>
  <r>
    <x v="1"/>
    <s v="Dwarka"/>
    <x v="2"/>
    <n v="4"/>
    <n v="539"/>
    <n v="3214"/>
    <n v="2"/>
    <n v="1999"/>
    <n v="2022"/>
    <s v="Villa"/>
    <n v="1"/>
    <s v="East"/>
    <s v="No"/>
    <s v="Unfurnished"/>
    <n v="1"/>
    <n v="5"/>
    <s v="Dwarka Residency"/>
    <n v="3"/>
    <s v="Yes"/>
    <n v="5695000"/>
    <x v="2"/>
    <s v="BRK-02"/>
    <x v="0"/>
    <s v="Tier B"/>
    <n v="1.4999999999999999E-2"/>
    <n v="0"/>
    <n v="0"/>
    <n v="0"/>
  </r>
  <r>
    <x v="4"/>
    <s v="Koramangala"/>
    <x v="1"/>
    <n v="1"/>
    <n v="3111"/>
    <n v="6249"/>
    <n v="3"/>
    <n v="1998"/>
    <n v="2017"/>
    <s v="Independent House"/>
    <n v="1"/>
    <s v="South"/>
    <s v="No"/>
    <s v="Furnished"/>
    <n v="4"/>
    <n v="0"/>
    <s v="Koramangala Heights"/>
    <n v="0"/>
    <s v="No"/>
    <n v="28414000"/>
    <x v="0"/>
    <s v="BRK-01"/>
    <x v="2"/>
    <s v="Tier A"/>
    <n v="0.02"/>
    <n v="568280"/>
    <n v="852420"/>
    <n v="284140"/>
  </r>
  <r>
    <x v="2"/>
    <s v="Hinjewadi"/>
    <x v="2"/>
    <n v="3"/>
    <n v="1343"/>
    <n v="6527"/>
    <n v="2"/>
    <n v="2023"/>
    <n v="0"/>
    <s v="Villa"/>
    <n v="0"/>
    <s v="South"/>
    <s v="No"/>
    <s v="Semi-Furnished"/>
    <n v="5"/>
    <n v="2"/>
    <s v="Hinjewadi Residency"/>
    <n v="1"/>
    <s v="Yes"/>
    <n v="11660500"/>
    <x v="2"/>
    <s v="BRK-04"/>
    <x v="3"/>
    <s v="Tier C"/>
    <n v="0.01"/>
    <n v="0"/>
    <n v="0"/>
    <n v="0"/>
  </r>
  <r>
    <x v="3"/>
    <s v="T Nagar"/>
    <x v="1"/>
    <n v="4"/>
    <n v="2888"/>
    <n v="4123"/>
    <n v="2"/>
    <n v="1978"/>
    <n v="2008"/>
    <s v="Independent House"/>
    <n v="1"/>
    <s v="East"/>
    <s v="Yes"/>
    <s v="Unfurnished"/>
    <n v="10"/>
    <n v="5"/>
    <s v="T Nagar Heights"/>
    <n v="2"/>
    <s v="No"/>
    <n v="23569000"/>
    <x v="1"/>
    <s v="BRK-05"/>
    <x v="4"/>
    <s v="Tier B"/>
    <n v="1.4999999999999999E-2"/>
    <n v="0"/>
    <n v="0"/>
    <n v="0"/>
  </r>
  <r>
    <x v="2"/>
    <s v="Kothrud"/>
    <x v="0"/>
    <n v="4"/>
    <n v="2067"/>
    <n v="6172"/>
    <n v="2"/>
    <n v="1998"/>
    <n v="1998"/>
    <s v="Villa"/>
    <n v="1"/>
    <s v="South"/>
    <s v="Yes"/>
    <s v="Unfurnished"/>
    <n v="0"/>
    <n v="1"/>
    <s v="Kothrud Villa"/>
    <n v="3"/>
    <s v="No"/>
    <n v="17949500"/>
    <x v="0"/>
    <s v="BRK-02"/>
    <x v="0"/>
    <s v="Tier B"/>
    <n v="1.4999999999999999E-2"/>
    <n v="269242.5"/>
    <n v="538485"/>
    <n v="269242.5"/>
  </r>
  <r>
    <x v="1"/>
    <s v="Dwarka"/>
    <x v="1"/>
    <n v="4"/>
    <n v="3064"/>
    <n v="6574"/>
    <n v="3"/>
    <n v="2010"/>
    <n v="2020"/>
    <s v="Independent House"/>
    <n v="3"/>
    <s v="North"/>
    <s v="No"/>
    <s v="Semi-Furnished"/>
    <n v="3"/>
    <n v="5"/>
    <s v="Dwarka Villa"/>
    <n v="0"/>
    <s v="Yes"/>
    <n v="31120000"/>
    <x v="2"/>
    <s v="BRK-05"/>
    <x v="4"/>
    <s v="Tier B"/>
    <n v="1.4999999999999999E-2"/>
    <n v="0"/>
    <n v="0"/>
    <n v="0"/>
  </r>
  <r>
    <x v="4"/>
    <s v="HSR Layout"/>
    <x v="2"/>
    <n v="3"/>
    <n v="4048"/>
    <n v="9460"/>
    <n v="1"/>
    <n v="2023"/>
    <n v="2023"/>
    <s v="Independent House"/>
    <n v="3"/>
    <s v="East"/>
    <s v="Yes"/>
    <s v="Furnished"/>
    <n v="3"/>
    <n v="5"/>
    <s v="HSR Layout Residency"/>
    <n v="0"/>
    <s v="No"/>
    <n v="36692000"/>
    <x v="0"/>
    <s v="BRK-02"/>
    <x v="0"/>
    <s v="Tier B"/>
    <n v="1.4999999999999999E-2"/>
    <n v="550380"/>
    <n v="1100760"/>
    <n v="550380"/>
  </r>
  <r>
    <x v="2"/>
    <s v="Kothrud"/>
    <x v="4"/>
    <n v="4"/>
    <n v="3798"/>
    <n v="9414"/>
    <n v="1"/>
    <n v="1957"/>
    <n v="1968"/>
    <s v="Villa"/>
    <n v="3"/>
    <s v="South"/>
    <s v="Yes"/>
    <s v="Furnished"/>
    <n v="8"/>
    <n v="5"/>
    <s v="Kothrud Enclave"/>
    <n v="3"/>
    <s v="Yes"/>
    <n v="32718000"/>
    <x v="1"/>
    <s v="BRK-05"/>
    <x v="4"/>
    <s v="Tier B"/>
    <n v="1.4999999999999999E-2"/>
    <n v="0"/>
    <n v="0"/>
    <n v="0"/>
  </r>
  <r>
    <x v="3"/>
    <s v="Velachery"/>
    <x v="2"/>
    <n v="1"/>
    <n v="2273"/>
    <n v="5572"/>
    <n v="2"/>
    <n v="1988"/>
    <n v="2025"/>
    <s v="Apartment"/>
    <n v="3"/>
    <s v="North"/>
    <s v="No"/>
    <s v="Unfurnished"/>
    <n v="6"/>
    <n v="2"/>
    <s v="Velachery Villa"/>
    <n v="2"/>
    <s v="Yes"/>
    <n v="18384000"/>
    <x v="0"/>
    <s v="BRK-01"/>
    <x v="2"/>
    <s v="Tier A"/>
    <n v="0.02"/>
    <n v="367680"/>
    <n v="551520"/>
    <n v="183840"/>
  </r>
  <r>
    <x v="0"/>
    <s v="Andheri"/>
    <x v="2"/>
    <n v="1"/>
    <n v="4307"/>
    <n v="9611"/>
    <n v="3"/>
    <n v="2015"/>
    <n v="2017"/>
    <s v="Builder Floor"/>
    <n v="3"/>
    <s v="East"/>
    <s v="Yes"/>
    <s v="Unfurnished"/>
    <n v="2"/>
    <n v="3"/>
    <s v="Andheri Villa"/>
    <n v="3"/>
    <s v="No"/>
    <n v="51894000"/>
    <x v="0"/>
    <s v="BRK-01"/>
    <x v="2"/>
    <s v="Tier A"/>
    <n v="0.02"/>
    <n v="1037880"/>
    <n v="1556820"/>
    <n v="518940"/>
  </r>
  <r>
    <x v="2"/>
    <s v="Hinjewadi"/>
    <x v="2"/>
    <n v="3"/>
    <n v="820"/>
    <n v="9676"/>
    <n v="1"/>
    <n v="2001"/>
    <n v="2022"/>
    <s v="Builder Floor"/>
    <n v="3"/>
    <s v="West"/>
    <s v="Yes"/>
    <s v="Unfurnished"/>
    <n v="9"/>
    <n v="4"/>
    <s v="Hinjewadi Heights"/>
    <n v="1"/>
    <s v="Yes"/>
    <n v="7220000"/>
    <x v="1"/>
    <s v="BRK-04"/>
    <x v="3"/>
    <s v="Tier C"/>
    <n v="0.01"/>
    <n v="0"/>
    <n v="0"/>
    <n v="0"/>
  </r>
  <r>
    <x v="1"/>
    <s v="Lajpat Nagar"/>
    <x v="4"/>
    <n v="1"/>
    <n v="4844"/>
    <n v="8557"/>
    <n v="2"/>
    <n v="1965"/>
    <n v="1966"/>
    <s v="Apartment"/>
    <n v="1"/>
    <s v="South"/>
    <s v="Yes"/>
    <s v="Unfurnished"/>
    <n v="4"/>
    <n v="0"/>
    <s v="Lajpat Nagar Heights"/>
    <n v="0"/>
    <s v="No"/>
    <n v="48635000"/>
    <x v="1"/>
    <s v="BRK-01"/>
    <x v="2"/>
    <s v="Tier A"/>
    <n v="0.02"/>
    <n v="0"/>
    <n v="0"/>
    <n v="0"/>
  </r>
  <r>
    <x v="4"/>
    <s v="HSR Layout"/>
    <x v="4"/>
    <n v="4"/>
    <n v="300"/>
    <n v="4418"/>
    <n v="2"/>
    <n v="1955"/>
    <n v="2020"/>
    <s v="Villa"/>
    <n v="3"/>
    <s v="South"/>
    <s v="No"/>
    <s v="Unfurnished"/>
    <n v="5"/>
    <n v="4"/>
    <s v="HSR Layout Enclave"/>
    <n v="1"/>
    <s v="Yes"/>
    <n v="3025000"/>
    <x v="2"/>
    <s v="BRK-05"/>
    <x v="4"/>
    <s v="Tier B"/>
    <n v="1.4999999999999999E-2"/>
    <n v="0"/>
    <n v="0"/>
    <n v="0"/>
  </r>
  <r>
    <x v="0"/>
    <s v="Bandra"/>
    <x v="2"/>
    <n v="2"/>
    <n v="1460"/>
    <n v="6420"/>
    <n v="1"/>
    <n v="1967"/>
    <n v="2004"/>
    <s v="Apartment"/>
    <n v="2"/>
    <s v="East"/>
    <s v="Yes"/>
    <s v="Unfurnished"/>
    <n v="9"/>
    <n v="3"/>
    <s v="Bandra Heights"/>
    <n v="2"/>
    <s v="No"/>
    <n v="17705000"/>
    <x v="2"/>
    <s v="BRK-01"/>
    <x v="2"/>
    <s v="Tier A"/>
    <n v="0.02"/>
    <n v="0"/>
    <n v="0"/>
    <n v="0"/>
  </r>
  <r>
    <x v="3"/>
    <s v="Velachery"/>
    <x v="3"/>
    <n v="4"/>
    <n v="982"/>
    <n v="5196"/>
    <n v="3"/>
    <n v="2004"/>
    <n v="2025"/>
    <s v="Apartment"/>
    <n v="1"/>
    <s v="North"/>
    <s v="No"/>
    <s v="Unfurnished"/>
    <n v="10"/>
    <n v="1"/>
    <s v="Velachery Enclave"/>
    <n v="1"/>
    <s v="No"/>
    <n v="8251000"/>
    <x v="0"/>
    <s v="BRK-05"/>
    <x v="4"/>
    <s v="Tier B"/>
    <n v="1.4999999999999999E-2"/>
    <n v="123765"/>
    <n v="247530"/>
    <n v="123765"/>
  </r>
  <r>
    <x v="1"/>
    <s v="Saket"/>
    <x v="3"/>
    <n v="4"/>
    <n v="512"/>
    <n v="4617"/>
    <n v="1"/>
    <n v="1984"/>
    <n v="1990"/>
    <s v="Builder Floor"/>
    <n v="3"/>
    <s v="North"/>
    <s v="No"/>
    <s v="Unfurnished"/>
    <n v="1"/>
    <n v="2"/>
    <s v="Saket Enclave"/>
    <n v="2"/>
    <s v="Yes"/>
    <n v="5540000"/>
    <x v="2"/>
    <s v="BRK-02"/>
    <x v="0"/>
    <s v="Tier B"/>
    <n v="1.4999999999999999E-2"/>
    <n v="0"/>
    <n v="0"/>
    <n v="0"/>
  </r>
  <r>
    <x v="1"/>
    <s v="Saket"/>
    <x v="2"/>
    <n v="1"/>
    <n v="3389"/>
    <n v="5259"/>
    <n v="2"/>
    <n v="1963"/>
    <n v="1977"/>
    <s v="Apartment"/>
    <n v="2"/>
    <s v="West"/>
    <s v="Yes"/>
    <s v="Unfurnished"/>
    <n v="5"/>
    <n v="5"/>
    <s v="Saket Enclave"/>
    <n v="2"/>
    <s v="Yes"/>
    <n v="34115000"/>
    <x v="1"/>
    <s v="BRK-03"/>
    <x v="1"/>
    <s v="Tier A"/>
    <n v="0.02"/>
    <n v="0"/>
    <n v="0"/>
    <n v="0"/>
  </r>
  <r>
    <x v="0"/>
    <s v="Bandra"/>
    <x v="0"/>
    <n v="4"/>
    <n v="1780"/>
    <n v="4657"/>
    <n v="3"/>
    <n v="2018"/>
    <n v="2025"/>
    <s v="Independent House"/>
    <n v="3"/>
    <s v="South"/>
    <s v="No"/>
    <s v="Furnished"/>
    <n v="10"/>
    <n v="4"/>
    <s v="Bandra Residency"/>
    <n v="1"/>
    <s v="Yes"/>
    <n v="21830000"/>
    <x v="1"/>
    <s v="BRK-02"/>
    <x v="0"/>
    <s v="Tier B"/>
    <n v="1.4999999999999999E-2"/>
    <n v="0"/>
    <n v="0"/>
    <n v="0"/>
  </r>
  <r>
    <x v="3"/>
    <s v="Perambur"/>
    <x v="0"/>
    <n v="1"/>
    <n v="3332"/>
    <n v="9177"/>
    <n v="1"/>
    <n v="2003"/>
    <n v="2024"/>
    <s v="Independent House"/>
    <n v="1"/>
    <s v="West"/>
    <s v="No"/>
    <s v="Semi-Furnished"/>
    <n v="8"/>
    <n v="2"/>
    <s v="Perambur Enclave"/>
    <n v="3"/>
    <s v="Yes"/>
    <n v="26951000"/>
    <x v="0"/>
    <s v="BRK-03"/>
    <x v="1"/>
    <s v="Tier A"/>
    <n v="0.02"/>
    <n v="539020"/>
    <n v="808530"/>
    <n v="269510"/>
  </r>
  <r>
    <x v="4"/>
    <s v="Whitefield"/>
    <x v="0"/>
    <n v="4"/>
    <n v="2861"/>
    <n v="9835"/>
    <n v="1"/>
    <n v="1960"/>
    <n v="1968"/>
    <s v="Apartment"/>
    <n v="0"/>
    <s v="South"/>
    <s v="Yes"/>
    <s v="Furnished"/>
    <n v="4"/>
    <n v="4"/>
    <s v="Whitefield Villa"/>
    <n v="0"/>
    <s v="No"/>
    <n v="26139000"/>
    <x v="2"/>
    <s v="BRK-04"/>
    <x v="3"/>
    <s v="Tier C"/>
    <n v="0.01"/>
    <n v="0"/>
    <n v="0"/>
    <n v="0"/>
  </r>
  <r>
    <x v="2"/>
    <s v="Hinjewadi"/>
    <x v="3"/>
    <n v="4"/>
    <n v="4518"/>
    <n v="8929"/>
    <n v="3"/>
    <n v="1965"/>
    <n v="1989"/>
    <s v="Builder Floor"/>
    <n v="1"/>
    <s v="North"/>
    <s v="No"/>
    <s v="Unfurnished"/>
    <n v="8"/>
    <n v="5"/>
    <s v="Hinjewadi Enclave"/>
    <n v="1"/>
    <s v="Yes"/>
    <n v="38848000"/>
    <x v="0"/>
    <s v="BRK-01"/>
    <x v="2"/>
    <s v="Tier A"/>
    <n v="0.02"/>
    <n v="776960"/>
    <n v="1165440"/>
    <n v="388480"/>
  </r>
  <r>
    <x v="2"/>
    <s v="Baner"/>
    <x v="4"/>
    <n v="2"/>
    <n v="1732"/>
    <n v="3012"/>
    <n v="2"/>
    <n v="1967"/>
    <n v="1998"/>
    <s v="Villa"/>
    <n v="0"/>
    <s v="West"/>
    <s v="No"/>
    <s v="Semi-Furnished"/>
    <n v="2"/>
    <n v="2"/>
    <s v="Baner Heights"/>
    <n v="2"/>
    <s v="Yes"/>
    <n v="15002000"/>
    <x v="0"/>
    <s v="BRK-02"/>
    <x v="0"/>
    <s v="Tier B"/>
    <n v="1.4999999999999999E-2"/>
    <n v="225030"/>
    <n v="450060"/>
    <n v="225030"/>
  </r>
  <r>
    <x v="2"/>
    <s v="Kothrud"/>
    <x v="0"/>
    <n v="3"/>
    <n v="4257"/>
    <n v="6711"/>
    <n v="2"/>
    <n v="1977"/>
    <n v="0"/>
    <s v="Independent House"/>
    <n v="1"/>
    <s v="East"/>
    <s v="Yes"/>
    <s v="Semi-Furnished"/>
    <n v="9"/>
    <n v="3"/>
    <s v="Kothrud Heights"/>
    <n v="2"/>
    <s v="Yes"/>
    <n v="36569500"/>
    <x v="0"/>
    <s v="BRK-05"/>
    <x v="4"/>
    <s v="Tier B"/>
    <n v="1.4999999999999999E-2"/>
    <n v="548542.5"/>
    <n v="1097085"/>
    <n v="548542.5"/>
  </r>
  <r>
    <x v="2"/>
    <s v="Baner"/>
    <x v="0"/>
    <n v="3"/>
    <n v="3199"/>
    <n v="4126"/>
    <n v="1"/>
    <n v="1994"/>
    <n v="2004"/>
    <s v="Independent House"/>
    <n v="2"/>
    <s v="North"/>
    <s v="Yes"/>
    <s v="Semi-Furnished"/>
    <n v="7"/>
    <n v="1"/>
    <s v="Baner Heights"/>
    <n v="1"/>
    <s v="No"/>
    <n v="27491500"/>
    <x v="1"/>
    <s v="BRK-04"/>
    <x v="3"/>
    <s v="Tier C"/>
    <n v="0.01"/>
    <n v="0"/>
    <n v="0"/>
    <n v="0"/>
  </r>
  <r>
    <x v="0"/>
    <s v="Borivali"/>
    <x v="2"/>
    <n v="2"/>
    <n v="2349"/>
    <n v="4251"/>
    <n v="2"/>
    <n v="2000"/>
    <n v="2010"/>
    <s v="Villa"/>
    <n v="2"/>
    <s v="West"/>
    <s v="Yes"/>
    <s v="Unfurnished"/>
    <n v="4"/>
    <n v="0"/>
    <s v="Borivali Villa"/>
    <n v="3"/>
    <s v="Yes"/>
    <n v="28458000"/>
    <x v="2"/>
    <s v="BRK-02"/>
    <x v="0"/>
    <s v="Tier B"/>
    <n v="1.4999999999999999E-2"/>
    <n v="0"/>
    <n v="0"/>
    <n v="0"/>
  </r>
  <r>
    <x v="1"/>
    <s v="Saket"/>
    <x v="3"/>
    <n v="1"/>
    <n v="3242"/>
    <n v="9101"/>
    <n v="1"/>
    <n v="1964"/>
    <n v="1975"/>
    <s v="Villa"/>
    <n v="0"/>
    <s v="South"/>
    <s v="No"/>
    <s v="Semi-Furnished"/>
    <n v="5"/>
    <n v="0"/>
    <s v="Saket Residency"/>
    <n v="1"/>
    <s v="No"/>
    <n v="32685000"/>
    <x v="0"/>
    <s v="BRK-05"/>
    <x v="4"/>
    <s v="Tier B"/>
    <n v="1.4999999999999999E-2"/>
    <n v="490275"/>
    <n v="980550"/>
    <n v="490275"/>
  </r>
  <r>
    <x v="4"/>
    <s v="Whitefield"/>
    <x v="3"/>
    <n v="4"/>
    <n v="4806"/>
    <n v="8915"/>
    <n v="3"/>
    <n v="1966"/>
    <n v="1985"/>
    <s v="Independent House"/>
    <n v="3"/>
    <s v="South"/>
    <s v="Yes"/>
    <s v="Furnished"/>
    <n v="0"/>
    <n v="1"/>
    <s v="Whitefield Residency"/>
    <n v="2"/>
    <s v="Yes"/>
    <n v="43814000"/>
    <x v="2"/>
    <s v="BRK-03"/>
    <x v="1"/>
    <s v="Tier A"/>
    <n v="0.02"/>
    <n v="0"/>
    <n v="0"/>
    <n v="0"/>
  </r>
  <r>
    <x v="1"/>
    <s v="Dwarka"/>
    <x v="0"/>
    <n v="4"/>
    <n v="365"/>
    <n v="7531"/>
    <n v="2"/>
    <n v="1987"/>
    <n v="2004"/>
    <s v="Independent House"/>
    <n v="0"/>
    <s v="West"/>
    <s v="Yes"/>
    <s v="Unfurnished"/>
    <n v="2"/>
    <n v="5"/>
    <s v="Dwarka Residency"/>
    <n v="1"/>
    <s v="No"/>
    <n v="4000000"/>
    <x v="0"/>
    <s v="BRK-01"/>
    <x v="2"/>
    <s v="Tier A"/>
    <n v="0.02"/>
    <n v="80000"/>
    <n v="120000"/>
    <n v="40000"/>
  </r>
  <r>
    <x v="0"/>
    <s v="Juhu"/>
    <x v="4"/>
    <n v="4"/>
    <n v="1925"/>
    <n v="5857"/>
    <n v="3"/>
    <n v="1963"/>
    <n v="1985"/>
    <s v="Apartment"/>
    <n v="1"/>
    <s v="South"/>
    <s v="Yes"/>
    <s v="Furnished"/>
    <n v="6"/>
    <n v="0"/>
    <s v="Juhu Enclave"/>
    <n v="1"/>
    <s v="Yes"/>
    <n v="23545000"/>
    <x v="0"/>
    <s v="BRK-05"/>
    <x v="4"/>
    <s v="Tier B"/>
    <n v="1.4999999999999999E-2"/>
    <n v="353175"/>
    <n v="706350"/>
    <n v="353175"/>
  </r>
  <r>
    <x v="3"/>
    <s v="T Nagar"/>
    <x v="1"/>
    <n v="2"/>
    <n v="1044"/>
    <n v="1928"/>
    <n v="2"/>
    <n v="2002"/>
    <n v="2017"/>
    <s v="Villa"/>
    <n v="1"/>
    <s v="South"/>
    <s v="No"/>
    <s v="Semi-Furnished"/>
    <n v="7"/>
    <n v="0"/>
    <s v="T Nagar Villa"/>
    <n v="0"/>
    <s v="No"/>
    <n v="8702000"/>
    <x v="0"/>
    <s v="BRK-02"/>
    <x v="0"/>
    <s v="Tier B"/>
    <n v="1.4999999999999999E-2"/>
    <n v="130530"/>
    <n v="261060"/>
    <n v="130530"/>
  </r>
  <r>
    <x v="0"/>
    <s v="Juhu"/>
    <x v="0"/>
    <n v="3"/>
    <n v="3175"/>
    <n v="9054"/>
    <n v="2"/>
    <n v="1981"/>
    <n v="2000"/>
    <s v="Builder Floor"/>
    <n v="1"/>
    <s v="North"/>
    <s v="Yes"/>
    <s v="Furnished"/>
    <n v="10"/>
    <n v="5"/>
    <s v="Juhu Enclave"/>
    <n v="1"/>
    <s v="No"/>
    <n v="38495000"/>
    <x v="0"/>
    <s v="BRK-03"/>
    <x v="1"/>
    <s v="Tier A"/>
    <n v="0.02"/>
    <n v="769900"/>
    <n v="1154850"/>
    <n v="384950"/>
  </r>
  <r>
    <x v="3"/>
    <s v="Adyar"/>
    <x v="1"/>
    <n v="1"/>
    <n v="3829"/>
    <n v="5393"/>
    <n v="2"/>
    <n v="2012"/>
    <n v="2016"/>
    <s v="Villa"/>
    <n v="2"/>
    <s v="North"/>
    <s v="Yes"/>
    <s v="Unfurnished"/>
    <n v="0"/>
    <n v="5"/>
    <s v="Adyar Residency"/>
    <n v="2"/>
    <s v="No"/>
    <n v="31007000"/>
    <x v="0"/>
    <s v="BRK-01"/>
    <x v="2"/>
    <s v="Tier A"/>
    <n v="0.02"/>
    <n v="620140"/>
    <n v="930210"/>
    <n v="310070"/>
  </r>
  <r>
    <x v="4"/>
    <s v="HSR Layout"/>
    <x v="1"/>
    <n v="3"/>
    <n v="2251"/>
    <n v="7627"/>
    <n v="2"/>
    <n v="1976"/>
    <n v="2012"/>
    <s v="Independent House"/>
    <n v="0"/>
    <s v="North"/>
    <s v="Yes"/>
    <s v="Unfurnished"/>
    <n v="9"/>
    <n v="0"/>
    <s v="HSR Layout Heights"/>
    <n v="1"/>
    <s v="Yes"/>
    <n v="20729000"/>
    <x v="0"/>
    <s v="BRK-01"/>
    <x v="2"/>
    <s v="Tier A"/>
    <n v="0.02"/>
    <n v="414580"/>
    <n v="621870"/>
    <n v="207290"/>
  </r>
  <r>
    <x v="3"/>
    <s v="T Nagar"/>
    <x v="2"/>
    <n v="3"/>
    <n v="2769"/>
    <n v="8761"/>
    <n v="2"/>
    <n v="1975"/>
    <n v="2008"/>
    <s v="Apartment"/>
    <n v="0"/>
    <s v="South"/>
    <s v="Yes"/>
    <s v="Semi-Furnished"/>
    <n v="8"/>
    <n v="5"/>
    <s v="T Nagar Enclave"/>
    <n v="2"/>
    <s v="No"/>
    <n v="22387000"/>
    <x v="2"/>
    <s v="BRK-02"/>
    <x v="0"/>
    <s v="Tier B"/>
    <n v="1.4999999999999999E-2"/>
    <n v="0"/>
    <n v="0"/>
    <n v="0"/>
  </r>
  <r>
    <x v="3"/>
    <s v="T Nagar"/>
    <x v="3"/>
    <n v="1"/>
    <n v="4255"/>
    <n v="7737"/>
    <n v="3"/>
    <n v="2014"/>
    <n v="2025"/>
    <s v="Builder Floor"/>
    <n v="1"/>
    <s v="East"/>
    <s v="Yes"/>
    <s v="Semi-Furnished"/>
    <n v="0"/>
    <n v="4"/>
    <s v="T Nagar Heights"/>
    <n v="1"/>
    <s v="No"/>
    <n v="34370000"/>
    <x v="2"/>
    <s v="BRK-04"/>
    <x v="3"/>
    <s v="Tier C"/>
    <n v="0.01"/>
    <n v="0"/>
    <n v="0"/>
    <n v="0"/>
  </r>
  <r>
    <x v="3"/>
    <s v="Perambur"/>
    <x v="1"/>
    <n v="1"/>
    <n v="1655"/>
    <n v="8877"/>
    <n v="3"/>
    <n v="1999"/>
    <n v="2015"/>
    <s v="Independent House"/>
    <n v="3"/>
    <s v="East"/>
    <s v="Yes"/>
    <s v="Furnished"/>
    <n v="0"/>
    <n v="1"/>
    <s v="Perambur Residency"/>
    <n v="0"/>
    <s v="No"/>
    <n v="13680000"/>
    <x v="2"/>
    <s v="BRK-03"/>
    <x v="1"/>
    <s v="Tier A"/>
    <n v="0.02"/>
    <n v="0"/>
    <n v="0"/>
    <n v="0"/>
  </r>
  <r>
    <x v="2"/>
    <s v="Aundh"/>
    <x v="0"/>
    <n v="3"/>
    <n v="2104"/>
    <n v="4581"/>
    <n v="3"/>
    <n v="1984"/>
    <n v="2018"/>
    <s v="Builder Floor"/>
    <n v="1"/>
    <s v="South"/>
    <s v="Yes"/>
    <s v="Unfurnished"/>
    <n v="3"/>
    <n v="2"/>
    <s v="Aundh Heights"/>
    <n v="1"/>
    <s v="No"/>
    <n v="18224000"/>
    <x v="0"/>
    <s v="BRK-01"/>
    <x v="2"/>
    <s v="Tier A"/>
    <n v="0.02"/>
    <n v="364480"/>
    <n v="546720"/>
    <n v="182240"/>
  </r>
  <r>
    <x v="1"/>
    <s v="Saket"/>
    <x v="2"/>
    <n v="2"/>
    <n v="2020"/>
    <n v="6449"/>
    <n v="1"/>
    <n v="1950"/>
    <n v="1993"/>
    <s v="Villa"/>
    <n v="2"/>
    <s v="North"/>
    <s v="No"/>
    <s v="Unfurnished"/>
    <n v="2"/>
    <n v="3"/>
    <s v="Saket Enclave"/>
    <n v="2"/>
    <s v="Yes"/>
    <n v="20410000"/>
    <x v="2"/>
    <s v="BRK-01"/>
    <x v="2"/>
    <s v="Tier A"/>
    <n v="0.02"/>
    <n v="0"/>
    <n v="0"/>
    <n v="0"/>
  </r>
  <r>
    <x v="0"/>
    <s v="Juhu"/>
    <x v="4"/>
    <n v="3"/>
    <n v="1747"/>
    <n v="5991"/>
    <n v="1"/>
    <n v="2018"/>
    <n v="2018"/>
    <s v="Independent House"/>
    <n v="2"/>
    <s v="South"/>
    <s v="No"/>
    <s v="Furnished"/>
    <n v="5"/>
    <n v="2"/>
    <s v="Juhu Residency"/>
    <n v="3"/>
    <s v="Yes"/>
    <n v="21344000"/>
    <x v="2"/>
    <s v="BRK-01"/>
    <x v="2"/>
    <s v="Tier A"/>
    <n v="0.02"/>
    <n v="0"/>
    <n v="0"/>
    <n v="0"/>
  </r>
  <r>
    <x v="3"/>
    <s v="Velachery"/>
    <x v="3"/>
    <n v="3"/>
    <n v="1515"/>
    <n v="9413"/>
    <n v="1"/>
    <n v="2013"/>
    <n v="2014"/>
    <s v="Independent House"/>
    <n v="1"/>
    <s v="South"/>
    <s v="Yes"/>
    <s v="Unfurnished"/>
    <n v="7"/>
    <n v="5"/>
    <s v="Velachery Residency"/>
    <n v="2"/>
    <s v="Yes"/>
    <n v="12535000"/>
    <x v="2"/>
    <s v="BRK-03"/>
    <x v="1"/>
    <s v="Tier A"/>
    <n v="0.02"/>
    <n v="0"/>
    <n v="0"/>
    <n v="0"/>
  </r>
  <r>
    <x v="4"/>
    <s v="Koramangala"/>
    <x v="4"/>
    <n v="4"/>
    <n v="1838"/>
    <n v="2456"/>
    <n v="1"/>
    <n v="1959"/>
    <n v="2012"/>
    <s v="Apartment"/>
    <n v="3"/>
    <s v="West"/>
    <s v="Yes"/>
    <s v="Unfurnished"/>
    <n v="8"/>
    <n v="1"/>
    <s v="Koramangala Heights"/>
    <n v="0"/>
    <s v="No"/>
    <n v="16807000"/>
    <x v="2"/>
    <s v="BRK-01"/>
    <x v="2"/>
    <s v="Tier A"/>
    <n v="0.02"/>
    <n v="0"/>
    <n v="0"/>
    <n v="0"/>
  </r>
  <r>
    <x v="3"/>
    <s v="T Nagar"/>
    <x v="2"/>
    <n v="1"/>
    <n v="658"/>
    <n v="2873"/>
    <n v="1"/>
    <n v="1960"/>
    <n v="1993"/>
    <s v="Apartment"/>
    <n v="0"/>
    <s v="North"/>
    <s v="Yes"/>
    <s v="Unfurnished"/>
    <n v="5"/>
    <n v="5"/>
    <s v="T Nagar Heights"/>
    <n v="1"/>
    <s v="Yes"/>
    <n v="5454000"/>
    <x v="1"/>
    <s v="BRK-02"/>
    <x v="0"/>
    <s v="Tier B"/>
    <n v="1.4999999999999999E-2"/>
    <n v="0"/>
    <n v="0"/>
    <n v="0"/>
  </r>
  <r>
    <x v="3"/>
    <s v="Perambur"/>
    <x v="3"/>
    <n v="2"/>
    <n v="2818"/>
    <n v="5585"/>
    <n v="2"/>
    <n v="1969"/>
    <n v="1983"/>
    <s v="Builder Floor"/>
    <n v="2"/>
    <s v="North"/>
    <s v="Yes"/>
    <s v="Furnished"/>
    <n v="1"/>
    <n v="4"/>
    <s v="Perambur Enclave"/>
    <n v="0"/>
    <s v="No"/>
    <n v="22944000"/>
    <x v="1"/>
    <s v="BRK-04"/>
    <x v="3"/>
    <s v="Tier C"/>
    <n v="0.01"/>
    <n v="0"/>
    <n v="0"/>
    <n v="0"/>
  </r>
  <r>
    <x v="1"/>
    <s v="Dwarka"/>
    <x v="4"/>
    <n v="1"/>
    <n v="2156"/>
    <n v="5705"/>
    <n v="2"/>
    <n v="1968"/>
    <n v="1989"/>
    <s v="Villa"/>
    <n v="1"/>
    <s v="West"/>
    <s v="Yes"/>
    <s v="Semi-Furnished"/>
    <n v="2"/>
    <n v="0"/>
    <s v="Dwarka Residency"/>
    <n v="0"/>
    <s v="No"/>
    <n v="21755000"/>
    <x v="1"/>
    <s v="BRK-01"/>
    <x v="2"/>
    <s v="Tier A"/>
    <n v="0.02"/>
    <n v="0"/>
    <n v="0"/>
    <n v="0"/>
  </r>
  <r>
    <x v="4"/>
    <s v="Whitefield"/>
    <x v="1"/>
    <n v="3"/>
    <n v="1269"/>
    <n v="7225"/>
    <n v="1"/>
    <n v="1955"/>
    <n v="1973"/>
    <s v="Apartment"/>
    <n v="3"/>
    <s v="East"/>
    <s v="Yes"/>
    <s v="Unfurnished"/>
    <n v="6"/>
    <n v="1"/>
    <s v="Whitefield Enclave"/>
    <n v="2"/>
    <s v="No"/>
    <n v="11836000"/>
    <x v="0"/>
    <s v="BRK-01"/>
    <x v="2"/>
    <s v="Tier A"/>
    <n v="0.02"/>
    <n v="236720"/>
    <n v="355080"/>
    <n v="118360"/>
  </r>
  <r>
    <x v="0"/>
    <s v="Juhu"/>
    <x v="3"/>
    <n v="3"/>
    <n v="2474"/>
    <n v="9165"/>
    <n v="3"/>
    <n v="1959"/>
    <n v="0"/>
    <s v="Apartment"/>
    <n v="1"/>
    <s v="East"/>
    <s v="Yes"/>
    <s v="Semi-Furnished"/>
    <n v="7"/>
    <n v="5"/>
    <s v="Juhu Villa"/>
    <n v="0"/>
    <s v="Yes"/>
    <n v="30113000"/>
    <x v="2"/>
    <s v="BRK-03"/>
    <x v="1"/>
    <s v="Tier A"/>
    <n v="0.02"/>
    <n v="0"/>
    <n v="0"/>
    <n v="0"/>
  </r>
  <r>
    <x v="2"/>
    <s v="Baner"/>
    <x v="0"/>
    <n v="2"/>
    <n v="1040"/>
    <n v="6382"/>
    <n v="1"/>
    <n v="1973"/>
    <n v="2021"/>
    <s v="Independent House"/>
    <n v="2"/>
    <s v="East"/>
    <s v="No"/>
    <s v="Semi-Furnished"/>
    <n v="7"/>
    <n v="5"/>
    <s v="Baner Villa"/>
    <n v="2"/>
    <s v="Yes"/>
    <n v="9150000"/>
    <x v="1"/>
    <s v="BRK-05"/>
    <x v="4"/>
    <s v="Tier B"/>
    <n v="1.4999999999999999E-2"/>
    <n v="0"/>
    <n v="0"/>
    <n v="0"/>
  </r>
  <r>
    <x v="1"/>
    <s v="Vasant Kunj"/>
    <x v="3"/>
    <n v="4"/>
    <n v="4713"/>
    <n v="9135"/>
    <n v="2"/>
    <n v="2018"/>
    <n v="2025"/>
    <s v="Apartment"/>
    <n v="3"/>
    <s v="North"/>
    <s v="No"/>
    <s v="Unfurnished"/>
    <n v="9"/>
    <n v="5"/>
    <s v="Vasant Kunj Residency"/>
    <n v="0"/>
    <s v="Yes"/>
    <n v="47540000"/>
    <x v="2"/>
    <s v="BRK-01"/>
    <x v="2"/>
    <s v="Tier A"/>
    <n v="0.02"/>
    <n v="0"/>
    <n v="0"/>
    <n v="0"/>
  </r>
  <r>
    <x v="4"/>
    <s v="Whitefield"/>
    <x v="4"/>
    <n v="1"/>
    <n v="3268"/>
    <n v="7892"/>
    <n v="2"/>
    <n v="1967"/>
    <n v="2024"/>
    <s v="Builder Floor"/>
    <n v="0"/>
    <s v="East"/>
    <s v="No"/>
    <s v="Furnished"/>
    <n v="4"/>
    <n v="3"/>
    <s v="Whitefield Residency"/>
    <n v="3"/>
    <s v="Yes"/>
    <n v="29752000"/>
    <x v="2"/>
    <s v="BRK-03"/>
    <x v="1"/>
    <s v="Tier A"/>
    <n v="0.02"/>
    <n v="0"/>
    <n v="0"/>
    <n v="0"/>
  </r>
  <r>
    <x v="1"/>
    <s v="Rohini"/>
    <x v="2"/>
    <n v="2"/>
    <n v="1260"/>
    <n v="3654"/>
    <n v="2"/>
    <n v="1953"/>
    <n v="2006"/>
    <s v="Villa"/>
    <n v="0"/>
    <s v="North"/>
    <s v="Yes"/>
    <s v="Semi-Furnished"/>
    <n v="9"/>
    <n v="1"/>
    <s v="Rohini Heights"/>
    <n v="1"/>
    <s v="No"/>
    <n v="12790000"/>
    <x v="2"/>
    <s v="BRK-03"/>
    <x v="1"/>
    <s v="Tier A"/>
    <n v="0.02"/>
    <n v="0"/>
    <n v="0"/>
    <n v="0"/>
  </r>
  <r>
    <x v="1"/>
    <s v="Dwarka"/>
    <x v="4"/>
    <n v="1"/>
    <n v="402"/>
    <n v="9777"/>
    <n v="2"/>
    <n v="1969"/>
    <n v="2016"/>
    <s v="Apartment"/>
    <n v="3"/>
    <s v="South"/>
    <s v="No"/>
    <s v="Semi-Furnished"/>
    <n v="6"/>
    <n v="5"/>
    <s v="Dwarka Enclave"/>
    <n v="3"/>
    <s v="Yes"/>
    <n v="4285000"/>
    <x v="0"/>
    <s v="BRK-04"/>
    <x v="3"/>
    <s v="Tier C"/>
    <n v="0.01"/>
    <n v="42850"/>
    <n v="128550"/>
    <n v="85700"/>
  </r>
  <r>
    <x v="4"/>
    <s v="Whitefield"/>
    <x v="4"/>
    <n v="1"/>
    <n v="563"/>
    <n v="3456"/>
    <n v="3"/>
    <n v="1970"/>
    <n v="0"/>
    <s v="Independent House"/>
    <n v="3"/>
    <s v="West"/>
    <s v="No"/>
    <s v="Unfurnished"/>
    <n v="8"/>
    <n v="2"/>
    <s v="Whitefield Residency"/>
    <n v="3"/>
    <s v="Yes"/>
    <n v="5352000"/>
    <x v="2"/>
    <s v="BRK-03"/>
    <x v="1"/>
    <s v="Tier A"/>
    <n v="0.02"/>
    <n v="0"/>
    <n v="0"/>
    <n v="0"/>
  </r>
  <r>
    <x v="4"/>
    <s v="Whitefield"/>
    <x v="1"/>
    <n v="4"/>
    <n v="1325"/>
    <n v="4846"/>
    <n v="2"/>
    <n v="1957"/>
    <n v="1984"/>
    <s v="Independent House"/>
    <n v="1"/>
    <s v="North"/>
    <s v="No"/>
    <s v="Semi-Furnished"/>
    <n v="5"/>
    <n v="5"/>
    <s v="Whitefield Villa"/>
    <n v="3"/>
    <s v="Yes"/>
    <n v="12430000"/>
    <x v="0"/>
    <s v="BRK-04"/>
    <x v="3"/>
    <s v="Tier C"/>
    <n v="0.01"/>
    <n v="124300"/>
    <n v="372900"/>
    <n v="248600"/>
  </r>
  <r>
    <x v="0"/>
    <s v="Juhu"/>
    <x v="3"/>
    <n v="2"/>
    <n v="2511"/>
    <n v="3449"/>
    <n v="1"/>
    <n v="1959"/>
    <n v="2004"/>
    <s v="Villa"/>
    <n v="0"/>
    <s v="South"/>
    <s v="No"/>
    <s v="Furnished"/>
    <n v="8"/>
    <n v="0"/>
    <s v="Juhu Heights"/>
    <n v="1"/>
    <s v="Yes"/>
    <n v="30552000"/>
    <x v="0"/>
    <s v="BRK-02"/>
    <x v="0"/>
    <s v="Tier B"/>
    <n v="1.4999999999999999E-2"/>
    <n v="458280"/>
    <n v="916560"/>
    <n v="458280"/>
  </r>
  <r>
    <x v="4"/>
    <s v="Koramangala"/>
    <x v="1"/>
    <n v="2"/>
    <n v="565"/>
    <n v="4552"/>
    <n v="2"/>
    <n v="1960"/>
    <n v="1964"/>
    <s v="Independent House"/>
    <n v="0"/>
    <s v="North"/>
    <s v="No"/>
    <s v="Furnished"/>
    <n v="4"/>
    <n v="0"/>
    <s v="Koramangala Enclave"/>
    <n v="2"/>
    <s v="No"/>
    <n v="5540000"/>
    <x v="1"/>
    <s v="BRK-04"/>
    <x v="3"/>
    <s v="Tier C"/>
    <n v="0.01"/>
    <n v="0"/>
    <n v="0"/>
    <n v="0"/>
  </r>
  <r>
    <x v="2"/>
    <s v="Hinjewadi"/>
    <x v="0"/>
    <n v="4"/>
    <n v="3215"/>
    <n v="4326"/>
    <n v="3"/>
    <n v="1962"/>
    <n v="2003"/>
    <s v="Independent House"/>
    <n v="0"/>
    <s v="South"/>
    <s v="Yes"/>
    <s v="Unfurnished"/>
    <n v="6"/>
    <n v="3"/>
    <s v="Hinjewadi Heights"/>
    <n v="2"/>
    <s v="Yes"/>
    <n v="27762500"/>
    <x v="0"/>
    <s v="BRK-02"/>
    <x v="0"/>
    <s v="Tier B"/>
    <n v="1.4999999999999999E-2"/>
    <n v="416437.5"/>
    <n v="832875"/>
    <n v="416437.5"/>
  </r>
  <r>
    <x v="1"/>
    <s v="Vasant Kunj"/>
    <x v="2"/>
    <n v="1"/>
    <n v="2197"/>
    <n v="9492"/>
    <n v="1"/>
    <n v="1968"/>
    <n v="2016"/>
    <s v="Apartment"/>
    <n v="2"/>
    <s v="West"/>
    <s v="Yes"/>
    <s v="Semi-Furnished"/>
    <n v="4"/>
    <n v="2"/>
    <s v="Vasant Kunj Villa"/>
    <n v="0"/>
    <s v="No"/>
    <n v="22095000"/>
    <x v="1"/>
    <s v="BRK-05"/>
    <x v="4"/>
    <s v="Tier B"/>
    <n v="1.4999999999999999E-2"/>
    <n v="0"/>
    <n v="0"/>
    <n v="0"/>
  </r>
  <r>
    <x v="1"/>
    <s v="Rohini"/>
    <x v="1"/>
    <n v="1"/>
    <n v="1548"/>
    <n v="9749"/>
    <n v="1"/>
    <n v="1951"/>
    <n v="1968"/>
    <s v="Villa"/>
    <n v="0"/>
    <s v="West"/>
    <s v="Yes"/>
    <s v="Semi-Furnished"/>
    <n v="5"/>
    <n v="1"/>
    <s v="Rohini Enclave"/>
    <n v="1"/>
    <s v="Yes"/>
    <n v="15870000"/>
    <x v="0"/>
    <s v="BRK-03"/>
    <x v="1"/>
    <s v="Tier A"/>
    <n v="0.02"/>
    <n v="317400"/>
    <n v="476100"/>
    <n v="158700"/>
  </r>
  <r>
    <x v="4"/>
    <s v="HSR Layout"/>
    <x v="0"/>
    <n v="3"/>
    <n v="1030"/>
    <n v="2245"/>
    <n v="1"/>
    <n v="2008"/>
    <n v="2015"/>
    <s v="Independent House"/>
    <n v="2"/>
    <s v="West"/>
    <s v="Yes"/>
    <s v="Furnished"/>
    <n v="9"/>
    <n v="3"/>
    <s v="HSR Layout Heights"/>
    <n v="2"/>
    <s v="No"/>
    <n v="9660000"/>
    <x v="1"/>
    <s v="BRK-03"/>
    <x v="1"/>
    <s v="Tier A"/>
    <n v="0.02"/>
    <n v="0"/>
    <n v="0"/>
    <n v="0"/>
  </r>
  <r>
    <x v="3"/>
    <s v="Anna Nagar"/>
    <x v="1"/>
    <n v="2"/>
    <n v="3911"/>
    <n v="6965"/>
    <n v="3"/>
    <n v="1990"/>
    <n v="2012"/>
    <s v="Builder Floor"/>
    <n v="3"/>
    <s v="West"/>
    <s v="No"/>
    <s v="Unfurnished"/>
    <n v="0"/>
    <n v="4"/>
    <s v="Anna Nagar Heights"/>
    <n v="1"/>
    <s v="Yes"/>
    <n v="31723000"/>
    <x v="0"/>
    <s v="BRK-01"/>
    <x v="2"/>
    <s v="Tier A"/>
    <n v="0.02"/>
    <n v="634460"/>
    <n v="951690"/>
    <n v="317230"/>
  </r>
  <r>
    <x v="1"/>
    <s v="Dwarka"/>
    <x v="0"/>
    <n v="4"/>
    <n v="1596"/>
    <n v="8187"/>
    <n v="1"/>
    <n v="1978"/>
    <n v="2001"/>
    <s v="Independent House"/>
    <n v="0"/>
    <s v="East"/>
    <s v="No"/>
    <s v="Semi-Furnished"/>
    <n v="10"/>
    <n v="4"/>
    <s v="Dwarka Villa"/>
    <n v="0"/>
    <s v="Yes"/>
    <n v="16300000"/>
    <x v="0"/>
    <s v="BRK-04"/>
    <x v="3"/>
    <s v="Tier C"/>
    <n v="0.01"/>
    <n v="163000"/>
    <n v="489000"/>
    <n v="326000"/>
  </r>
  <r>
    <x v="1"/>
    <s v="Dwarka"/>
    <x v="3"/>
    <n v="4"/>
    <n v="1934"/>
    <n v="5273"/>
    <n v="2"/>
    <n v="1958"/>
    <n v="1997"/>
    <s v="Villa"/>
    <n v="3"/>
    <s v="South"/>
    <s v="No"/>
    <s v="Furnished"/>
    <n v="4"/>
    <n v="3"/>
    <s v="Dwarka Heights"/>
    <n v="1"/>
    <s v="No"/>
    <n v="19790000"/>
    <x v="0"/>
    <s v="BRK-02"/>
    <x v="0"/>
    <s v="Tier B"/>
    <n v="1.4999999999999999E-2"/>
    <n v="296850"/>
    <n v="593700"/>
    <n v="296850"/>
  </r>
  <r>
    <x v="1"/>
    <s v="Rohini"/>
    <x v="0"/>
    <n v="1"/>
    <n v="3415"/>
    <n v="3976"/>
    <n v="2"/>
    <n v="2005"/>
    <n v="2019"/>
    <s v="Apartment"/>
    <n v="0"/>
    <s v="South"/>
    <s v="Yes"/>
    <s v="Unfurnished"/>
    <n v="6"/>
    <n v="2"/>
    <s v="Rohini Enclave"/>
    <n v="1"/>
    <s v="Yes"/>
    <n v="34460000"/>
    <x v="0"/>
    <s v="BRK-03"/>
    <x v="1"/>
    <s v="Tier A"/>
    <n v="0.02"/>
    <n v="689200"/>
    <n v="1033800"/>
    <n v="344600"/>
  </r>
  <r>
    <x v="1"/>
    <s v="Dwarka"/>
    <x v="0"/>
    <n v="4"/>
    <n v="969"/>
    <n v="5906"/>
    <n v="3"/>
    <n v="2007"/>
    <n v="2019"/>
    <s v="Apartment"/>
    <n v="2"/>
    <s v="South"/>
    <s v="Yes"/>
    <s v="Furnished"/>
    <n v="6"/>
    <n v="2"/>
    <s v="Dwarka Enclave"/>
    <n v="1"/>
    <s v="Yes"/>
    <n v="10185000"/>
    <x v="1"/>
    <s v="BRK-03"/>
    <x v="1"/>
    <s v="Tier A"/>
    <n v="0.02"/>
    <n v="0"/>
    <n v="0"/>
    <n v="0"/>
  </r>
  <r>
    <x v="4"/>
    <s v="MG Road"/>
    <x v="3"/>
    <n v="4"/>
    <n v="4686"/>
    <n v="6052"/>
    <n v="3"/>
    <n v="2005"/>
    <n v="2015"/>
    <s v="Independent House"/>
    <n v="0"/>
    <s v="South"/>
    <s v="Yes"/>
    <s v="Unfurnished"/>
    <n v="10"/>
    <n v="4"/>
    <s v="MG Road Residency"/>
    <n v="2"/>
    <s v="No"/>
    <n v="42609000"/>
    <x v="1"/>
    <s v="BRK-02"/>
    <x v="0"/>
    <s v="Tier B"/>
    <n v="1.4999999999999999E-2"/>
    <n v="0"/>
    <n v="0"/>
    <n v="0"/>
  </r>
  <r>
    <x v="0"/>
    <s v="Bandra"/>
    <x v="3"/>
    <n v="2"/>
    <n v="4391"/>
    <n v="7033"/>
    <n v="1"/>
    <n v="2002"/>
    <n v="2009"/>
    <s v="Builder Floor"/>
    <n v="3"/>
    <s v="South"/>
    <s v="No"/>
    <s v="Unfurnished"/>
    <n v="9"/>
    <n v="0"/>
    <s v="Bandra Heights"/>
    <n v="1"/>
    <s v="Yes"/>
    <n v="53037000"/>
    <x v="1"/>
    <s v="BRK-03"/>
    <x v="1"/>
    <s v="Tier A"/>
    <n v="0.02"/>
    <n v="0"/>
    <n v="0"/>
    <n v="0"/>
  </r>
  <r>
    <x v="3"/>
    <s v="Perambur"/>
    <x v="4"/>
    <n v="4"/>
    <n v="2070"/>
    <n v="4971"/>
    <n v="1"/>
    <n v="1974"/>
    <n v="2016"/>
    <s v="Builder Floor"/>
    <n v="2"/>
    <s v="East"/>
    <s v="Yes"/>
    <s v="Semi-Furnished"/>
    <n v="4"/>
    <n v="4"/>
    <s v="Perambur Heights"/>
    <n v="3"/>
    <s v="No"/>
    <n v="16870000"/>
    <x v="1"/>
    <s v="BRK-03"/>
    <x v="1"/>
    <s v="Tier A"/>
    <n v="0.02"/>
    <n v="0"/>
    <n v="0"/>
    <n v="0"/>
  </r>
  <r>
    <x v="3"/>
    <s v="Anna Nagar"/>
    <x v="0"/>
    <n v="3"/>
    <n v="4743"/>
    <n v="8281"/>
    <n v="3"/>
    <n v="1992"/>
    <n v="1998"/>
    <s v="Apartment"/>
    <n v="3"/>
    <s v="West"/>
    <s v="No"/>
    <s v="Furnished"/>
    <n v="8"/>
    <n v="4"/>
    <s v="Anna Nagar Residency"/>
    <n v="3"/>
    <s v="No"/>
    <n v="38364000"/>
    <x v="1"/>
    <s v="BRK-05"/>
    <x v="4"/>
    <s v="Tier B"/>
    <n v="1.4999999999999999E-2"/>
    <n v="0"/>
    <n v="0"/>
    <n v="0"/>
  </r>
  <r>
    <x v="4"/>
    <s v="MG Road"/>
    <x v="0"/>
    <n v="1"/>
    <n v="1017"/>
    <n v="2767"/>
    <n v="1"/>
    <n v="1952"/>
    <n v="2003"/>
    <s v="Builder Floor"/>
    <n v="3"/>
    <s v="North"/>
    <s v="No"/>
    <s v="Unfurnished"/>
    <n v="9"/>
    <n v="0"/>
    <s v="MG Road Enclave"/>
    <n v="3"/>
    <s v="Yes"/>
    <n v="9448000"/>
    <x v="1"/>
    <s v="BRK-02"/>
    <x v="0"/>
    <s v="Tier B"/>
    <n v="1.4999999999999999E-2"/>
    <n v="0"/>
    <n v="0"/>
    <n v="0"/>
  </r>
  <r>
    <x v="1"/>
    <s v="Vasant Kunj"/>
    <x v="1"/>
    <n v="4"/>
    <n v="1237"/>
    <n v="4491"/>
    <n v="2"/>
    <n v="1965"/>
    <n v="1986"/>
    <s v="Independent House"/>
    <n v="3"/>
    <s v="West"/>
    <s v="Yes"/>
    <s v="Semi-Furnished"/>
    <n v="3"/>
    <n v="4"/>
    <s v="Vasant Kunj Enclave"/>
    <n v="2"/>
    <s v="No"/>
    <n v="12835000"/>
    <x v="1"/>
    <s v="BRK-05"/>
    <x v="4"/>
    <s v="Tier B"/>
    <n v="1.4999999999999999E-2"/>
    <n v="0"/>
    <n v="0"/>
    <n v="0"/>
  </r>
  <r>
    <x v="4"/>
    <s v="MG Road"/>
    <x v="4"/>
    <n v="1"/>
    <n v="3696"/>
    <n v="4013"/>
    <n v="1"/>
    <n v="1953"/>
    <n v="1971"/>
    <s v="Villa"/>
    <n v="2"/>
    <s v="East"/>
    <s v="Yes"/>
    <s v="Unfurnished"/>
    <n v="6"/>
    <n v="1"/>
    <s v="MG Road Villa"/>
    <n v="1"/>
    <s v="No"/>
    <n v="33454000"/>
    <x v="2"/>
    <s v="BRK-05"/>
    <x v="4"/>
    <s v="Tier B"/>
    <n v="1.4999999999999999E-2"/>
    <n v="0"/>
    <n v="0"/>
    <n v="0"/>
  </r>
  <r>
    <x v="0"/>
    <s v="Powai"/>
    <x v="3"/>
    <n v="2"/>
    <n v="3498"/>
    <n v="9512"/>
    <n v="1"/>
    <n v="2001"/>
    <n v="2010"/>
    <s v="Apartment"/>
    <n v="3"/>
    <s v="South"/>
    <s v="Yes"/>
    <s v="Unfurnished"/>
    <n v="2"/>
    <n v="4"/>
    <s v="Powai Heights"/>
    <n v="3"/>
    <s v="No"/>
    <n v="42326000"/>
    <x v="2"/>
    <s v="BRK-02"/>
    <x v="0"/>
    <s v="Tier B"/>
    <n v="1.4999999999999999E-2"/>
    <n v="0"/>
    <n v="0"/>
    <n v="0"/>
  </r>
  <r>
    <x v="2"/>
    <s v="Hinjewadi"/>
    <x v="0"/>
    <n v="2"/>
    <n v="1063"/>
    <n v="2641"/>
    <n v="1"/>
    <n v="2005"/>
    <n v="0"/>
    <s v="Apartment"/>
    <n v="0"/>
    <s v="North"/>
    <s v="No"/>
    <s v="Furnished"/>
    <n v="2"/>
    <n v="3"/>
    <s v="Hinjewadi Enclave"/>
    <n v="1"/>
    <s v="Yes"/>
    <n v="9405500"/>
    <x v="1"/>
    <s v="BRK-02"/>
    <x v="0"/>
    <s v="Tier B"/>
    <n v="1.4999999999999999E-2"/>
    <n v="0"/>
    <n v="0"/>
    <n v="0"/>
  </r>
  <r>
    <x v="1"/>
    <s v="Saket"/>
    <x v="4"/>
    <n v="2"/>
    <n v="3397"/>
    <n v="9758"/>
    <n v="2"/>
    <n v="1956"/>
    <n v="1990"/>
    <s v="Builder Floor"/>
    <n v="1"/>
    <s v="North"/>
    <s v="Yes"/>
    <s v="Furnished"/>
    <n v="7"/>
    <n v="4"/>
    <s v="Saket Heights"/>
    <n v="0"/>
    <s v="Yes"/>
    <n v="34320000"/>
    <x v="0"/>
    <s v="BRK-05"/>
    <x v="4"/>
    <s v="Tier B"/>
    <n v="1.4999999999999999E-2"/>
    <n v="514800"/>
    <n v="1029600"/>
    <n v="514800"/>
  </r>
  <r>
    <x v="4"/>
    <s v="Indiranagar"/>
    <x v="4"/>
    <n v="1"/>
    <n v="933"/>
    <n v="9080"/>
    <n v="2"/>
    <n v="1976"/>
    <n v="2000"/>
    <s v="Builder Floor"/>
    <n v="3"/>
    <s v="North"/>
    <s v="No"/>
    <s v="Furnished"/>
    <n v="7"/>
    <n v="5"/>
    <s v="Indiranagar Heights"/>
    <n v="1"/>
    <s v="No"/>
    <n v="8657000"/>
    <x v="1"/>
    <s v="BRK-04"/>
    <x v="3"/>
    <s v="Tier C"/>
    <n v="0.01"/>
    <n v="0"/>
    <n v="0"/>
    <n v="0"/>
  </r>
  <r>
    <x v="3"/>
    <s v="Adyar"/>
    <x v="3"/>
    <n v="2"/>
    <n v="1772"/>
    <n v="4269"/>
    <n v="1"/>
    <n v="1972"/>
    <n v="2013"/>
    <s v="Builder Floor"/>
    <n v="0"/>
    <s v="East"/>
    <s v="No"/>
    <s v="Semi-Furnished"/>
    <n v="9"/>
    <n v="4"/>
    <s v="Adyar Heights"/>
    <n v="1"/>
    <s v="No"/>
    <n v="14471000"/>
    <x v="0"/>
    <s v="BRK-05"/>
    <x v="4"/>
    <s v="Tier B"/>
    <n v="1.4999999999999999E-2"/>
    <n v="217065"/>
    <n v="434130"/>
    <n v="217065"/>
  </r>
  <r>
    <x v="0"/>
    <s v="Bandra"/>
    <x v="1"/>
    <n v="1"/>
    <n v="4690"/>
    <n v="4928"/>
    <n v="3"/>
    <n v="2015"/>
    <n v="2016"/>
    <s v="Apartment"/>
    <n v="2"/>
    <s v="North"/>
    <s v="Yes"/>
    <s v="Furnished"/>
    <n v="5"/>
    <n v="1"/>
    <s v="Bandra Residency"/>
    <n v="0"/>
    <s v="Yes"/>
    <n v="56770000"/>
    <x v="1"/>
    <s v="BRK-03"/>
    <x v="1"/>
    <s v="Tier A"/>
    <n v="0.02"/>
    <n v="0"/>
    <n v="0"/>
    <n v="0"/>
  </r>
  <r>
    <x v="4"/>
    <s v="Indiranagar"/>
    <x v="3"/>
    <n v="2"/>
    <n v="1053"/>
    <n v="6813"/>
    <n v="3"/>
    <n v="2020"/>
    <n v="2024"/>
    <s v="Villa"/>
    <n v="3"/>
    <s v="West"/>
    <s v="No"/>
    <s v="Unfurnished"/>
    <n v="6"/>
    <n v="1"/>
    <s v="Indiranagar Enclave"/>
    <n v="1"/>
    <s v="Yes"/>
    <n v="9862000"/>
    <x v="0"/>
    <s v="BRK-02"/>
    <x v="0"/>
    <s v="Tier B"/>
    <n v="1.4999999999999999E-2"/>
    <n v="147930"/>
    <n v="295860"/>
    <n v="147930"/>
  </r>
  <r>
    <x v="4"/>
    <s v="MG Road"/>
    <x v="2"/>
    <n v="3"/>
    <n v="1657"/>
    <n v="5079"/>
    <n v="3"/>
    <n v="2012"/>
    <n v="2017"/>
    <s v="Independent House"/>
    <n v="3"/>
    <s v="East"/>
    <s v="No"/>
    <s v="Unfurnished"/>
    <n v="1"/>
    <n v="4"/>
    <s v="MG Road Villa"/>
    <n v="3"/>
    <s v="Yes"/>
    <n v="15208000"/>
    <x v="1"/>
    <s v="BRK-02"/>
    <x v="0"/>
    <s v="Tier B"/>
    <n v="1.4999999999999999E-2"/>
    <n v="0"/>
    <n v="0"/>
    <n v="0"/>
  </r>
  <r>
    <x v="2"/>
    <s v="Viman Nagar"/>
    <x v="0"/>
    <n v="1"/>
    <n v="3981"/>
    <n v="5401"/>
    <n v="1"/>
    <n v="2015"/>
    <n v="2018"/>
    <s v="Independent House"/>
    <n v="2"/>
    <s v="East"/>
    <s v="No"/>
    <s v="Furnished"/>
    <n v="1"/>
    <n v="1"/>
    <s v="Viman Nagar Enclave"/>
    <n v="3"/>
    <s v="Yes"/>
    <n v="34208500"/>
    <x v="1"/>
    <s v="BRK-02"/>
    <x v="0"/>
    <s v="Tier B"/>
    <n v="1.4999999999999999E-2"/>
    <n v="0"/>
    <n v="0"/>
    <n v="0"/>
  </r>
  <r>
    <x v="4"/>
    <s v="Koramangala"/>
    <x v="2"/>
    <n v="2"/>
    <n v="3344"/>
    <n v="6441"/>
    <n v="1"/>
    <n v="1990"/>
    <n v="1996"/>
    <s v="Builder Floor"/>
    <n v="2"/>
    <s v="North"/>
    <s v="No"/>
    <s v="Furnished"/>
    <n v="7"/>
    <n v="4"/>
    <s v="Koramangala Enclave"/>
    <n v="1"/>
    <s v="Yes"/>
    <n v="30366000"/>
    <x v="1"/>
    <s v="BRK-02"/>
    <x v="0"/>
    <s v="Tier B"/>
    <n v="1.4999999999999999E-2"/>
    <n v="0"/>
    <n v="0"/>
    <n v="0"/>
  </r>
  <r>
    <x v="3"/>
    <s v="Adyar"/>
    <x v="1"/>
    <n v="2"/>
    <n v="4619"/>
    <n v="6450"/>
    <n v="1"/>
    <n v="2021"/>
    <n v="2022"/>
    <s v="Builder Floor"/>
    <n v="3"/>
    <s v="West"/>
    <s v="No"/>
    <s v="Semi-Furnished"/>
    <n v="3"/>
    <n v="1"/>
    <s v="Adyar Heights"/>
    <n v="3"/>
    <s v="No"/>
    <n v="37327000"/>
    <x v="2"/>
    <s v="BRK-03"/>
    <x v="1"/>
    <s v="Tier A"/>
    <n v="0.02"/>
    <n v="0"/>
    <n v="0"/>
    <n v="0"/>
  </r>
  <r>
    <x v="0"/>
    <s v="Juhu"/>
    <x v="3"/>
    <n v="1"/>
    <n v="1316"/>
    <n v="8784"/>
    <n v="1"/>
    <n v="1991"/>
    <n v="2014"/>
    <s v="Apartment"/>
    <n v="0"/>
    <s v="East"/>
    <s v="Yes"/>
    <s v="Unfurnished"/>
    <n v="9"/>
    <n v="0"/>
    <s v="Juhu Villa"/>
    <n v="2"/>
    <s v="Yes"/>
    <n v="16147000"/>
    <x v="2"/>
    <s v="BRK-03"/>
    <x v="1"/>
    <s v="Tier A"/>
    <n v="0.02"/>
    <n v="0"/>
    <n v="0"/>
    <n v="0"/>
  </r>
  <r>
    <x v="3"/>
    <s v="T Nagar"/>
    <x v="1"/>
    <n v="1"/>
    <n v="3063"/>
    <n v="8395"/>
    <n v="1"/>
    <n v="1958"/>
    <n v="2017"/>
    <s v="Builder Floor"/>
    <n v="3"/>
    <s v="East"/>
    <s v="No"/>
    <s v="Semi-Furnished"/>
    <n v="5"/>
    <n v="3"/>
    <s v="T Nagar Heights"/>
    <n v="2"/>
    <s v="No"/>
    <n v="24834000"/>
    <x v="1"/>
    <s v="BRK-01"/>
    <x v="2"/>
    <s v="Tier A"/>
    <n v="0.02"/>
    <n v="0"/>
    <n v="0"/>
    <n v="0"/>
  </r>
  <r>
    <x v="2"/>
    <s v="Kothrud"/>
    <x v="3"/>
    <n v="3"/>
    <n v="4023"/>
    <n v="8114"/>
    <n v="3"/>
    <n v="1965"/>
    <n v="2017"/>
    <s v="Villa"/>
    <n v="0"/>
    <s v="North"/>
    <s v="Yes"/>
    <s v="Furnished"/>
    <n v="0"/>
    <n v="1"/>
    <s v="Kothrud Heights"/>
    <n v="2"/>
    <s v="No"/>
    <n v="34675500"/>
    <x v="0"/>
    <s v="BRK-02"/>
    <x v="0"/>
    <s v="Tier B"/>
    <n v="1.4999999999999999E-2"/>
    <n v="520132.5"/>
    <n v="1040265"/>
    <n v="520132.5"/>
  </r>
  <r>
    <x v="1"/>
    <s v="Rohini"/>
    <x v="2"/>
    <n v="2"/>
    <n v="3321"/>
    <n v="7774"/>
    <n v="1"/>
    <n v="1956"/>
    <n v="1988"/>
    <s v="Builder Floor"/>
    <n v="0"/>
    <s v="North"/>
    <s v="No"/>
    <s v="Furnished"/>
    <n v="4"/>
    <n v="2"/>
    <s v="Rohini Villa"/>
    <n v="2"/>
    <s v="Yes"/>
    <n v="33495000"/>
    <x v="0"/>
    <s v="BRK-02"/>
    <x v="0"/>
    <s v="Tier B"/>
    <n v="1.4999999999999999E-2"/>
    <n v="502425"/>
    <n v="1004850"/>
    <n v="502425"/>
  </r>
  <r>
    <x v="1"/>
    <s v="Lajpat Nagar"/>
    <x v="3"/>
    <n v="1"/>
    <n v="1334"/>
    <n v="6615"/>
    <n v="1"/>
    <n v="2024"/>
    <n v="2024"/>
    <s v="Independent House"/>
    <n v="0"/>
    <s v="South"/>
    <s v="No"/>
    <s v="Unfurnished"/>
    <n v="7"/>
    <n v="2"/>
    <s v="Lajpat Nagar Enclave"/>
    <n v="3"/>
    <s v="Yes"/>
    <n v="13685000"/>
    <x v="1"/>
    <s v="BRK-03"/>
    <x v="1"/>
    <s v="Tier A"/>
    <n v="0.02"/>
    <n v="0"/>
    <n v="0"/>
    <n v="0"/>
  </r>
  <r>
    <x v="0"/>
    <s v="Juhu"/>
    <x v="0"/>
    <n v="1"/>
    <n v="3191"/>
    <n v="7816"/>
    <n v="1"/>
    <n v="1976"/>
    <n v="2019"/>
    <s v="Builder Floor"/>
    <n v="0"/>
    <s v="West"/>
    <s v="Yes"/>
    <s v="Furnished"/>
    <n v="0"/>
    <n v="5"/>
    <s v="Juhu Residency"/>
    <n v="3"/>
    <s v="No"/>
    <n v="38637000"/>
    <x v="2"/>
    <s v="BRK-03"/>
    <x v="1"/>
    <s v="Tier A"/>
    <n v="0.02"/>
    <n v="0"/>
    <n v="0"/>
    <n v="0"/>
  </r>
  <r>
    <x v="1"/>
    <s v="Vasant Kunj"/>
    <x v="2"/>
    <n v="3"/>
    <n v="2009"/>
    <n v="8727"/>
    <n v="3"/>
    <n v="2017"/>
    <n v="2024"/>
    <s v="Villa"/>
    <n v="2"/>
    <s v="West"/>
    <s v="Yes"/>
    <s v="Unfurnished"/>
    <n v="1"/>
    <n v="1"/>
    <s v="Vasant Kunj Residency"/>
    <n v="2"/>
    <s v="No"/>
    <n v="20345000"/>
    <x v="1"/>
    <s v="BRK-01"/>
    <x v="2"/>
    <s v="Tier A"/>
    <n v="0.02"/>
    <n v="0"/>
    <n v="0"/>
    <n v="0"/>
  </r>
  <r>
    <x v="3"/>
    <s v="Perambur"/>
    <x v="1"/>
    <n v="2"/>
    <n v="3578"/>
    <n v="5167"/>
    <n v="1"/>
    <n v="1985"/>
    <n v="2011"/>
    <s v="Apartment"/>
    <n v="2"/>
    <s v="North"/>
    <s v="Yes"/>
    <s v="Semi-Furnished"/>
    <n v="1"/>
    <n v="5"/>
    <s v="Perambur Heights"/>
    <n v="1"/>
    <s v="Yes"/>
    <n v="29044000"/>
    <x v="0"/>
    <s v="BRK-04"/>
    <x v="3"/>
    <s v="Tier C"/>
    <n v="0.01"/>
    <n v="290440"/>
    <n v="871320"/>
    <n v="580880"/>
  </r>
  <r>
    <x v="3"/>
    <s v="Velachery"/>
    <x v="0"/>
    <n v="1"/>
    <n v="4201"/>
    <n v="9673"/>
    <n v="3"/>
    <n v="2007"/>
    <n v="2017"/>
    <s v="Villa"/>
    <n v="0"/>
    <s v="North"/>
    <s v="No"/>
    <s v="Semi-Furnished"/>
    <n v="3"/>
    <n v="1"/>
    <s v="Velachery Villa"/>
    <n v="3"/>
    <s v="No"/>
    <n v="33893000"/>
    <x v="0"/>
    <s v="BRK-04"/>
    <x v="3"/>
    <s v="Tier C"/>
    <n v="0.01"/>
    <n v="338930"/>
    <n v="1016790"/>
    <n v="677860"/>
  </r>
  <r>
    <x v="0"/>
    <s v="Borivali"/>
    <x v="0"/>
    <n v="3"/>
    <n v="1101"/>
    <n v="1956"/>
    <n v="3"/>
    <n v="1998"/>
    <n v="2020"/>
    <s v="Independent House"/>
    <n v="1"/>
    <s v="East"/>
    <s v="Yes"/>
    <s v="Semi-Furnished"/>
    <n v="2"/>
    <n v="4"/>
    <s v="Borivali Enclave"/>
    <n v="3"/>
    <s v="No"/>
    <n v="13582000"/>
    <x v="2"/>
    <s v="BRK-01"/>
    <x v="2"/>
    <s v="Tier A"/>
    <n v="0.02"/>
    <n v="0"/>
    <n v="0"/>
    <n v="0"/>
  </r>
  <r>
    <x v="0"/>
    <s v="Andheri"/>
    <x v="4"/>
    <n v="1"/>
    <n v="2098"/>
    <n v="3091"/>
    <n v="1"/>
    <n v="1954"/>
    <n v="1987"/>
    <s v="Apartment"/>
    <n v="0"/>
    <s v="North"/>
    <s v="No"/>
    <s v="Furnished"/>
    <n v="9"/>
    <n v="5"/>
    <s v="Andheri Villa"/>
    <n v="3"/>
    <s v="No"/>
    <n v="25446000"/>
    <x v="1"/>
    <s v="BRK-05"/>
    <x v="4"/>
    <s v="Tier B"/>
    <n v="1.4999999999999999E-2"/>
    <n v="0"/>
    <n v="0"/>
    <n v="0"/>
  </r>
  <r>
    <x v="0"/>
    <s v="Bandra"/>
    <x v="0"/>
    <n v="4"/>
    <n v="1985"/>
    <n v="3436"/>
    <n v="1"/>
    <n v="1994"/>
    <n v="2011"/>
    <s v="Villa"/>
    <n v="0"/>
    <s v="North"/>
    <s v="Yes"/>
    <s v="Unfurnished"/>
    <n v="9"/>
    <n v="3"/>
    <s v="Bandra Enclave"/>
    <n v="1"/>
    <s v="Yes"/>
    <n v="24200000"/>
    <x v="2"/>
    <s v="BRK-04"/>
    <x v="3"/>
    <s v="Tier C"/>
    <n v="0.01"/>
    <n v="0"/>
    <n v="0"/>
    <n v="0"/>
  </r>
  <r>
    <x v="4"/>
    <s v="Whitefield"/>
    <x v="4"/>
    <n v="2"/>
    <n v="3021"/>
    <n v="6800"/>
    <n v="1"/>
    <n v="1951"/>
    <n v="2010"/>
    <s v="Independent House"/>
    <n v="2"/>
    <s v="North"/>
    <s v="Yes"/>
    <s v="Semi-Furnished"/>
    <n v="1"/>
    <n v="1"/>
    <s v="Whitefield Heights"/>
    <n v="2"/>
    <s v="No"/>
    <n v="27424000"/>
    <x v="0"/>
    <s v="BRK-02"/>
    <x v="0"/>
    <s v="Tier B"/>
    <n v="1.4999999999999999E-2"/>
    <n v="411360"/>
    <n v="822720"/>
    <n v="411360"/>
  </r>
  <r>
    <x v="2"/>
    <s v="Kothrud"/>
    <x v="3"/>
    <n v="2"/>
    <n v="4171"/>
    <n v="5117"/>
    <n v="1"/>
    <n v="1952"/>
    <n v="2023"/>
    <s v="Villa"/>
    <n v="1"/>
    <s v="South"/>
    <s v="Yes"/>
    <s v="Furnished"/>
    <n v="1"/>
    <n v="2"/>
    <s v="Kothrud Enclave"/>
    <n v="3"/>
    <s v="No"/>
    <n v="35878500"/>
    <x v="2"/>
    <s v="BRK-02"/>
    <x v="0"/>
    <s v="Tier B"/>
    <n v="1.4999999999999999E-2"/>
    <n v="0"/>
    <n v="0"/>
    <n v="0"/>
  </r>
  <r>
    <x v="4"/>
    <s v="HSR Layout"/>
    <x v="0"/>
    <n v="4"/>
    <n v="2376"/>
    <n v="5410"/>
    <n v="2"/>
    <n v="1951"/>
    <n v="1995"/>
    <s v="Villa"/>
    <n v="2"/>
    <s v="West"/>
    <s v="Yes"/>
    <s v="Semi-Furnished"/>
    <n v="10"/>
    <n v="4"/>
    <s v="HSR Layout Heights"/>
    <n v="1"/>
    <s v="No"/>
    <n v="21734000"/>
    <x v="0"/>
    <s v="BRK-04"/>
    <x v="3"/>
    <s v="Tier C"/>
    <n v="0.01"/>
    <n v="217340"/>
    <n v="652020"/>
    <n v="434680"/>
  </r>
  <r>
    <x v="1"/>
    <s v="Rohini"/>
    <x v="0"/>
    <n v="4"/>
    <n v="553"/>
    <n v="4606"/>
    <n v="3"/>
    <n v="2005"/>
    <n v="2015"/>
    <s v="Apartment"/>
    <n v="0"/>
    <s v="South"/>
    <s v="No"/>
    <s v="Unfurnished"/>
    <n v="1"/>
    <n v="2"/>
    <s v="Rohini Villa"/>
    <n v="1"/>
    <s v="No"/>
    <n v="5875000"/>
    <x v="1"/>
    <s v="BRK-02"/>
    <x v="0"/>
    <s v="Tier B"/>
    <n v="1.4999999999999999E-2"/>
    <n v="0"/>
    <n v="0"/>
    <n v="0"/>
  </r>
  <r>
    <x v="4"/>
    <s v="Indiranagar"/>
    <x v="3"/>
    <n v="4"/>
    <n v="2563"/>
    <n v="5146"/>
    <n v="1"/>
    <n v="1955"/>
    <n v="2020"/>
    <s v="Villa"/>
    <n v="0"/>
    <s v="West"/>
    <s v="No"/>
    <s v="Unfurnished"/>
    <n v="5"/>
    <n v="2"/>
    <s v="Indiranagar Heights"/>
    <n v="0"/>
    <s v="No"/>
    <n v="23407000"/>
    <x v="1"/>
    <s v="BRK-02"/>
    <x v="0"/>
    <s v="Tier B"/>
    <n v="1.4999999999999999E-2"/>
    <n v="0"/>
    <n v="0"/>
    <n v="0"/>
  </r>
  <r>
    <x v="1"/>
    <s v="Vasant Kunj"/>
    <x v="4"/>
    <n v="3"/>
    <n v="4872"/>
    <n v="6254"/>
    <n v="2"/>
    <n v="2012"/>
    <n v="2015"/>
    <s v="Builder Floor"/>
    <n v="2"/>
    <s v="North"/>
    <s v="No"/>
    <s v="Furnished"/>
    <n v="3"/>
    <n v="2"/>
    <s v="Vasant Kunj Heights"/>
    <n v="0"/>
    <s v="No"/>
    <n v="49025000"/>
    <x v="2"/>
    <s v="BRK-03"/>
    <x v="1"/>
    <s v="Tier A"/>
    <n v="0.02"/>
    <n v="0"/>
    <n v="0"/>
    <n v="0"/>
  </r>
  <r>
    <x v="4"/>
    <s v="Whitefield"/>
    <x v="3"/>
    <n v="3"/>
    <n v="305"/>
    <n v="1172"/>
    <n v="2"/>
    <n v="1967"/>
    <n v="1988"/>
    <s v="Villa"/>
    <n v="1"/>
    <s v="North"/>
    <s v="No"/>
    <s v="Furnished"/>
    <n v="3"/>
    <n v="3"/>
    <s v="Whitefield Heights"/>
    <n v="2"/>
    <s v="Yes"/>
    <n v="3230000"/>
    <x v="0"/>
    <s v="BRK-03"/>
    <x v="1"/>
    <s v="Tier A"/>
    <n v="0.02"/>
    <n v="64600"/>
    <n v="96900"/>
    <n v="32300"/>
  </r>
  <r>
    <x v="0"/>
    <s v="Borivali"/>
    <x v="0"/>
    <n v="2"/>
    <n v="3464"/>
    <n v="6975"/>
    <n v="2"/>
    <n v="1962"/>
    <n v="1994"/>
    <s v="Villa"/>
    <n v="2"/>
    <s v="South"/>
    <s v="No"/>
    <s v="Unfurnished"/>
    <n v="5"/>
    <n v="4"/>
    <s v="Borivali Residency"/>
    <n v="1"/>
    <s v="No"/>
    <n v="41833000"/>
    <x v="2"/>
    <s v="BRK-04"/>
    <x v="3"/>
    <s v="Tier C"/>
    <n v="0.01"/>
    <n v="0"/>
    <n v="0"/>
    <n v="0"/>
  </r>
  <r>
    <x v="1"/>
    <s v="Vasant Kunj"/>
    <x v="1"/>
    <n v="2"/>
    <n v="2766"/>
    <n v="5314"/>
    <n v="1"/>
    <n v="1988"/>
    <n v="2023"/>
    <s v="Independent House"/>
    <n v="1"/>
    <s v="West"/>
    <s v="No"/>
    <s v="Furnished"/>
    <n v="2"/>
    <n v="4"/>
    <s v="Vasant Kunj Villa"/>
    <n v="2"/>
    <s v="No"/>
    <n v="28095000"/>
    <x v="0"/>
    <s v="BRK-04"/>
    <x v="3"/>
    <s v="Tier C"/>
    <n v="0.01"/>
    <n v="280950"/>
    <n v="842850"/>
    <n v="561900"/>
  </r>
  <r>
    <x v="3"/>
    <s v="Adyar"/>
    <x v="3"/>
    <n v="4"/>
    <n v="3744"/>
    <n v="7154"/>
    <n v="2"/>
    <n v="1953"/>
    <n v="2023"/>
    <s v="Builder Floor"/>
    <n v="3"/>
    <s v="North"/>
    <s v="Yes"/>
    <s v="Unfurnished"/>
    <n v="4"/>
    <n v="1"/>
    <s v="Adyar Enclave"/>
    <n v="1"/>
    <s v="No"/>
    <n v="30352000"/>
    <x v="1"/>
    <s v="BRK-04"/>
    <x v="3"/>
    <s v="Tier C"/>
    <n v="0.01"/>
    <n v="0"/>
    <n v="0"/>
    <n v="0"/>
  </r>
  <r>
    <x v="0"/>
    <s v="Borivali"/>
    <x v="4"/>
    <n v="4"/>
    <n v="348"/>
    <n v="7980"/>
    <n v="3"/>
    <n v="2008"/>
    <n v="2008"/>
    <s v="Builder Floor"/>
    <n v="0"/>
    <s v="East"/>
    <s v="Yes"/>
    <s v="Semi-Furnished"/>
    <n v="9"/>
    <n v="0"/>
    <s v="Borivali Enclave"/>
    <n v="3"/>
    <s v="No"/>
    <n v="4526000"/>
    <x v="2"/>
    <s v="BRK-05"/>
    <x v="4"/>
    <s v="Tier B"/>
    <n v="1.4999999999999999E-2"/>
    <n v="0"/>
    <n v="0"/>
    <n v="0"/>
  </r>
  <r>
    <x v="0"/>
    <s v="Andheri"/>
    <x v="1"/>
    <n v="1"/>
    <n v="1979"/>
    <n v="6258"/>
    <n v="1"/>
    <n v="2021"/>
    <n v="2025"/>
    <s v="Independent House"/>
    <n v="1"/>
    <s v="South"/>
    <s v="Yes"/>
    <s v="Semi-Furnished"/>
    <n v="10"/>
    <n v="2"/>
    <s v="Andheri Heights"/>
    <n v="3"/>
    <s v="Yes"/>
    <n v="24168000"/>
    <x v="2"/>
    <s v="BRK-05"/>
    <x v="4"/>
    <s v="Tier B"/>
    <n v="1.4999999999999999E-2"/>
    <n v="0"/>
    <n v="0"/>
    <n v="0"/>
  </r>
  <r>
    <x v="0"/>
    <s v="Andheri"/>
    <x v="2"/>
    <n v="2"/>
    <n v="1291"/>
    <n v="9857"/>
    <n v="1"/>
    <n v="1981"/>
    <n v="1993"/>
    <s v="Builder Floor"/>
    <n v="3"/>
    <s v="North"/>
    <s v="No"/>
    <s v="Semi-Furnished"/>
    <n v="0"/>
    <n v="0"/>
    <s v="Andheri Enclave"/>
    <n v="3"/>
    <s v="No"/>
    <n v="15667000"/>
    <x v="1"/>
    <s v="BRK-01"/>
    <x v="2"/>
    <s v="Tier A"/>
    <n v="0.02"/>
    <n v="0"/>
    <n v="0"/>
    <n v="0"/>
  </r>
  <r>
    <x v="1"/>
    <s v="Rohini"/>
    <x v="1"/>
    <n v="3"/>
    <n v="3897"/>
    <n v="9338"/>
    <n v="3"/>
    <n v="1965"/>
    <n v="1991"/>
    <s v="Apartment"/>
    <n v="0"/>
    <s v="South"/>
    <s v="Yes"/>
    <s v="Unfurnished"/>
    <n v="10"/>
    <n v="1"/>
    <s v="Rohini Residency"/>
    <n v="1"/>
    <s v="No"/>
    <n v="39410000"/>
    <x v="0"/>
    <s v="BRK-02"/>
    <x v="0"/>
    <s v="Tier B"/>
    <n v="1.4999999999999999E-2"/>
    <n v="591150"/>
    <n v="1182300"/>
    <n v="591150"/>
  </r>
  <r>
    <x v="3"/>
    <s v="Adyar"/>
    <x v="0"/>
    <n v="1"/>
    <n v="4338"/>
    <n v="7397"/>
    <n v="3"/>
    <n v="1985"/>
    <n v="2009"/>
    <s v="Independent House"/>
    <n v="0"/>
    <s v="West"/>
    <s v="No"/>
    <s v="Semi-Furnished"/>
    <n v="2"/>
    <n v="0"/>
    <s v="Adyar Enclave"/>
    <n v="3"/>
    <s v="Yes"/>
    <n v="35039000"/>
    <x v="0"/>
    <s v="BRK-03"/>
    <x v="1"/>
    <s v="Tier A"/>
    <n v="0.02"/>
    <n v="700780"/>
    <n v="1051170"/>
    <n v="350390"/>
  </r>
  <r>
    <x v="2"/>
    <s v="Baner"/>
    <x v="2"/>
    <n v="3"/>
    <n v="579"/>
    <n v="7911"/>
    <n v="1"/>
    <n v="1995"/>
    <n v="2002"/>
    <s v="Independent House"/>
    <n v="3"/>
    <s v="East"/>
    <s v="Yes"/>
    <s v="Furnished"/>
    <n v="5"/>
    <n v="4"/>
    <s v="Baner Residency"/>
    <n v="2"/>
    <s v="No"/>
    <n v="5211500"/>
    <x v="2"/>
    <s v="BRK-03"/>
    <x v="1"/>
    <s v="Tier A"/>
    <n v="0.02"/>
    <n v="0"/>
    <n v="0"/>
    <n v="0"/>
  </r>
  <r>
    <x v="2"/>
    <s v="Kothrud"/>
    <x v="4"/>
    <n v="2"/>
    <n v="3182"/>
    <n v="8605"/>
    <n v="3"/>
    <n v="2022"/>
    <n v="2023"/>
    <s v="Independent House"/>
    <n v="1"/>
    <s v="East"/>
    <s v="No"/>
    <s v="Semi-Furnished"/>
    <n v="1"/>
    <n v="5"/>
    <s v="Kothrud Villa"/>
    <n v="3"/>
    <s v="No"/>
    <n v="27312000"/>
    <x v="1"/>
    <s v="BRK-02"/>
    <x v="0"/>
    <s v="Tier B"/>
    <n v="1.4999999999999999E-2"/>
    <n v="0"/>
    <n v="0"/>
    <n v="0"/>
  </r>
  <r>
    <x v="2"/>
    <s v="Hinjewadi"/>
    <x v="1"/>
    <n v="3"/>
    <n v="1360"/>
    <n v="6719"/>
    <n v="3"/>
    <n v="2024"/>
    <n v="2024"/>
    <s v="Independent House"/>
    <n v="0"/>
    <s v="North"/>
    <s v="Yes"/>
    <s v="Unfurnished"/>
    <n v="2"/>
    <n v="1"/>
    <s v="Hinjewadi Heights"/>
    <n v="0"/>
    <s v="No"/>
    <n v="11985000"/>
    <x v="2"/>
    <s v="BRK-02"/>
    <x v="0"/>
    <s v="Tier B"/>
    <n v="1.4999999999999999E-2"/>
    <n v="0"/>
    <n v="0"/>
    <n v="0"/>
  </r>
  <r>
    <x v="3"/>
    <s v="Adyar"/>
    <x v="4"/>
    <n v="2"/>
    <n v="1163"/>
    <n v="4063"/>
    <n v="3"/>
    <n v="1999"/>
    <n v="2022"/>
    <s v="Independent House"/>
    <n v="0"/>
    <s v="North"/>
    <s v="No"/>
    <s v="Furnished"/>
    <n v="0"/>
    <n v="5"/>
    <s v="Adyar Heights"/>
    <n v="3"/>
    <s v="No"/>
    <n v="9644000"/>
    <x v="0"/>
    <s v="BRK-03"/>
    <x v="1"/>
    <s v="Tier A"/>
    <n v="0.02"/>
    <n v="192880"/>
    <n v="289320"/>
    <n v="96440"/>
  </r>
  <r>
    <x v="2"/>
    <s v="Kothrud"/>
    <x v="4"/>
    <n v="3"/>
    <n v="1181"/>
    <n v="8595"/>
    <n v="2"/>
    <n v="1967"/>
    <n v="2006"/>
    <s v="Apartment"/>
    <n v="1"/>
    <s v="East"/>
    <s v="No"/>
    <s v="Semi-Furnished"/>
    <n v="10"/>
    <n v="2"/>
    <s v="Kothrud Residency"/>
    <n v="1"/>
    <s v="Yes"/>
    <n v="10333500"/>
    <x v="1"/>
    <s v="BRK-01"/>
    <x v="2"/>
    <s v="Tier A"/>
    <n v="0.02"/>
    <n v="0"/>
    <n v="0"/>
    <n v="0"/>
  </r>
  <r>
    <x v="3"/>
    <s v="Perambur"/>
    <x v="4"/>
    <n v="1"/>
    <n v="498"/>
    <n v="2124"/>
    <n v="1"/>
    <n v="1954"/>
    <n v="1970"/>
    <s v="Builder Floor"/>
    <n v="2"/>
    <s v="West"/>
    <s v="Yes"/>
    <s v="Semi-Furnished"/>
    <n v="2"/>
    <n v="5"/>
    <s v="Perambur Villa"/>
    <n v="1"/>
    <s v="Yes"/>
    <n v="4224000"/>
    <x v="1"/>
    <s v="BRK-01"/>
    <x v="2"/>
    <s v="Tier A"/>
    <n v="0.02"/>
    <n v="0"/>
    <n v="0"/>
    <n v="0"/>
  </r>
  <r>
    <x v="2"/>
    <s v="Baner"/>
    <x v="1"/>
    <n v="3"/>
    <n v="3220"/>
    <n v="8336"/>
    <n v="3"/>
    <n v="1967"/>
    <n v="2017"/>
    <s v="Builder Floor"/>
    <n v="3"/>
    <s v="West"/>
    <s v="No"/>
    <s v="Furnished"/>
    <n v="9"/>
    <n v="0"/>
    <s v="Baner Residency"/>
    <n v="2"/>
    <s v="Yes"/>
    <n v="27925000"/>
    <x v="2"/>
    <s v="BRK-05"/>
    <x v="4"/>
    <s v="Tier B"/>
    <n v="1.4999999999999999E-2"/>
    <n v="0"/>
    <n v="0"/>
    <n v="0"/>
  </r>
  <r>
    <x v="0"/>
    <s v="Borivali"/>
    <x v="4"/>
    <n v="1"/>
    <n v="4728"/>
    <n v="7488"/>
    <n v="1"/>
    <n v="1978"/>
    <n v="1995"/>
    <s v="Villa"/>
    <n v="3"/>
    <s v="East"/>
    <s v="Yes"/>
    <s v="Furnished"/>
    <n v="4"/>
    <n v="0"/>
    <s v="Borivali Residency"/>
    <n v="2"/>
    <s v="No"/>
    <n v="57016000"/>
    <x v="1"/>
    <s v="BRK-02"/>
    <x v="0"/>
    <s v="Tier B"/>
    <n v="1.4999999999999999E-2"/>
    <n v="0"/>
    <n v="0"/>
    <n v="0"/>
  </r>
  <r>
    <x v="2"/>
    <s v="Kothrud"/>
    <x v="1"/>
    <n v="1"/>
    <n v="4158"/>
    <n v="6362"/>
    <n v="3"/>
    <n v="1953"/>
    <n v="1956"/>
    <s v="Villa"/>
    <n v="3"/>
    <s v="East"/>
    <s v="Yes"/>
    <s v="Semi-Furnished"/>
    <n v="0"/>
    <n v="1"/>
    <s v="Kothrud Residency"/>
    <n v="2"/>
    <s v="Yes"/>
    <n v="35788000"/>
    <x v="0"/>
    <s v="BRK-01"/>
    <x v="2"/>
    <s v="Tier A"/>
    <n v="0.02"/>
    <n v="715760"/>
    <n v="1073640"/>
    <n v="357880"/>
  </r>
  <r>
    <x v="1"/>
    <s v="Vasant Kunj"/>
    <x v="2"/>
    <n v="1"/>
    <n v="3133"/>
    <n v="3762"/>
    <n v="2"/>
    <n v="1960"/>
    <n v="2020"/>
    <s v="Apartment"/>
    <n v="2"/>
    <s v="North"/>
    <s v="Yes"/>
    <s v="Furnished"/>
    <n v="7"/>
    <n v="4"/>
    <s v="Vasant Kunj Residency"/>
    <n v="2"/>
    <s v="No"/>
    <n v="31580000"/>
    <x v="2"/>
    <s v="BRK-01"/>
    <x v="2"/>
    <s v="Tier A"/>
    <n v="0.02"/>
    <n v="0"/>
    <n v="0"/>
    <n v="0"/>
  </r>
  <r>
    <x v="3"/>
    <s v="Adyar"/>
    <x v="4"/>
    <n v="1"/>
    <n v="753"/>
    <n v="1234"/>
    <n v="1"/>
    <n v="2018"/>
    <n v="2023"/>
    <s v="Builder Floor"/>
    <n v="3"/>
    <s v="North"/>
    <s v="No"/>
    <s v="Semi-Furnished"/>
    <n v="2"/>
    <n v="3"/>
    <s v="Adyar Villa"/>
    <n v="1"/>
    <s v="Yes"/>
    <n v="6239000"/>
    <x v="2"/>
    <s v="BRK-04"/>
    <x v="3"/>
    <s v="Tier C"/>
    <n v="0.01"/>
    <n v="0"/>
    <n v="0"/>
    <n v="0"/>
  </r>
  <r>
    <x v="3"/>
    <s v="T Nagar"/>
    <x v="1"/>
    <n v="3"/>
    <n v="3181"/>
    <n v="4817"/>
    <n v="2"/>
    <n v="2005"/>
    <n v="2005"/>
    <s v="Apartment"/>
    <n v="1"/>
    <s v="North"/>
    <s v="Yes"/>
    <s v="Furnished"/>
    <n v="6"/>
    <n v="5"/>
    <s v="T Nagar Heights"/>
    <n v="0"/>
    <s v="Yes"/>
    <n v="25978000"/>
    <x v="2"/>
    <s v="BRK-02"/>
    <x v="0"/>
    <s v="Tier B"/>
    <n v="1.4999999999999999E-2"/>
    <n v="0"/>
    <n v="0"/>
    <n v="0"/>
  </r>
  <r>
    <x v="0"/>
    <s v="Andheri"/>
    <x v="2"/>
    <n v="2"/>
    <n v="3892"/>
    <n v="5421"/>
    <n v="2"/>
    <n v="1955"/>
    <n v="1994"/>
    <s v="Villa"/>
    <n v="1"/>
    <s v="East"/>
    <s v="Yes"/>
    <s v="Unfurnished"/>
    <n v="6"/>
    <n v="3"/>
    <s v="Andheri Heights"/>
    <n v="0"/>
    <s v="Yes"/>
    <n v="46929000"/>
    <x v="0"/>
    <s v="BRK-01"/>
    <x v="2"/>
    <s v="Tier A"/>
    <n v="0.02"/>
    <n v="938580"/>
    <n v="1407870"/>
    <n v="469290"/>
  </r>
  <r>
    <x v="4"/>
    <s v="HSR Layout"/>
    <x v="4"/>
    <n v="4"/>
    <n v="3224"/>
    <n v="5078"/>
    <n v="2"/>
    <n v="1988"/>
    <n v="2010"/>
    <s v="Villa"/>
    <n v="1"/>
    <s v="East"/>
    <s v="No"/>
    <s v="Unfurnished"/>
    <n v="8"/>
    <n v="4"/>
    <s v="HSR Layout Heights"/>
    <n v="0"/>
    <s v="No"/>
    <n v="29276000"/>
    <x v="1"/>
    <s v="BRK-05"/>
    <x v="4"/>
    <s v="Tier B"/>
    <n v="1.4999999999999999E-2"/>
    <n v="0"/>
    <n v="0"/>
    <n v="0"/>
  </r>
  <r>
    <x v="3"/>
    <s v="Perambur"/>
    <x v="3"/>
    <n v="3"/>
    <n v="942"/>
    <n v="4327"/>
    <n v="1"/>
    <n v="2016"/>
    <n v="2018"/>
    <s v="Villa"/>
    <n v="1"/>
    <s v="North"/>
    <s v="No"/>
    <s v="Unfurnished"/>
    <n v="2"/>
    <n v="0"/>
    <s v="Perambur Residency"/>
    <n v="3"/>
    <s v="No"/>
    <n v="7891000"/>
    <x v="0"/>
    <s v="BRK-05"/>
    <x v="4"/>
    <s v="Tier B"/>
    <n v="1.4999999999999999E-2"/>
    <n v="118365"/>
    <n v="236730"/>
    <n v="118365"/>
  </r>
  <r>
    <x v="0"/>
    <s v="Andheri"/>
    <x v="3"/>
    <n v="1"/>
    <n v="2514"/>
    <n v="4841"/>
    <n v="3"/>
    <n v="1999"/>
    <n v="2007"/>
    <s v="Builder Floor"/>
    <n v="0"/>
    <s v="East"/>
    <s v="No"/>
    <s v="Semi-Furnished"/>
    <n v="0"/>
    <n v="3"/>
    <s v="Andheri Villa"/>
    <n v="3"/>
    <s v="Yes"/>
    <n v="30553000"/>
    <x v="0"/>
    <s v="BRK-02"/>
    <x v="0"/>
    <s v="Tier B"/>
    <n v="1.4999999999999999E-2"/>
    <n v="458295"/>
    <n v="916590"/>
    <n v="458295"/>
  </r>
  <r>
    <x v="1"/>
    <s v="Rohini"/>
    <x v="3"/>
    <n v="2"/>
    <n v="3831"/>
    <n v="8243"/>
    <n v="1"/>
    <n v="1989"/>
    <n v="1990"/>
    <s v="Villa"/>
    <n v="0"/>
    <s v="East"/>
    <s v="No"/>
    <s v="Unfurnished"/>
    <n v="3"/>
    <n v="0"/>
    <s v="Rohini Enclave"/>
    <n v="3"/>
    <s v="No"/>
    <n v="38635000"/>
    <x v="2"/>
    <s v="BRK-02"/>
    <x v="0"/>
    <s v="Tier B"/>
    <n v="1.4999999999999999E-2"/>
    <n v="0"/>
    <n v="0"/>
    <n v="0"/>
  </r>
  <r>
    <x v="0"/>
    <s v="Andheri"/>
    <x v="1"/>
    <n v="4"/>
    <n v="2654"/>
    <n v="9736"/>
    <n v="3"/>
    <n v="2009"/>
    <n v="2021"/>
    <s v="Villa"/>
    <n v="1"/>
    <s v="West"/>
    <s v="No"/>
    <s v="Unfurnished"/>
    <n v="3"/>
    <n v="1"/>
    <s v="Andheri Heights"/>
    <n v="2"/>
    <s v="No"/>
    <n v="32308000"/>
    <x v="1"/>
    <s v="BRK-01"/>
    <x v="2"/>
    <s v="Tier A"/>
    <n v="0.02"/>
    <n v="0"/>
    <n v="0"/>
    <n v="0"/>
  </r>
  <r>
    <x v="0"/>
    <s v="Bandra"/>
    <x v="1"/>
    <n v="3"/>
    <n v="3065"/>
    <n v="7793"/>
    <n v="2"/>
    <n v="1954"/>
    <n v="1988"/>
    <s v="Villa"/>
    <n v="2"/>
    <s v="East"/>
    <s v="Yes"/>
    <s v="Furnished"/>
    <n v="4"/>
    <n v="4"/>
    <s v="Bandra Enclave"/>
    <n v="2"/>
    <s v="Yes"/>
    <n v="37340000"/>
    <x v="1"/>
    <s v="BRK-05"/>
    <x v="4"/>
    <s v="Tier B"/>
    <n v="1.4999999999999999E-2"/>
    <n v="0"/>
    <n v="0"/>
    <n v="0"/>
  </r>
  <r>
    <x v="3"/>
    <s v="Anna Nagar"/>
    <x v="2"/>
    <n v="4"/>
    <n v="372"/>
    <n v="8064"/>
    <n v="1"/>
    <n v="1995"/>
    <n v="2024"/>
    <s v="Apartment"/>
    <n v="3"/>
    <s v="North"/>
    <s v="Yes"/>
    <s v="Semi-Furnished"/>
    <n v="9"/>
    <n v="4"/>
    <s v="Anna Nagar Enclave"/>
    <n v="0"/>
    <s v="No"/>
    <n v="3191000"/>
    <x v="1"/>
    <s v="BRK-02"/>
    <x v="0"/>
    <s v="Tier B"/>
    <n v="1.4999999999999999E-2"/>
    <n v="0"/>
    <n v="0"/>
    <n v="0"/>
  </r>
  <r>
    <x v="1"/>
    <s v="Saket"/>
    <x v="0"/>
    <n v="3"/>
    <n v="4354"/>
    <n v="5446"/>
    <n v="1"/>
    <n v="1972"/>
    <n v="1980"/>
    <s v="Builder Floor"/>
    <n v="1"/>
    <s v="North"/>
    <s v="Yes"/>
    <s v="Furnished"/>
    <n v="10"/>
    <n v="4"/>
    <s v="Saket Villa"/>
    <n v="2"/>
    <s v="Yes"/>
    <n v="43980000"/>
    <x v="1"/>
    <s v="BRK-04"/>
    <x v="3"/>
    <s v="Tier C"/>
    <n v="0.01"/>
    <n v="0"/>
    <n v="0"/>
    <n v="0"/>
  </r>
  <r>
    <x v="2"/>
    <s v="Hinjewadi"/>
    <x v="2"/>
    <n v="3"/>
    <n v="2408"/>
    <n v="2590"/>
    <n v="3"/>
    <n v="1995"/>
    <n v="1996"/>
    <s v="Apartment"/>
    <n v="2"/>
    <s v="North"/>
    <s v="Yes"/>
    <s v="Unfurnished"/>
    <n v="7"/>
    <n v="0"/>
    <s v="Hinjewadi Heights"/>
    <n v="1"/>
    <s v="Yes"/>
    <n v="20758000"/>
    <x v="2"/>
    <s v="BRK-04"/>
    <x v="3"/>
    <s v="Tier C"/>
    <n v="0.01"/>
    <n v="0"/>
    <n v="0"/>
    <n v="0"/>
  </r>
  <r>
    <x v="4"/>
    <s v="HSR Layout"/>
    <x v="0"/>
    <n v="4"/>
    <n v="884"/>
    <n v="7921"/>
    <n v="2"/>
    <n v="1968"/>
    <n v="1968"/>
    <s v="Villa"/>
    <n v="2"/>
    <s v="East"/>
    <s v="No"/>
    <s v="Unfurnished"/>
    <n v="5"/>
    <n v="3"/>
    <s v="HSR Layout Enclave"/>
    <n v="0"/>
    <s v="Yes"/>
    <n v="8316000"/>
    <x v="0"/>
    <s v="BRK-05"/>
    <x v="4"/>
    <s v="Tier B"/>
    <n v="1.4999999999999999E-2"/>
    <n v="124740"/>
    <n v="249480"/>
    <n v="124740"/>
  </r>
  <r>
    <x v="4"/>
    <s v="Whitefield"/>
    <x v="0"/>
    <n v="2"/>
    <n v="509"/>
    <n v="2299"/>
    <n v="3"/>
    <n v="1977"/>
    <n v="1996"/>
    <s v="Villa"/>
    <n v="1"/>
    <s v="West"/>
    <s v="Yes"/>
    <s v="Unfurnished"/>
    <n v="2"/>
    <n v="3"/>
    <s v="Whitefield Heights"/>
    <n v="0"/>
    <s v="Yes"/>
    <n v="4926000"/>
    <x v="1"/>
    <s v="BRK-01"/>
    <x v="2"/>
    <s v="Tier A"/>
    <n v="0.02"/>
    <n v="0"/>
    <n v="0"/>
    <n v="0"/>
  </r>
  <r>
    <x v="2"/>
    <s v="Aundh"/>
    <x v="1"/>
    <n v="4"/>
    <n v="4715"/>
    <n v="5758"/>
    <n v="3"/>
    <n v="1956"/>
    <n v="2015"/>
    <s v="Independent House"/>
    <n v="2"/>
    <s v="East"/>
    <s v="Yes"/>
    <s v="Unfurnished"/>
    <n v="4"/>
    <n v="1"/>
    <s v="Aundh Enclave"/>
    <n v="1"/>
    <s v="No"/>
    <n v="40547500"/>
    <x v="1"/>
    <s v="BRK-03"/>
    <x v="1"/>
    <s v="Tier A"/>
    <n v="0.02"/>
    <n v="0"/>
    <n v="0"/>
    <n v="0"/>
  </r>
  <r>
    <x v="1"/>
    <s v="Vasant Kunj"/>
    <x v="0"/>
    <n v="1"/>
    <n v="2274"/>
    <n v="5969"/>
    <n v="3"/>
    <n v="2002"/>
    <n v="2012"/>
    <s v="Builder Floor"/>
    <n v="2"/>
    <s v="North"/>
    <s v="No"/>
    <s v="Unfurnished"/>
    <n v="7"/>
    <n v="4"/>
    <s v="Vasant Kunj Residency"/>
    <n v="3"/>
    <s v="No"/>
    <n v="23025000"/>
    <x v="1"/>
    <s v="BRK-03"/>
    <x v="1"/>
    <s v="Tier A"/>
    <n v="0.02"/>
    <n v="0"/>
    <n v="0"/>
    <n v="0"/>
  </r>
  <r>
    <x v="1"/>
    <s v="Lajpat Nagar"/>
    <x v="4"/>
    <n v="2"/>
    <n v="3639"/>
    <n v="9211"/>
    <n v="3"/>
    <n v="1967"/>
    <n v="2004"/>
    <s v="Villa"/>
    <n v="2"/>
    <s v="East"/>
    <s v="No"/>
    <s v="Furnished"/>
    <n v="1"/>
    <n v="3"/>
    <s v="Lajpat Nagar Villa"/>
    <n v="1"/>
    <s v="No"/>
    <n v="36700000"/>
    <x v="2"/>
    <s v="BRK-02"/>
    <x v="0"/>
    <s v="Tier B"/>
    <n v="1.4999999999999999E-2"/>
    <n v="0"/>
    <n v="0"/>
    <n v="0"/>
  </r>
  <r>
    <x v="1"/>
    <s v="Rohini"/>
    <x v="3"/>
    <n v="1"/>
    <n v="1666"/>
    <n v="3695"/>
    <n v="2"/>
    <n v="1983"/>
    <n v="2017"/>
    <s v="Independent House"/>
    <n v="0"/>
    <s v="South"/>
    <s v="Yes"/>
    <s v="Semi-Furnished"/>
    <n v="0"/>
    <n v="5"/>
    <s v="Rohini Residency"/>
    <n v="0"/>
    <s v="Yes"/>
    <n v="17005000"/>
    <x v="2"/>
    <s v="BRK-04"/>
    <x v="3"/>
    <s v="Tier C"/>
    <n v="0.01"/>
    <n v="0"/>
    <n v="0"/>
    <n v="0"/>
  </r>
  <r>
    <x v="2"/>
    <s v="Aundh"/>
    <x v="3"/>
    <n v="4"/>
    <n v="3202"/>
    <n v="4296"/>
    <n v="2"/>
    <n v="2021"/>
    <n v="2021"/>
    <s v="Villa"/>
    <n v="0"/>
    <s v="East"/>
    <s v="No"/>
    <s v="Unfurnished"/>
    <n v="9"/>
    <n v="4"/>
    <s v="Aundh Heights"/>
    <n v="0"/>
    <s v="Yes"/>
    <n v="27627000"/>
    <x v="0"/>
    <s v="BRK-02"/>
    <x v="0"/>
    <s v="Tier B"/>
    <n v="1.4999999999999999E-2"/>
    <n v="414405"/>
    <n v="828810"/>
    <n v="414405"/>
  </r>
  <r>
    <x v="4"/>
    <s v="MG Road"/>
    <x v="3"/>
    <n v="4"/>
    <n v="3869"/>
    <n v="6288"/>
    <n v="2"/>
    <n v="1967"/>
    <n v="2012"/>
    <s v="Apartment"/>
    <n v="0"/>
    <s v="South"/>
    <s v="Yes"/>
    <s v="Unfurnished"/>
    <n v="9"/>
    <n v="2"/>
    <s v="MG Road Villa"/>
    <n v="3"/>
    <s v="No"/>
    <n v="35251000"/>
    <x v="0"/>
    <s v="BRK-05"/>
    <x v="4"/>
    <s v="Tier B"/>
    <n v="1.4999999999999999E-2"/>
    <n v="528765"/>
    <n v="1057530"/>
    <n v="528765"/>
  </r>
  <r>
    <x v="3"/>
    <s v="Velachery"/>
    <x v="1"/>
    <n v="3"/>
    <n v="1093"/>
    <n v="4948"/>
    <n v="2"/>
    <n v="2013"/>
    <n v="2017"/>
    <s v="Builder Floor"/>
    <n v="3"/>
    <s v="East"/>
    <s v="No"/>
    <s v="Semi-Furnished"/>
    <n v="5"/>
    <n v="1"/>
    <s v="Velachery Residency"/>
    <n v="0"/>
    <s v="Yes"/>
    <n v="9174000"/>
    <x v="1"/>
    <s v="BRK-02"/>
    <x v="0"/>
    <s v="Tier B"/>
    <n v="1.4999999999999999E-2"/>
    <n v="0"/>
    <n v="0"/>
    <n v="0"/>
  </r>
  <r>
    <x v="3"/>
    <s v="Perambur"/>
    <x v="0"/>
    <n v="3"/>
    <n v="1114"/>
    <n v="6854"/>
    <n v="2"/>
    <n v="1971"/>
    <n v="1977"/>
    <s v="Villa"/>
    <n v="2"/>
    <s v="West"/>
    <s v="No"/>
    <s v="Furnished"/>
    <n v="2"/>
    <n v="2"/>
    <s v="Perambur Enclave"/>
    <n v="0"/>
    <s v="Yes"/>
    <n v="9317000"/>
    <x v="2"/>
    <s v="BRK-01"/>
    <x v="2"/>
    <s v="Tier A"/>
    <n v="0.02"/>
    <n v="0"/>
    <n v="0"/>
    <n v="0"/>
  </r>
  <r>
    <x v="4"/>
    <s v="Koramangala"/>
    <x v="2"/>
    <n v="2"/>
    <n v="4823"/>
    <n v="9040"/>
    <n v="1"/>
    <n v="1953"/>
    <n v="1957"/>
    <s v="Apartment"/>
    <n v="0"/>
    <s v="West"/>
    <s v="Yes"/>
    <s v="Semi-Furnished"/>
    <n v="3"/>
    <n v="2"/>
    <s v="Koramangala Villa"/>
    <n v="3"/>
    <s v="Yes"/>
    <n v="43657000"/>
    <x v="2"/>
    <s v="BRK-05"/>
    <x v="4"/>
    <s v="Tier B"/>
    <n v="1.4999999999999999E-2"/>
    <n v="0"/>
    <n v="0"/>
    <n v="0"/>
  </r>
  <r>
    <x v="3"/>
    <s v="Adyar"/>
    <x v="2"/>
    <n v="1"/>
    <n v="3940"/>
    <n v="7531"/>
    <n v="2"/>
    <n v="1983"/>
    <n v="1987"/>
    <s v="Apartment"/>
    <n v="2"/>
    <s v="North"/>
    <s v="No"/>
    <s v="Furnished"/>
    <n v="3"/>
    <n v="5"/>
    <s v="Adyar Heights"/>
    <n v="2"/>
    <s v="Yes"/>
    <n v="31795000"/>
    <x v="0"/>
    <s v="BRK-04"/>
    <x v="3"/>
    <s v="Tier C"/>
    <n v="0.01"/>
    <n v="317950"/>
    <n v="953850"/>
    <n v="635900"/>
  </r>
  <r>
    <x v="2"/>
    <s v="Viman Nagar"/>
    <x v="0"/>
    <n v="4"/>
    <n v="4501"/>
    <n v="5157"/>
    <n v="3"/>
    <n v="1990"/>
    <n v="1991"/>
    <s v="Independent House"/>
    <n v="0"/>
    <s v="East"/>
    <s v="Yes"/>
    <s v="Unfurnished"/>
    <n v="10"/>
    <n v="5"/>
    <s v="Viman Nagar Heights"/>
    <n v="0"/>
    <s v="Yes"/>
    <n v="38663500"/>
    <x v="0"/>
    <s v="BRK-01"/>
    <x v="2"/>
    <s v="Tier A"/>
    <n v="0.02"/>
    <n v="773270"/>
    <n v="1159905"/>
    <n v="386635"/>
  </r>
  <r>
    <x v="1"/>
    <s v="Lajpat Nagar"/>
    <x v="3"/>
    <n v="2"/>
    <n v="1902"/>
    <n v="4125"/>
    <n v="2"/>
    <n v="1969"/>
    <n v="1999"/>
    <s v="Apartment"/>
    <n v="3"/>
    <s v="East"/>
    <s v="Yes"/>
    <s v="Furnished"/>
    <n v="10"/>
    <n v="0"/>
    <s v="Lajpat Nagar Residency"/>
    <n v="0"/>
    <s v="No"/>
    <n v="19420000"/>
    <x v="1"/>
    <s v="BRK-01"/>
    <x v="2"/>
    <s v="Tier A"/>
    <n v="0.02"/>
    <n v="0"/>
    <n v="0"/>
    <n v="0"/>
  </r>
  <r>
    <x v="0"/>
    <s v="Borivali"/>
    <x v="1"/>
    <n v="2"/>
    <n v="1759"/>
    <n v="2444"/>
    <n v="2"/>
    <n v="1983"/>
    <n v="2021"/>
    <s v="Independent House"/>
    <n v="1"/>
    <s v="East"/>
    <s v="No"/>
    <s v="Unfurnished"/>
    <n v="10"/>
    <n v="1"/>
    <s v="Borivali Enclave"/>
    <n v="1"/>
    <s v="No"/>
    <n v="21473000"/>
    <x v="1"/>
    <s v="BRK-02"/>
    <x v="0"/>
    <s v="Tier B"/>
    <n v="1.4999999999999999E-2"/>
    <n v="0"/>
    <n v="0"/>
    <n v="0"/>
  </r>
  <r>
    <x v="3"/>
    <s v="Anna Nagar"/>
    <x v="3"/>
    <n v="3"/>
    <n v="4751"/>
    <n v="8741"/>
    <n v="2"/>
    <n v="1962"/>
    <n v="1989"/>
    <s v="Builder Floor"/>
    <n v="2"/>
    <s v="West"/>
    <s v="No"/>
    <s v="Semi-Furnished"/>
    <n v="3"/>
    <n v="5"/>
    <s v="Anna Nagar Villa"/>
    <n v="0"/>
    <s v="Yes"/>
    <n v="38388000"/>
    <x v="2"/>
    <s v="BRK-03"/>
    <x v="1"/>
    <s v="Tier A"/>
    <n v="0.02"/>
    <n v="0"/>
    <n v="0"/>
    <n v="0"/>
  </r>
  <r>
    <x v="3"/>
    <s v="Adyar"/>
    <x v="2"/>
    <n v="3"/>
    <n v="3561"/>
    <n v="9384"/>
    <n v="1"/>
    <n v="2011"/>
    <n v="2025"/>
    <s v="Independent House"/>
    <n v="1"/>
    <s v="North"/>
    <s v="No"/>
    <s v="Semi-Furnished"/>
    <n v="8"/>
    <n v="1"/>
    <s v="Adyar Villa"/>
    <n v="0"/>
    <s v="No"/>
    <n v="28648000"/>
    <x v="1"/>
    <s v="BRK-05"/>
    <x v="4"/>
    <s v="Tier B"/>
    <n v="1.4999999999999999E-2"/>
    <n v="0"/>
    <n v="0"/>
    <n v="0"/>
  </r>
  <r>
    <x v="4"/>
    <s v="Indiranagar"/>
    <x v="3"/>
    <n v="4"/>
    <n v="3920"/>
    <n v="7453"/>
    <n v="2"/>
    <n v="1983"/>
    <n v="1985"/>
    <s v="Villa"/>
    <n v="3"/>
    <s v="South"/>
    <s v="No"/>
    <s v="Unfurnished"/>
    <n v="0"/>
    <n v="2"/>
    <s v="Indiranagar Villa"/>
    <n v="3"/>
    <s v="Yes"/>
    <n v="35735000"/>
    <x v="0"/>
    <s v="BRK-01"/>
    <x v="2"/>
    <s v="Tier A"/>
    <n v="0.02"/>
    <n v="714700"/>
    <n v="1072050"/>
    <n v="357350"/>
  </r>
  <r>
    <x v="2"/>
    <s v="Hinjewadi"/>
    <x v="1"/>
    <n v="2"/>
    <n v="1203"/>
    <n v="6654"/>
    <n v="1"/>
    <n v="2019"/>
    <n v="0"/>
    <s v="Builder Floor"/>
    <n v="3"/>
    <s v="North"/>
    <s v="No"/>
    <s v="Semi-Furnished"/>
    <n v="8"/>
    <n v="0"/>
    <s v="Hinjewadi Heights"/>
    <n v="1"/>
    <s v="No"/>
    <n v="10570500"/>
    <x v="1"/>
    <s v="BRK-01"/>
    <x v="2"/>
    <s v="Tier A"/>
    <n v="0.02"/>
    <n v="0"/>
    <n v="0"/>
    <n v="0"/>
  </r>
  <r>
    <x v="2"/>
    <s v="Hinjewadi"/>
    <x v="4"/>
    <n v="4"/>
    <n v="2178"/>
    <n v="4605"/>
    <n v="1"/>
    <n v="1997"/>
    <n v="2006"/>
    <s v="Independent House"/>
    <n v="1"/>
    <s v="South"/>
    <s v="Yes"/>
    <s v="Furnished"/>
    <n v="0"/>
    <n v="4"/>
    <s v="Hinjewadi Heights"/>
    <n v="3"/>
    <s v="No"/>
    <n v="18898000"/>
    <x v="0"/>
    <s v="BRK-01"/>
    <x v="2"/>
    <s v="Tier A"/>
    <n v="0.02"/>
    <n v="377960"/>
    <n v="566940"/>
    <n v="188980"/>
  </r>
  <r>
    <x v="0"/>
    <s v="Bandra"/>
    <x v="0"/>
    <n v="3"/>
    <n v="498"/>
    <n v="4316"/>
    <n v="3"/>
    <n v="1981"/>
    <n v="1982"/>
    <s v="Villa"/>
    <n v="0"/>
    <s v="West"/>
    <s v="No"/>
    <s v="Furnished"/>
    <n v="4"/>
    <n v="0"/>
    <s v="Bandra Heights"/>
    <n v="0"/>
    <s v="No"/>
    <n v="6351000"/>
    <x v="2"/>
    <s v="BRK-02"/>
    <x v="0"/>
    <s v="Tier B"/>
    <n v="1.4999999999999999E-2"/>
    <n v="0"/>
    <n v="0"/>
    <n v="0"/>
  </r>
  <r>
    <x v="0"/>
    <s v="Andheri"/>
    <x v="1"/>
    <n v="2"/>
    <n v="1082"/>
    <n v="7540"/>
    <n v="1"/>
    <n v="1989"/>
    <n v="2008"/>
    <s v="Independent House"/>
    <n v="0"/>
    <s v="East"/>
    <s v="No"/>
    <s v="Semi-Furnished"/>
    <n v="3"/>
    <n v="0"/>
    <s v="Andheri Enclave"/>
    <n v="3"/>
    <s v="No"/>
    <n v="13359000"/>
    <x v="0"/>
    <s v="BRK-04"/>
    <x v="3"/>
    <s v="Tier C"/>
    <n v="0.01"/>
    <n v="133590"/>
    <n v="400770"/>
    <n v="267180"/>
  </r>
  <r>
    <x v="4"/>
    <s v="MG Road"/>
    <x v="2"/>
    <n v="2"/>
    <n v="3628"/>
    <n v="8273"/>
    <n v="2"/>
    <n v="2011"/>
    <n v="2019"/>
    <s v="Apartment"/>
    <n v="3"/>
    <s v="North"/>
    <s v="No"/>
    <s v="Unfurnished"/>
    <n v="6"/>
    <n v="2"/>
    <s v="MG Road Heights"/>
    <n v="3"/>
    <s v="Yes"/>
    <n v="32897000"/>
    <x v="2"/>
    <s v="BRK-02"/>
    <x v="0"/>
    <s v="Tier B"/>
    <n v="1.4999999999999999E-2"/>
    <n v="0"/>
    <n v="0"/>
    <n v="0"/>
  </r>
  <r>
    <x v="2"/>
    <s v="Kothrud"/>
    <x v="3"/>
    <n v="2"/>
    <n v="3962"/>
    <n v="7041"/>
    <n v="2"/>
    <n v="2022"/>
    <n v="0"/>
    <s v="Villa"/>
    <n v="2"/>
    <s v="South"/>
    <s v="Yes"/>
    <s v="Furnished"/>
    <n v="8"/>
    <n v="1"/>
    <s v="Kothrud Residency"/>
    <n v="3"/>
    <s v="Yes"/>
    <n v="34172000"/>
    <x v="0"/>
    <s v="BRK-02"/>
    <x v="0"/>
    <s v="Tier B"/>
    <n v="1.4999999999999999E-2"/>
    <n v="512580"/>
    <n v="1025160"/>
    <n v="512580"/>
  </r>
  <r>
    <x v="0"/>
    <s v="Bandra"/>
    <x v="3"/>
    <n v="4"/>
    <n v="4587"/>
    <n v="9278"/>
    <n v="1"/>
    <n v="1957"/>
    <n v="2019"/>
    <s v="Villa"/>
    <n v="3"/>
    <s v="East"/>
    <s v="No"/>
    <s v="Furnished"/>
    <n v="0"/>
    <n v="2"/>
    <s v="Bandra Villa"/>
    <n v="0"/>
    <s v="No"/>
    <n v="55459000"/>
    <x v="1"/>
    <s v="BRK-01"/>
    <x v="2"/>
    <s v="Tier A"/>
    <n v="0.02"/>
    <n v="0"/>
    <n v="0"/>
    <n v="0"/>
  </r>
  <r>
    <x v="1"/>
    <s v="Lajpat Nagar"/>
    <x v="3"/>
    <n v="4"/>
    <n v="2864"/>
    <n v="8255"/>
    <n v="1"/>
    <n v="1991"/>
    <n v="2019"/>
    <s v="Independent House"/>
    <n v="0"/>
    <s v="North"/>
    <s v="No"/>
    <s v="Unfurnished"/>
    <n v="1"/>
    <n v="3"/>
    <s v="Lajpat Nagar Residency"/>
    <n v="0"/>
    <s v="Yes"/>
    <n v="29030000"/>
    <x v="0"/>
    <s v="BRK-01"/>
    <x v="2"/>
    <s v="Tier A"/>
    <n v="0.02"/>
    <n v="580600"/>
    <n v="870900"/>
    <n v="290300"/>
  </r>
  <r>
    <x v="2"/>
    <s v="Kothrud"/>
    <x v="4"/>
    <n v="2"/>
    <n v="3884"/>
    <n v="4865"/>
    <n v="1"/>
    <n v="2004"/>
    <n v="2018"/>
    <s v="Apartment"/>
    <n v="3"/>
    <s v="South"/>
    <s v="No"/>
    <s v="Semi-Furnished"/>
    <n v="0"/>
    <n v="2"/>
    <s v="Kothrud Heights"/>
    <n v="3"/>
    <s v="No"/>
    <n v="33239000"/>
    <x v="0"/>
    <s v="BRK-01"/>
    <x v="2"/>
    <s v="Tier A"/>
    <n v="0.02"/>
    <n v="664780"/>
    <n v="997170"/>
    <n v="332390"/>
  </r>
  <r>
    <x v="4"/>
    <s v="HSR Layout"/>
    <x v="0"/>
    <n v="3"/>
    <n v="4918"/>
    <n v="6327"/>
    <n v="1"/>
    <n v="1987"/>
    <n v="2019"/>
    <s v="Apartment"/>
    <n v="2"/>
    <s v="East"/>
    <s v="No"/>
    <s v="Semi-Furnished"/>
    <n v="3"/>
    <n v="2"/>
    <s v="HSR Layout Residency"/>
    <n v="1"/>
    <s v="No"/>
    <n v="44537000"/>
    <x v="1"/>
    <s v="BRK-02"/>
    <x v="0"/>
    <s v="Tier B"/>
    <n v="1.4999999999999999E-2"/>
    <n v="0"/>
    <n v="0"/>
    <n v="0"/>
  </r>
  <r>
    <x v="0"/>
    <s v="Juhu"/>
    <x v="3"/>
    <n v="2"/>
    <n v="1531"/>
    <n v="9289"/>
    <n v="1"/>
    <n v="1950"/>
    <n v="1988"/>
    <s v="Apartment"/>
    <n v="1"/>
    <s v="North"/>
    <s v="No"/>
    <s v="Semi-Furnished"/>
    <n v="1"/>
    <n v="0"/>
    <s v="Juhu Villa"/>
    <n v="1"/>
    <s v="Yes"/>
    <n v="18717000"/>
    <x v="2"/>
    <s v="BRK-01"/>
    <x v="2"/>
    <s v="Tier A"/>
    <n v="0.02"/>
    <n v="0"/>
    <n v="0"/>
    <n v="0"/>
  </r>
  <r>
    <x v="4"/>
    <s v="HSR Layout"/>
    <x v="4"/>
    <n v="3"/>
    <n v="415"/>
    <n v="3621"/>
    <n v="2"/>
    <n v="1986"/>
    <n v="2012"/>
    <s v="Villa"/>
    <n v="2"/>
    <s v="West"/>
    <s v="No"/>
    <s v="Unfurnished"/>
    <n v="8"/>
    <n v="5"/>
    <s v="HSR Layout Residency"/>
    <n v="0"/>
    <s v="Yes"/>
    <n v="4015000"/>
    <x v="1"/>
    <s v="BRK-05"/>
    <x v="4"/>
    <s v="Tier B"/>
    <n v="1.4999999999999999E-2"/>
    <n v="0"/>
    <n v="0"/>
    <n v="0"/>
  </r>
  <r>
    <x v="0"/>
    <s v="Bandra"/>
    <x v="0"/>
    <n v="2"/>
    <n v="2453"/>
    <n v="7120"/>
    <n v="1"/>
    <n v="1966"/>
    <n v="2016"/>
    <s v="Independent House"/>
    <n v="2"/>
    <s v="East"/>
    <s v="No"/>
    <s v="Furnished"/>
    <n v="2"/>
    <n v="0"/>
    <s v="Bandra Residency"/>
    <n v="1"/>
    <s v="Yes"/>
    <n v="29806000"/>
    <x v="2"/>
    <s v="BRK-01"/>
    <x v="2"/>
    <s v="Tier A"/>
    <n v="0.02"/>
    <n v="0"/>
    <n v="0"/>
    <n v="0"/>
  </r>
  <r>
    <x v="2"/>
    <s v="Hinjewadi"/>
    <x v="4"/>
    <n v="2"/>
    <n v="4195"/>
    <n v="4247"/>
    <n v="2"/>
    <n v="1959"/>
    <n v="1964"/>
    <s v="Apartment"/>
    <n v="3"/>
    <s v="West"/>
    <s v="No"/>
    <s v="Semi-Furnished"/>
    <n v="4"/>
    <n v="4"/>
    <s v="Hinjewadi Heights"/>
    <n v="1"/>
    <s v="No"/>
    <n v="35872500"/>
    <x v="1"/>
    <s v="BRK-03"/>
    <x v="1"/>
    <s v="Tier A"/>
    <n v="0.02"/>
    <n v="0"/>
    <n v="0"/>
    <n v="0"/>
  </r>
  <r>
    <x v="3"/>
    <s v="Anna Nagar"/>
    <x v="3"/>
    <n v="3"/>
    <n v="2853"/>
    <n v="9773"/>
    <n v="3"/>
    <n v="1990"/>
    <n v="2022"/>
    <s v="Builder Floor"/>
    <n v="1"/>
    <s v="South"/>
    <s v="No"/>
    <s v="Unfurnished"/>
    <n v="2"/>
    <n v="3"/>
    <s v="Anna Nagar Villa"/>
    <n v="3"/>
    <s v="No"/>
    <n v="23219000"/>
    <x v="1"/>
    <s v="BRK-04"/>
    <x v="3"/>
    <s v="Tier C"/>
    <n v="0.01"/>
    <n v="0"/>
    <n v="0"/>
    <n v="0"/>
  </r>
  <r>
    <x v="0"/>
    <s v="Powai"/>
    <x v="3"/>
    <n v="3"/>
    <n v="1758"/>
    <n v="2222"/>
    <n v="2"/>
    <n v="2009"/>
    <n v="2019"/>
    <s v="Independent House"/>
    <n v="1"/>
    <s v="South"/>
    <s v="No"/>
    <s v="Semi-Furnished"/>
    <n v="2"/>
    <n v="5"/>
    <s v="Powai Heights"/>
    <n v="1"/>
    <s v="No"/>
    <n v="21441000"/>
    <x v="1"/>
    <s v="BRK-01"/>
    <x v="2"/>
    <s v="Tier A"/>
    <n v="0.02"/>
    <n v="0"/>
    <n v="0"/>
    <n v="0"/>
  </r>
  <r>
    <x v="4"/>
    <s v="HSR Layout"/>
    <x v="4"/>
    <n v="1"/>
    <n v="2842"/>
    <n v="5582"/>
    <n v="1"/>
    <n v="1997"/>
    <n v="2025"/>
    <s v="Villa"/>
    <n v="0"/>
    <s v="East"/>
    <s v="Yes"/>
    <s v="Unfurnished"/>
    <n v="4"/>
    <n v="5"/>
    <s v="HSR Layout Villa"/>
    <n v="3"/>
    <s v="Yes"/>
    <n v="25848000"/>
    <x v="0"/>
    <s v="BRK-03"/>
    <x v="1"/>
    <s v="Tier A"/>
    <n v="0.02"/>
    <n v="516960"/>
    <n v="775440"/>
    <n v="258480"/>
  </r>
  <r>
    <x v="4"/>
    <s v="Indiranagar"/>
    <x v="2"/>
    <n v="1"/>
    <n v="4156"/>
    <n v="9183"/>
    <n v="3"/>
    <n v="2008"/>
    <n v="2022"/>
    <s v="Apartment"/>
    <n v="3"/>
    <s v="North"/>
    <s v="Yes"/>
    <s v="Semi-Furnished"/>
    <n v="0"/>
    <n v="4"/>
    <s v="Indiranagar Residency"/>
    <n v="1"/>
    <s v="Yes"/>
    <n v="37634000"/>
    <x v="2"/>
    <s v="BRK-04"/>
    <x v="3"/>
    <s v="Tier C"/>
    <n v="0.01"/>
    <n v="0"/>
    <n v="0"/>
    <n v="0"/>
  </r>
  <r>
    <x v="0"/>
    <s v="Borivali"/>
    <x v="2"/>
    <n v="1"/>
    <n v="3932"/>
    <n v="9204"/>
    <n v="3"/>
    <n v="1957"/>
    <n v="1996"/>
    <s v="Builder Floor"/>
    <n v="2"/>
    <s v="South"/>
    <s v="Yes"/>
    <s v="Semi-Furnished"/>
    <n v="10"/>
    <n v="2"/>
    <s v="Borivali Residency"/>
    <n v="2"/>
    <s v="Yes"/>
    <n v="47429000"/>
    <x v="1"/>
    <s v="BRK-03"/>
    <x v="1"/>
    <s v="Tier A"/>
    <n v="0.02"/>
    <n v="0"/>
    <n v="0"/>
    <n v="0"/>
  </r>
  <r>
    <x v="3"/>
    <s v="Anna Nagar"/>
    <x v="2"/>
    <n v="1"/>
    <n v="1880"/>
    <n v="8688"/>
    <n v="3"/>
    <n v="1968"/>
    <n v="2013"/>
    <s v="Villa"/>
    <n v="0"/>
    <s v="South"/>
    <s v="No"/>
    <s v="Furnished"/>
    <n v="4"/>
    <n v="4"/>
    <s v="Anna Nagar Residency"/>
    <n v="3"/>
    <s v="Yes"/>
    <n v="15350000"/>
    <x v="1"/>
    <s v="BRK-04"/>
    <x v="3"/>
    <s v="Tier C"/>
    <n v="0.01"/>
    <n v="0"/>
    <n v="0"/>
    <n v="0"/>
  </r>
  <r>
    <x v="0"/>
    <s v="Juhu"/>
    <x v="0"/>
    <n v="3"/>
    <n v="1264"/>
    <n v="6908"/>
    <n v="2"/>
    <n v="2022"/>
    <n v="0"/>
    <s v="Independent House"/>
    <n v="0"/>
    <s v="North"/>
    <s v="Yes"/>
    <s v="Furnished"/>
    <n v="1"/>
    <n v="1"/>
    <s v="Juhu Enclave"/>
    <n v="0"/>
    <s v="Yes"/>
    <n v="15598000"/>
    <x v="2"/>
    <s v="BRK-05"/>
    <x v="4"/>
    <s v="Tier B"/>
    <n v="1.4999999999999999E-2"/>
    <n v="0"/>
    <n v="0"/>
    <n v="0"/>
  </r>
  <r>
    <x v="0"/>
    <s v="Bandra"/>
    <x v="0"/>
    <n v="4"/>
    <n v="965"/>
    <n v="5057"/>
    <n v="2"/>
    <n v="1974"/>
    <n v="2020"/>
    <s v="Apartment"/>
    <n v="2"/>
    <s v="North"/>
    <s v="No"/>
    <s v="Unfurnished"/>
    <n v="4"/>
    <n v="1"/>
    <s v="Bandra Enclave"/>
    <n v="1"/>
    <s v="No"/>
    <n v="11905000"/>
    <x v="0"/>
    <s v="BRK-03"/>
    <x v="1"/>
    <s v="Tier A"/>
    <n v="0.02"/>
    <n v="238100"/>
    <n v="357150"/>
    <n v="119050"/>
  </r>
  <r>
    <x v="3"/>
    <s v="Velachery"/>
    <x v="4"/>
    <n v="3"/>
    <n v="1932"/>
    <n v="3432"/>
    <n v="2"/>
    <n v="1983"/>
    <n v="2010"/>
    <s v="Villa"/>
    <n v="0"/>
    <s v="West"/>
    <s v="No"/>
    <s v="Unfurnished"/>
    <n v="5"/>
    <n v="2"/>
    <s v="Velachery Villa"/>
    <n v="1"/>
    <s v="Yes"/>
    <n v="15751000"/>
    <x v="1"/>
    <s v="BRK-04"/>
    <x v="3"/>
    <s v="Tier C"/>
    <n v="0.01"/>
    <n v="0"/>
    <n v="0"/>
    <n v="0"/>
  </r>
  <r>
    <x v="2"/>
    <s v="Baner"/>
    <x v="4"/>
    <n v="2"/>
    <n v="3854"/>
    <n v="6745"/>
    <n v="3"/>
    <n v="1986"/>
    <n v="1998"/>
    <s v="Villa"/>
    <n v="2"/>
    <s v="North"/>
    <s v="Yes"/>
    <s v="Semi-Furnished"/>
    <n v="3"/>
    <n v="3"/>
    <s v="Baner Enclave"/>
    <n v="0"/>
    <s v="Yes"/>
    <n v="33054000"/>
    <x v="0"/>
    <s v="BRK-01"/>
    <x v="2"/>
    <s v="Tier A"/>
    <n v="0.02"/>
    <n v="661080"/>
    <n v="991620"/>
    <n v="330540"/>
  </r>
  <r>
    <x v="2"/>
    <s v="Hinjewadi"/>
    <x v="3"/>
    <n v="2"/>
    <n v="4127"/>
    <n v="8984"/>
    <n v="2"/>
    <n v="1997"/>
    <n v="2014"/>
    <s v="Independent House"/>
    <n v="0"/>
    <s v="East"/>
    <s v="Yes"/>
    <s v="Unfurnished"/>
    <n v="5"/>
    <n v="0"/>
    <s v="Hinjewadi Residency"/>
    <n v="3"/>
    <s v="No"/>
    <n v="35449500"/>
    <x v="2"/>
    <s v="BRK-05"/>
    <x v="4"/>
    <s v="Tier B"/>
    <n v="1.4999999999999999E-2"/>
    <n v="0"/>
    <n v="0"/>
    <n v="0"/>
  </r>
  <r>
    <x v="4"/>
    <s v="Indiranagar"/>
    <x v="2"/>
    <n v="2"/>
    <n v="3232"/>
    <n v="5791"/>
    <n v="1"/>
    <n v="2009"/>
    <n v="2025"/>
    <s v="Apartment"/>
    <n v="0"/>
    <s v="West"/>
    <s v="No"/>
    <s v="Unfurnished"/>
    <n v="9"/>
    <n v="5"/>
    <s v="Indiranagar Villa"/>
    <n v="3"/>
    <s v="No"/>
    <n v="29263000"/>
    <x v="0"/>
    <s v="BRK-04"/>
    <x v="3"/>
    <s v="Tier C"/>
    <n v="0.01"/>
    <n v="292630"/>
    <n v="877890"/>
    <n v="585260"/>
  </r>
  <r>
    <x v="1"/>
    <s v="Saket"/>
    <x v="0"/>
    <n v="3"/>
    <n v="4253"/>
    <n v="9861"/>
    <n v="2"/>
    <n v="1988"/>
    <n v="1989"/>
    <s v="Apartment"/>
    <n v="0"/>
    <s v="West"/>
    <s v="No"/>
    <s v="Semi-Furnished"/>
    <n v="9"/>
    <n v="3"/>
    <s v="Saket Heights"/>
    <n v="1"/>
    <s v="Yes"/>
    <n v="42875000"/>
    <x v="1"/>
    <s v="BRK-01"/>
    <x v="2"/>
    <s v="Tier A"/>
    <n v="0.02"/>
    <n v="0"/>
    <n v="0"/>
    <n v="0"/>
  </r>
  <r>
    <x v="4"/>
    <s v="HSR Layout"/>
    <x v="1"/>
    <n v="2"/>
    <n v="4952"/>
    <n v="6145"/>
    <n v="1"/>
    <n v="1992"/>
    <n v="1994"/>
    <s v="Builder Floor"/>
    <n v="2"/>
    <s v="South"/>
    <s v="No"/>
    <s v="Semi-Furnished"/>
    <n v="6"/>
    <n v="1"/>
    <s v="HSR Layout Villa"/>
    <n v="0"/>
    <s v="Yes"/>
    <n v="44948000"/>
    <x v="0"/>
    <s v="BRK-03"/>
    <x v="1"/>
    <s v="Tier A"/>
    <n v="0.02"/>
    <n v="898960"/>
    <n v="1348440"/>
    <n v="449480"/>
  </r>
  <r>
    <x v="1"/>
    <s v="Rohini"/>
    <x v="0"/>
    <n v="3"/>
    <n v="958"/>
    <n v="4032"/>
    <n v="1"/>
    <n v="1976"/>
    <n v="2002"/>
    <s v="Builder Floor"/>
    <n v="1"/>
    <s v="South"/>
    <s v="No"/>
    <s v="Furnished"/>
    <n v="7"/>
    <n v="1"/>
    <s v="Rohini Enclave"/>
    <n v="0"/>
    <s v="No"/>
    <n v="9915000"/>
    <x v="2"/>
    <s v="BRK-05"/>
    <x v="4"/>
    <s v="Tier B"/>
    <n v="1.4999999999999999E-2"/>
    <n v="0"/>
    <n v="0"/>
    <n v="0"/>
  </r>
  <r>
    <x v="2"/>
    <s v="Baner"/>
    <x v="4"/>
    <n v="4"/>
    <n v="3382"/>
    <n v="7228"/>
    <n v="3"/>
    <n v="1981"/>
    <n v="1986"/>
    <s v="Independent House"/>
    <n v="1"/>
    <s v="East"/>
    <s v="Yes"/>
    <s v="Semi-Furnished"/>
    <n v="5"/>
    <n v="2"/>
    <s v="Baner Villa"/>
    <n v="3"/>
    <s v="Yes"/>
    <n v="29147000"/>
    <x v="0"/>
    <s v="BRK-01"/>
    <x v="2"/>
    <s v="Tier A"/>
    <n v="0.02"/>
    <n v="582940"/>
    <n v="874410"/>
    <n v="291470"/>
  </r>
  <r>
    <x v="4"/>
    <s v="MG Road"/>
    <x v="1"/>
    <n v="1"/>
    <n v="2116"/>
    <n v="9420"/>
    <n v="3"/>
    <n v="1972"/>
    <n v="2020"/>
    <s v="Apartment"/>
    <n v="2"/>
    <s v="East"/>
    <s v="No"/>
    <s v="Unfurnished"/>
    <n v="0"/>
    <n v="4"/>
    <s v="MG Road Villa"/>
    <n v="0"/>
    <s v="Yes"/>
    <n v="19434000"/>
    <x v="0"/>
    <s v="BRK-04"/>
    <x v="3"/>
    <s v="Tier C"/>
    <n v="0.01"/>
    <n v="194340"/>
    <n v="583020"/>
    <n v="388680"/>
  </r>
  <r>
    <x v="1"/>
    <s v="Vasant Kunj"/>
    <x v="4"/>
    <n v="1"/>
    <n v="2030"/>
    <n v="4553"/>
    <n v="2"/>
    <n v="1961"/>
    <n v="2003"/>
    <s v="Independent House"/>
    <n v="1"/>
    <s v="West"/>
    <s v="Yes"/>
    <s v="Semi-Furnished"/>
    <n v="4"/>
    <n v="3"/>
    <s v="Vasant Kunj Villa"/>
    <n v="0"/>
    <s v="No"/>
    <n v="20495000"/>
    <x v="0"/>
    <s v="BRK-01"/>
    <x v="2"/>
    <s v="Tier A"/>
    <n v="0.02"/>
    <n v="409900"/>
    <n v="614850"/>
    <n v="204950"/>
  </r>
  <r>
    <x v="3"/>
    <s v="Velachery"/>
    <x v="4"/>
    <n v="4"/>
    <n v="4538"/>
    <n v="5459"/>
    <n v="2"/>
    <n v="1960"/>
    <n v="2003"/>
    <s v="Builder Floor"/>
    <n v="3"/>
    <s v="North"/>
    <s v="Yes"/>
    <s v="Semi-Furnished"/>
    <n v="2"/>
    <n v="4"/>
    <s v="Velachery Villa"/>
    <n v="3"/>
    <s v="Yes"/>
    <n v="36684000"/>
    <x v="2"/>
    <s v="BRK-03"/>
    <x v="1"/>
    <s v="Tier A"/>
    <n v="0.02"/>
    <n v="0"/>
    <n v="0"/>
    <n v="0"/>
  </r>
  <r>
    <x v="3"/>
    <s v="Anna Nagar"/>
    <x v="3"/>
    <n v="1"/>
    <n v="2781"/>
    <n v="6312"/>
    <n v="2"/>
    <n v="1964"/>
    <n v="2001"/>
    <s v="Independent House"/>
    <n v="2"/>
    <s v="West"/>
    <s v="No"/>
    <s v="Unfurnished"/>
    <n v="5"/>
    <n v="0"/>
    <s v="Anna Nagar Residency"/>
    <n v="3"/>
    <s v="No"/>
    <n v="22563000"/>
    <x v="0"/>
    <s v="BRK-05"/>
    <x v="4"/>
    <s v="Tier B"/>
    <n v="1.4999999999999999E-2"/>
    <n v="338445"/>
    <n v="676890"/>
    <n v="338445"/>
  </r>
  <r>
    <x v="0"/>
    <s v="Bandra"/>
    <x v="2"/>
    <n v="3"/>
    <n v="2412"/>
    <n v="4080"/>
    <n v="3"/>
    <n v="2008"/>
    <n v="2020"/>
    <s v="Builder Floor"/>
    <n v="3"/>
    <s v="East"/>
    <s v="Yes"/>
    <s v="Furnished"/>
    <n v="7"/>
    <n v="3"/>
    <s v="Bandra Enclave"/>
    <n v="0"/>
    <s v="No"/>
    <n v="29244000"/>
    <x v="1"/>
    <s v="BRK-02"/>
    <x v="0"/>
    <s v="Tier B"/>
    <n v="1.4999999999999999E-2"/>
    <n v="0"/>
    <n v="0"/>
    <n v="0"/>
  </r>
  <r>
    <x v="4"/>
    <s v="MG Road"/>
    <x v="0"/>
    <n v="3"/>
    <n v="492"/>
    <n v="9434"/>
    <n v="2"/>
    <n v="1972"/>
    <n v="1989"/>
    <s v="Villa"/>
    <n v="3"/>
    <s v="North"/>
    <s v="No"/>
    <s v="Semi-Furnished"/>
    <n v="4"/>
    <n v="5"/>
    <s v="MG Road Heights"/>
    <n v="0"/>
    <s v="No"/>
    <n v="4708000"/>
    <x v="2"/>
    <s v="BRK-02"/>
    <x v="0"/>
    <s v="Tier B"/>
    <n v="1.4999999999999999E-2"/>
    <n v="0"/>
    <n v="0"/>
    <n v="0"/>
  </r>
  <r>
    <x v="0"/>
    <s v="Powai"/>
    <x v="3"/>
    <n v="2"/>
    <n v="1735"/>
    <n v="3162"/>
    <n v="3"/>
    <n v="1962"/>
    <n v="1977"/>
    <s v="Apartment"/>
    <n v="3"/>
    <s v="West"/>
    <s v="No"/>
    <s v="Semi-Furnished"/>
    <n v="7"/>
    <n v="5"/>
    <s v="Powai Residency"/>
    <n v="3"/>
    <s v="Yes"/>
    <n v="21235000"/>
    <x v="2"/>
    <s v="BRK-03"/>
    <x v="1"/>
    <s v="Tier A"/>
    <n v="0.02"/>
    <n v="0"/>
    <n v="0"/>
    <n v="0"/>
  </r>
  <r>
    <x v="0"/>
    <s v="Juhu"/>
    <x v="0"/>
    <n v="1"/>
    <n v="1502"/>
    <n v="3208"/>
    <n v="2"/>
    <n v="2015"/>
    <n v="2025"/>
    <s v="Builder Floor"/>
    <n v="2"/>
    <s v="East"/>
    <s v="No"/>
    <s v="Semi-Furnished"/>
    <n v="0"/>
    <n v="1"/>
    <s v="Juhu Enclave"/>
    <n v="0"/>
    <s v="No"/>
    <n v="18244000"/>
    <x v="1"/>
    <s v="BRK-01"/>
    <x v="2"/>
    <s v="Tier A"/>
    <n v="0.02"/>
    <n v="0"/>
    <n v="0"/>
    <n v="0"/>
  </r>
  <r>
    <x v="0"/>
    <s v="Bandra"/>
    <x v="1"/>
    <n v="3"/>
    <n v="2783"/>
    <n v="7875"/>
    <n v="3"/>
    <n v="2019"/>
    <n v="2021"/>
    <s v="Builder Floor"/>
    <n v="2"/>
    <s v="West"/>
    <s v="Yes"/>
    <s v="Semi-Furnished"/>
    <n v="4"/>
    <n v="5"/>
    <s v="Bandra Residency"/>
    <n v="2"/>
    <s v="Yes"/>
    <n v="33901000"/>
    <x v="2"/>
    <s v="BRK-02"/>
    <x v="0"/>
    <s v="Tier B"/>
    <n v="1.4999999999999999E-2"/>
    <n v="0"/>
    <n v="0"/>
    <n v="0"/>
  </r>
  <r>
    <x v="2"/>
    <s v="Baner"/>
    <x v="4"/>
    <n v="3"/>
    <n v="2533"/>
    <n v="2624"/>
    <n v="2"/>
    <n v="1976"/>
    <n v="1976"/>
    <s v="Independent House"/>
    <n v="1"/>
    <s v="East"/>
    <s v="No"/>
    <s v="Semi-Furnished"/>
    <n v="9"/>
    <n v="5"/>
    <s v="Baner Enclave"/>
    <n v="0"/>
    <s v="Yes"/>
    <n v="21810500"/>
    <x v="0"/>
    <s v="BRK-04"/>
    <x v="3"/>
    <s v="Tier C"/>
    <n v="0.01"/>
    <n v="218105"/>
    <n v="654315"/>
    <n v="436210"/>
  </r>
  <r>
    <x v="1"/>
    <s v="Dwarka"/>
    <x v="0"/>
    <n v="2"/>
    <n v="822"/>
    <n v="5587"/>
    <n v="3"/>
    <n v="2008"/>
    <n v="2025"/>
    <s v="Independent House"/>
    <n v="2"/>
    <s v="West"/>
    <s v="No"/>
    <s v="Unfurnished"/>
    <n v="0"/>
    <n v="2"/>
    <s v="Dwarka Enclave"/>
    <n v="2"/>
    <s v="No"/>
    <n v="8520000"/>
    <x v="0"/>
    <s v="BRK-01"/>
    <x v="2"/>
    <s v="Tier A"/>
    <n v="0.02"/>
    <n v="170400"/>
    <n v="255600"/>
    <n v="85200"/>
  </r>
  <r>
    <x v="3"/>
    <s v="Velachery"/>
    <x v="3"/>
    <n v="4"/>
    <n v="2025"/>
    <n v="6435"/>
    <n v="3"/>
    <n v="1971"/>
    <n v="2013"/>
    <s v="Independent House"/>
    <n v="2"/>
    <s v="West"/>
    <s v="Yes"/>
    <s v="Unfurnished"/>
    <n v="9"/>
    <n v="0"/>
    <s v="Velachery Villa"/>
    <n v="2"/>
    <s v="Yes"/>
    <n v="16685000"/>
    <x v="0"/>
    <s v="BRK-04"/>
    <x v="3"/>
    <s v="Tier C"/>
    <n v="0.01"/>
    <n v="166850"/>
    <n v="500550"/>
    <n v="333700"/>
  </r>
  <r>
    <x v="1"/>
    <s v="Lajpat Nagar"/>
    <x v="0"/>
    <n v="3"/>
    <n v="2690"/>
    <n v="8891"/>
    <n v="2"/>
    <n v="2007"/>
    <n v="2020"/>
    <s v="Builder Floor"/>
    <n v="1"/>
    <s v="South"/>
    <s v="No"/>
    <s v="Unfurnished"/>
    <n v="6"/>
    <n v="3"/>
    <s v="Lajpat Nagar Heights"/>
    <n v="2"/>
    <s v="No"/>
    <n v="27210000"/>
    <x v="2"/>
    <s v="BRK-02"/>
    <x v="0"/>
    <s v="Tier B"/>
    <n v="1.4999999999999999E-2"/>
    <n v="0"/>
    <n v="0"/>
    <n v="0"/>
  </r>
  <r>
    <x v="1"/>
    <s v="Vasant Kunj"/>
    <x v="1"/>
    <n v="2"/>
    <n v="3400"/>
    <n v="8423"/>
    <n v="1"/>
    <n v="1962"/>
    <n v="2011"/>
    <s v="Apartment"/>
    <n v="1"/>
    <s v="North"/>
    <s v="No"/>
    <s v="Furnished"/>
    <n v="2"/>
    <n v="5"/>
    <s v="Vasant Kunj Villa"/>
    <n v="3"/>
    <s v="No"/>
    <n v="34450000"/>
    <x v="0"/>
    <s v="BRK-03"/>
    <x v="1"/>
    <s v="Tier A"/>
    <n v="0.02"/>
    <n v="689000"/>
    <n v="1033500"/>
    <n v="344500"/>
  </r>
  <r>
    <x v="1"/>
    <s v="Vasant Kunj"/>
    <x v="1"/>
    <n v="3"/>
    <n v="2916"/>
    <n v="9277"/>
    <n v="2"/>
    <n v="1963"/>
    <n v="2002"/>
    <s v="Independent House"/>
    <n v="1"/>
    <s v="West"/>
    <s v="No"/>
    <s v="Semi-Furnished"/>
    <n v="4"/>
    <n v="3"/>
    <s v="Vasant Kunj Residency"/>
    <n v="1"/>
    <s v="No"/>
    <n v="29555000"/>
    <x v="0"/>
    <s v="BRK-02"/>
    <x v="0"/>
    <s v="Tier B"/>
    <n v="1.4999999999999999E-2"/>
    <n v="443325"/>
    <n v="886650"/>
    <n v="443325"/>
  </r>
  <r>
    <x v="4"/>
    <s v="Whitefield"/>
    <x v="1"/>
    <n v="3"/>
    <n v="4101"/>
    <n v="9526"/>
    <n v="1"/>
    <n v="1962"/>
    <n v="2010"/>
    <s v="Independent House"/>
    <n v="3"/>
    <s v="West"/>
    <s v="Yes"/>
    <s v="Unfurnished"/>
    <n v="0"/>
    <n v="4"/>
    <s v="Whitefield Residency"/>
    <n v="1"/>
    <s v="Yes"/>
    <n v="37359000"/>
    <x v="2"/>
    <s v="BRK-04"/>
    <x v="3"/>
    <s v="Tier C"/>
    <n v="0.01"/>
    <n v="0"/>
    <n v="0"/>
    <n v="0"/>
  </r>
  <r>
    <x v="2"/>
    <s v="Aundh"/>
    <x v="3"/>
    <n v="1"/>
    <n v="2962"/>
    <n v="8007"/>
    <n v="1"/>
    <n v="1971"/>
    <n v="2006"/>
    <s v="Independent House"/>
    <n v="0"/>
    <s v="East"/>
    <s v="Yes"/>
    <s v="Unfurnished"/>
    <n v="9"/>
    <n v="5"/>
    <s v="Aundh Villa"/>
    <n v="1"/>
    <s v="Yes"/>
    <n v="25517000"/>
    <x v="0"/>
    <s v="BRK-04"/>
    <x v="3"/>
    <s v="Tier C"/>
    <n v="0.01"/>
    <n v="255170"/>
    <n v="765510"/>
    <n v="510340"/>
  </r>
  <r>
    <x v="3"/>
    <s v="Adyar"/>
    <x v="4"/>
    <n v="2"/>
    <n v="4168"/>
    <n v="5854"/>
    <n v="2"/>
    <n v="1966"/>
    <n v="1983"/>
    <s v="Builder Floor"/>
    <n v="0"/>
    <s v="South"/>
    <s v="No"/>
    <s v="Semi-Furnished"/>
    <n v="3"/>
    <n v="5"/>
    <s v="Adyar Villa"/>
    <n v="1"/>
    <s v="Yes"/>
    <n v="33609000"/>
    <x v="2"/>
    <s v="BRK-01"/>
    <x v="2"/>
    <s v="Tier A"/>
    <n v="0.02"/>
    <n v="0"/>
    <n v="0"/>
    <n v="0"/>
  </r>
  <r>
    <x v="3"/>
    <s v="Perambur"/>
    <x v="2"/>
    <n v="3"/>
    <n v="1604"/>
    <n v="5665"/>
    <n v="2"/>
    <n v="1958"/>
    <n v="0"/>
    <s v="Builder Floor"/>
    <n v="3"/>
    <s v="West"/>
    <s v="No"/>
    <s v="Furnished"/>
    <n v="6"/>
    <n v="2"/>
    <s v="Perambur Heights"/>
    <n v="0"/>
    <s v="No"/>
    <n v="13087000"/>
    <x v="0"/>
    <s v="BRK-04"/>
    <x v="3"/>
    <s v="Tier C"/>
    <n v="0.01"/>
    <n v="130870"/>
    <n v="392610"/>
    <n v="261740"/>
  </r>
  <r>
    <x v="3"/>
    <s v="T Nagar"/>
    <x v="0"/>
    <n v="4"/>
    <n v="626"/>
    <n v="6629"/>
    <n v="2"/>
    <n v="2015"/>
    <n v="2024"/>
    <s v="Independent House"/>
    <n v="3"/>
    <s v="North"/>
    <s v="Yes"/>
    <s v="Furnished"/>
    <n v="4"/>
    <n v="4"/>
    <s v="T Nagar Heights"/>
    <n v="1"/>
    <s v="No"/>
    <n v="5433000"/>
    <x v="0"/>
    <s v="BRK-02"/>
    <x v="0"/>
    <s v="Tier B"/>
    <n v="1.4999999999999999E-2"/>
    <n v="81495"/>
    <n v="162990"/>
    <n v="81495"/>
  </r>
  <r>
    <x v="3"/>
    <s v="Adyar"/>
    <x v="4"/>
    <n v="2"/>
    <n v="4253"/>
    <n v="6024"/>
    <n v="2"/>
    <n v="1962"/>
    <n v="2003"/>
    <s v="Builder Floor"/>
    <n v="3"/>
    <s v="West"/>
    <s v="Yes"/>
    <s v="Semi-Furnished"/>
    <n v="5"/>
    <n v="2"/>
    <s v="Adyar Villa"/>
    <n v="2"/>
    <s v="No"/>
    <n v="34279000"/>
    <x v="2"/>
    <s v="BRK-04"/>
    <x v="3"/>
    <s v="Tier C"/>
    <n v="0.01"/>
    <n v="0"/>
    <n v="0"/>
    <n v="0"/>
  </r>
  <r>
    <x v="4"/>
    <s v="HSR Layout"/>
    <x v="0"/>
    <n v="1"/>
    <n v="1447"/>
    <n v="3922"/>
    <n v="3"/>
    <n v="1986"/>
    <n v="1986"/>
    <s v="Apartment"/>
    <n v="2"/>
    <s v="East"/>
    <s v="No"/>
    <s v="Semi-Furnished"/>
    <n v="2"/>
    <n v="4"/>
    <s v="HSR Layout Enclave"/>
    <n v="3"/>
    <s v="No"/>
    <n v="13308000"/>
    <x v="1"/>
    <s v="BRK-01"/>
    <x v="2"/>
    <s v="Tier A"/>
    <n v="0.02"/>
    <n v="0"/>
    <n v="0"/>
    <n v="0"/>
  </r>
  <r>
    <x v="4"/>
    <s v="Koramangala"/>
    <x v="4"/>
    <n v="2"/>
    <n v="2694"/>
    <n v="9782"/>
    <n v="2"/>
    <n v="1982"/>
    <n v="2021"/>
    <s v="Apartment"/>
    <n v="0"/>
    <s v="South"/>
    <s v="No"/>
    <s v="Furnished"/>
    <n v="9"/>
    <n v="0"/>
    <s v="Koramangala Enclave"/>
    <n v="2"/>
    <s v="No"/>
    <n v="24551000"/>
    <x v="1"/>
    <s v="BRK-04"/>
    <x v="3"/>
    <s v="Tier C"/>
    <n v="0.01"/>
    <n v="0"/>
    <n v="0"/>
    <n v="0"/>
  </r>
  <r>
    <x v="3"/>
    <s v="Perambur"/>
    <x v="4"/>
    <n v="3"/>
    <n v="1576"/>
    <n v="9835"/>
    <n v="2"/>
    <n v="2016"/>
    <n v="2020"/>
    <s v="Independent House"/>
    <n v="3"/>
    <s v="South"/>
    <s v="No"/>
    <s v="Furnished"/>
    <n v="7"/>
    <n v="3"/>
    <s v="Perambur Heights"/>
    <n v="0"/>
    <s v="No"/>
    <n v="12913000"/>
    <x v="1"/>
    <s v="BRK-02"/>
    <x v="0"/>
    <s v="Tier B"/>
    <n v="1.4999999999999999E-2"/>
    <n v="0"/>
    <n v="0"/>
    <n v="0"/>
  </r>
  <r>
    <x v="1"/>
    <s v="Saket"/>
    <x v="4"/>
    <n v="2"/>
    <n v="1529"/>
    <n v="6138"/>
    <n v="3"/>
    <n v="1965"/>
    <n v="2005"/>
    <s v="Apartment"/>
    <n v="2"/>
    <s v="West"/>
    <s v="No"/>
    <s v="Unfurnished"/>
    <n v="10"/>
    <n v="0"/>
    <s v="Saket Residency"/>
    <n v="1"/>
    <s v="No"/>
    <n v="15525000"/>
    <x v="2"/>
    <s v="BRK-03"/>
    <x v="1"/>
    <s v="Tier A"/>
    <n v="0.02"/>
    <n v="0"/>
    <n v="0"/>
    <n v="0"/>
  </r>
  <r>
    <x v="0"/>
    <s v="Borivali"/>
    <x v="2"/>
    <n v="3"/>
    <n v="4456"/>
    <n v="5056"/>
    <n v="2"/>
    <n v="2020"/>
    <n v="2023"/>
    <s v="Builder Floor"/>
    <n v="0"/>
    <s v="West"/>
    <s v="Yes"/>
    <s v="Furnished"/>
    <n v="4"/>
    <n v="5"/>
    <s v="Borivali Residency"/>
    <n v="1"/>
    <s v="Yes"/>
    <n v="53817000"/>
    <x v="0"/>
    <s v="BRK-04"/>
    <x v="3"/>
    <s v="Tier C"/>
    <n v="0.01"/>
    <n v="538170"/>
    <n v="1614510"/>
    <n v="1076340"/>
  </r>
  <r>
    <x v="3"/>
    <s v="Velachery"/>
    <x v="2"/>
    <n v="3"/>
    <n v="4821"/>
    <n v="7144"/>
    <n v="1"/>
    <n v="1974"/>
    <n v="2019"/>
    <s v="Builder Floor"/>
    <n v="1"/>
    <s v="East"/>
    <s v="Yes"/>
    <s v="Furnished"/>
    <n v="3"/>
    <n v="1"/>
    <s v="Velachery Villa"/>
    <n v="3"/>
    <s v="Yes"/>
    <n v="38923000"/>
    <x v="2"/>
    <s v="BRK-01"/>
    <x v="2"/>
    <s v="Tier A"/>
    <n v="0.02"/>
    <n v="0"/>
    <n v="0"/>
    <n v="0"/>
  </r>
  <r>
    <x v="2"/>
    <s v="Kothrud"/>
    <x v="0"/>
    <n v="1"/>
    <n v="1909"/>
    <n v="5877"/>
    <n v="1"/>
    <n v="2006"/>
    <n v="2007"/>
    <s v="Independent House"/>
    <n v="1"/>
    <s v="North"/>
    <s v="Yes"/>
    <s v="Unfurnished"/>
    <n v="7"/>
    <n v="2"/>
    <s v="Kothrud Heights"/>
    <n v="3"/>
    <s v="Yes"/>
    <n v="16546500"/>
    <x v="2"/>
    <s v="BRK-02"/>
    <x v="0"/>
    <s v="Tier B"/>
    <n v="1.4999999999999999E-2"/>
    <n v="0"/>
    <n v="0"/>
    <n v="0"/>
  </r>
  <r>
    <x v="3"/>
    <s v="Velachery"/>
    <x v="1"/>
    <n v="4"/>
    <n v="304"/>
    <n v="4478"/>
    <n v="2"/>
    <n v="1984"/>
    <n v="2014"/>
    <s v="Apartment"/>
    <n v="2"/>
    <s v="West"/>
    <s v="No"/>
    <s v="Unfurnished"/>
    <n v="4"/>
    <n v="2"/>
    <s v="Velachery Residency"/>
    <n v="2"/>
    <s v="No"/>
    <n v="2872000"/>
    <x v="1"/>
    <s v="BRK-05"/>
    <x v="4"/>
    <s v="Tier B"/>
    <n v="1.4999999999999999E-2"/>
    <n v="0"/>
    <n v="0"/>
    <n v="0"/>
  </r>
  <r>
    <x v="2"/>
    <s v="Aundh"/>
    <x v="0"/>
    <n v="4"/>
    <n v="1213"/>
    <n v="4247"/>
    <n v="2"/>
    <n v="1950"/>
    <n v="1989"/>
    <s v="Independent House"/>
    <n v="3"/>
    <s v="South"/>
    <s v="Yes"/>
    <s v="Furnished"/>
    <n v="6"/>
    <n v="5"/>
    <s v="Aundh Enclave"/>
    <n v="0"/>
    <s v="No"/>
    <n v="10720500"/>
    <x v="0"/>
    <s v="BRK-05"/>
    <x v="4"/>
    <s v="Tier B"/>
    <n v="1.4999999999999999E-2"/>
    <n v="160807.5"/>
    <n v="321615"/>
    <n v="160807.5"/>
  </r>
  <r>
    <x v="4"/>
    <s v="HSR Layout"/>
    <x v="4"/>
    <n v="2"/>
    <n v="1190"/>
    <n v="5037"/>
    <n v="1"/>
    <n v="1989"/>
    <n v="2020"/>
    <s v="Villa"/>
    <n v="2"/>
    <s v="West"/>
    <s v="Yes"/>
    <s v="Unfurnished"/>
    <n v="4"/>
    <n v="4"/>
    <s v="HSR Layout Residency"/>
    <n v="1"/>
    <s v="No"/>
    <n v="10930000"/>
    <x v="0"/>
    <s v="BRK-01"/>
    <x v="2"/>
    <s v="Tier A"/>
    <n v="0.02"/>
    <n v="218600"/>
    <n v="327900"/>
    <n v="109300"/>
  </r>
  <r>
    <x v="1"/>
    <s v="Rohini"/>
    <x v="3"/>
    <n v="2"/>
    <n v="1593"/>
    <n v="4217"/>
    <n v="2"/>
    <n v="2016"/>
    <n v="2022"/>
    <s v="Independent House"/>
    <n v="2"/>
    <s v="South"/>
    <s v="No"/>
    <s v="Semi-Furnished"/>
    <n v="4"/>
    <n v="2"/>
    <s v="Rohini Residency"/>
    <n v="2"/>
    <s v="No"/>
    <n v="16260000"/>
    <x v="2"/>
    <s v="BRK-01"/>
    <x v="2"/>
    <s v="Tier A"/>
    <n v="0.02"/>
    <n v="0"/>
    <n v="0"/>
    <n v="0"/>
  </r>
  <r>
    <x v="4"/>
    <s v="Indiranagar"/>
    <x v="3"/>
    <n v="3"/>
    <n v="3784"/>
    <n v="8448"/>
    <n v="2"/>
    <n v="2003"/>
    <n v="0"/>
    <s v="Independent House"/>
    <n v="0"/>
    <s v="West"/>
    <s v="No"/>
    <s v="Unfurnished"/>
    <n v="2"/>
    <n v="3"/>
    <s v="Indiranagar Enclave"/>
    <n v="0"/>
    <s v="Yes"/>
    <n v="34436000"/>
    <x v="2"/>
    <s v="BRK-02"/>
    <x v="0"/>
    <s v="Tier B"/>
    <n v="1.4999999999999999E-2"/>
    <n v="0"/>
    <n v="0"/>
    <n v="0"/>
  </r>
  <r>
    <x v="1"/>
    <s v="Saket"/>
    <x v="0"/>
    <n v="3"/>
    <n v="493"/>
    <n v="5816"/>
    <n v="2"/>
    <n v="1998"/>
    <n v="2007"/>
    <s v="Apartment"/>
    <n v="1"/>
    <s v="West"/>
    <s v="No"/>
    <s v="Furnished"/>
    <n v="1"/>
    <n v="1"/>
    <s v="Saket Residency"/>
    <n v="2"/>
    <s v="No"/>
    <n v="5315000"/>
    <x v="2"/>
    <s v="BRK-02"/>
    <x v="0"/>
    <s v="Tier B"/>
    <n v="1.4999999999999999E-2"/>
    <n v="0"/>
    <n v="0"/>
    <n v="0"/>
  </r>
  <r>
    <x v="2"/>
    <s v="Baner"/>
    <x v="2"/>
    <n v="4"/>
    <n v="4289"/>
    <n v="6385"/>
    <n v="2"/>
    <n v="2025"/>
    <n v="2025"/>
    <s v="Builder Floor"/>
    <n v="0"/>
    <s v="North"/>
    <s v="No"/>
    <s v="Semi-Furnished"/>
    <n v="8"/>
    <n v="2"/>
    <s v="Baner Villa"/>
    <n v="2"/>
    <s v="Yes"/>
    <n v="36746500"/>
    <x v="2"/>
    <s v="BRK-02"/>
    <x v="0"/>
    <s v="Tier B"/>
    <n v="1.4999999999999999E-2"/>
    <n v="0"/>
    <n v="0"/>
    <n v="0"/>
  </r>
  <r>
    <x v="3"/>
    <s v="Velachery"/>
    <x v="2"/>
    <n v="3"/>
    <n v="3689"/>
    <n v="4982"/>
    <n v="1"/>
    <n v="2025"/>
    <n v="2025"/>
    <s v="Apartment"/>
    <n v="0"/>
    <s v="West"/>
    <s v="Yes"/>
    <s v="Semi-Furnished"/>
    <n v="9"/>
    <n v="4"/>
    <s v="Velachery Enclave"/>
    <n v="2"/>
    <s v="Yes"/>
    <n v="29777000"/>
    <x v="2"/>
    <s v="BRK-05"/>
    <x v="4"/>
    <s v="Tier B"/>
    <n v="1.4999999999999999E-2"/>
    <n v="0"/>
    <n v="0"/>
    <n v="0"/>
  </r>
  <r>
    <x v="1"/>
    <s v="Dwarka"/>
    <x v="0"/>
    <n v="3"/>
    <n v="3952"/>
    <n v="5761"/>
    <n v="1"/>
    <n v="1991"/>
    <n v="2019"/>
    <s v="Apartment"/>
    <n v="3"/>
    <s v="East"/>
    <s v="No"/>
    <s v="Furnished"/>
    <n v="10"/>
    <n v="5"/>
    <s v="Dwarka Enclave"/>
    <n v="2"/>
    <s v="Yes"/>
    <n v="39935000"/>
    <x v="0"/>
    <s v="BRK-03"/>
    <x v="1"/>
    <s v="Tier A"/>
    <n v="0.02"/>
    <n v="798700"/>
    <n v="1198050"/>
    <n v="399350"/>
  </r>
  <r>
    <x v="1"/>
    <s v="Dwarka"/>
    <x v="3"/>
    <n v="4"/>
    <n v="3546"/>
    <n v="7580"/>
    <n v="1"/>
    <n v="2017"/>
    <n v="0"/>
    <s v="Villa"/>
    <n v="0"/>
    <s v="West"/>
    <s v="Yes"/>
    <s v="Unfurnished"/>
    <n v="5"/>
    <n v="4"/>
    <s v="Dwarka Villa"/>
    <n v="2"/>
    <s v="No"/>
    <n v="35855000"/>
    <x v="1"/>
    <s v="BRK-03"/>
    <x v="1"/>
    <s v="Tier A"/>
    <n v="0.02"/>
    <n v="0"/>
    <n v="0"/>
    <n v="0"/>
  </r>
  <r>
    <x v="0"/>
    <s v="Andheri"/>
    <x v="1"/>
    <n v="1"/>
    <n v="4873"/>
    <n v="5843"/>
    <n v="3"/>
    <n v="1970"/>
    <n v="2020"/>
    <s v="Builder Floor"/>
    <n v="3"/>
    <s v="South"/>
    <s v="Yes"/>
    <s v="Unfurnished"/>
    <n v="6"/>
    <n v="2"/>
    <s v="Andheri Villa"/>
    <n v="3"/>
    <s v="Yes"/>
    <n v="58936000"/>
    <x v="1"/>
    <s v="BRK-05"/>
    <x v="4"/>
    <s v="Tier B"/>
    <n v="1.4999999999999999E-2"/>
    <n v="0"/>
    <n v="0"/>
    <n v="0"/>
  </r>
  <r>
    <x v="4"/>
    <s v="Whitefield"/>
    <x v="4"/>
    <n v="3"/>
    <n v="4019"/>
    <n v="8392"/>
    <n v="3"/>
    <n v="2005"/>
    <n v="0"/>
    <s v="Independent House"/>
    <n v="2"/>
    <s v="North"/>
    <s v="No"/>
    <s v="Furnished"/>
    <n v="0"/>
    <n v="1"/>
    <s v="Whitefield Enclave"/>
    <n v="3"/>
    <s v="Yes"/>
    <n v="36591000"/>
    <x v="0"/>
    <s v="BRK-02"/>
    <x v="0"/>
    <s v="Tier B"/>
    <n v="1.4999999999999999E-2"/>
    <n v="548865"/>
    <n v="1097730"/>
    <n v="548865"/>
  </r>
  <r>
    <x v="4"/>
    <s v="Koramangala"/>
    <x v="1"/>
    <n v="3"/>
    <n v="4661"/>
    <n v="8460"/>
    <n v="3"/>
    <n v="1975"/>
    <n v="2023"/>
    <s v="Villa"/>
    <n v="1"/>
    <s v="South"/>
    <s v="Yes"/>
    <s v="Furnished"/>
    <n v="4"/>
    <n v="1"/>
    <s v="Koramangala Heights"/>
    <n v="0"/>
    <s v="Yes"/>
    <n v="42499000"/>
    <x v="0"/>
    <s v="BRK-04"/>
    <x v="3"/>
    <s v="Tier C"/>
    <n v="0.01"/>
    <n v="424990"/>
    <n v="1274970"/>
    <n v="849980"/>
  </r>
  <r>
    <x v="1"/>
    <s v="Lajpat Nagar"/>
    <x v="0"/>
    <n v="1"/>
    <n v="2982"/>
    <n v="5615"/>
    <n v="1"/>
    <n v="1976"/>
    <n v="1987"/>
    <s v="Villa"/>
    <n v="1"/>
    <s v="West"/>
    <s v="No"/>
    <s v="Furnished"/>
    <n v="3"/>
    <n v="2"/>
    <s v="Lajpat Nagar Heights"/>
    <n v="1"/>
    <s v="No"/>
    <n v="30110000"/>
    <x v="0"/>
    <s v="BRK-03"/>
    <x v="1"/>
    <s v="Tier A"/>
    <n v="0.02"/>
    <n v="602200"/>
    <n v="903300"/>
    <n v="301100"/>
  </r>
  <r>
    <x v="0"/>
    <s v="Borivali"/>
    <x v="2"/>
    <n v="4"/>
    <n v="2008"/>
    <n v="5174"/>
    <n v="1"/>
    <n v="2007"/>
    <n v="2020"/>
    <s v="Independent House"/>
    <n v="1"/>
    <s v="South"/>
    <s v="No"/>
    <s v="Unfurnished"/>
    <n v="1"/>
    <n v="0"/>
    <s v="Borivali Residency"/>
    <n v="0"/>
    <s v="Yes"/>
    <n v="24336000"/>
    <x v="0"/>
    <s v="BRK-01"/>
    <x v="2"/>
    <s v="Tier A"/>
    <n v="0.02"/>
    <n v="486720"/>
    <n v="730080"/>
    <n v="243360"/>
  </r>
  <r>
    <x v="1"/>
    <s v="Dwarka"/>
    <x v="3"/>
    <n v="3"/>
    <n v="2895"/>
    <n v="6345"/>
    <n v="1"/>
    <n v="1976"/>
    <n v="1980"/>
    <s v="Villa"/>
    <n v="3"/>
    <s v="East"/>
    <s v="Yes"/>
    <s v="Semi-Furnished"/>
    <n v="0"/>
    <n v="0"/>
    <s v="Dwarka Villa"/>
    <n v="3"/>
    <s v="No"/>
    <n v="29330000"/>
    <x v="2"/>
    <s v="BRK-03"/>
    <x v="1"/>
    <s v="Tier A"/>
    <n v="0.02"/>
    <n v="0"/>
    <n v="0"/>
    <n v="0"/>
  </r>
  <r>
    <x v="0"/>
    <s v="Juhu"/>
    <x v="0"/>
    <n v="3"/>
    <n v="834"/>
    <n v="7997"/>
    <n v="3"/>
    <n v="1988"/>
    <n v="2001"/>
    <s v="Builder Floor"/>
    <n v="3"/>
    <s v="West"/>
    <s v="Yes"/>
    <s v="Semi-Furnished"/>
    <n v="10"/>
    <n v="2"/>
    <s v="Juhu Heights"/>
    <n v="1"/>
    <s v="Yes"/>
    <n v="10398000"/>
    <x v="0"/>
    <s v="BRK-01"/>
    <x v="2"/>
    <s v="Tier A"/>
    <n v="0.02"/>
    <n v="207960"/>
    <n v="311940"/>
    <n v="103980"/>
  </r>
  <r>
    <x v="1"/>
    <s v="Lajpat Nagar"/>
    <x v="2"/>
    <n v="2"/>
    <n v="4548"/>
    <n v="5873"/>
    <n v="1"/>
    <n v="2010"/>
    <n v="2010"/>
    <s v="Builder Floor"/>
    <n v="1"/>
    <s v="East"/>
    <s v="No"/>
    <s v="Unfurnished"/>
    <n v="6"/>
    <n v="1"/>
    <s v="Lajpat Nagar Villa"/>
    <n v="1"/>
    <s v="Yes"/>
    <n v="45675000"/>
    <x v="2"/>
    <s v="BRK-05"/>
    <x v="4"/>
    <s v="Tier B"/>
    <n v="1.4999999999999999E-2"/>
    <n v="0"/>
    <n v="0"/>
    <n v="0"/>
  </r>
  <r>
    <x v="2"/>
    <s v="Hinjewadi"/>
    <x v="4"/>
    <n v="3"/>
    <n v="1196"/>
    <n v="3906"/>
    <n v="1"/>
    <n v="2013"/>
    <n v="2015"/>
    <s v="Villa"/>
    <n v="3"/>
    <s v="East"/>
    <s v="No"/>
    <s v="Unfurnished"/>
    <n v="5"/>
    <n v="0"/>
    <s v="Hinjewadi Heights"/>
    <n v="2"/>
    <s v="Yes"/>
    <n v="10456000"/>
    <x v="1"/>
    <s v="BRK-05"/>
    <x v="4"/>
    <s v="Tier B"/>
    <n v="1.4999999999999999E-2"/>
    <n v="0"/>
    <n v="0"/>
    <n v="0"/>
  </r>
  <r>
    <x v="3"/>
    <s v="T Nagar"/>
    <x v="4"/>
    <n v="4"/>
    <n v="680"/>
    <n v="9568"/>
    <n v="2"/>
    <n v="2017"/>
    <n v="2018"/>
    <s v="Apartment"/>
    <n v="0"/>
    <s v="North"/>
    <s v="No"/>
    <s v="Furnished"/>
    <n v="1"/>
    <n v="3"/>
    <s v="T Nagar Heights"/>
    <n v="0"/>
    <s v="No"/>
    <n v="5775000"/>
    <x v="0"/>
    <s v="BRK-04"/>
    <x v="3"/>
    <s v="Tier C"/>
    <n v="0.01"/>
    <n v="57750"/>
    <n v="173250"/>
    <n v="115500"/>
  </r>
  <r>
    <x v="3"/>
    <s v="Anna Nagar"/>
    <x v="1"/>
    <n v="4"/>
    <n v="1401"/>
    <n v="1462"/>
    <n v="2"/>
    <n v="2010"/>
    <n v="2024"/>
    <s v="Villa"/>
    <n v="1"/>
    <s v="East"/>
    <s v="No"/>
    <s v="Unfurnished"/>
    <n v="10"/>
    <n v="5"/>
    <s v="Anna Nagar Heights"/>
    <n v="3"/>
    <s v="No"/>
    <n v="11663000"/>
    <x v="0"/>
    <s v="BRK-02"/>
    <x v="0"/>
    <s v="Tier B"/>
    <n v="1.4999999999999999E-2"/>
    <n v="174945"/>
    <n v="349890"/>
    <n v="174945"/>
  </r>
  <r>
    <x v="2"/>
    <s v="Hinjewadi"/>
    <x v="4"/>
    <n v="2"/>
    <n v="4516"/>
    <n v="5629"/>
    <n v="1"/>
    <n v="1978"/>
    <n v="2019"/>
    <s v="Builder Floor"/>
    <n v="0"/>
    <s v="West"/>
    <s v="No"/>
    <s v="Unfurnished"/>
    <n v="1"/>
    <n v="1"/>
    <s v="Hinjewadi Residency"/>
    <n v="2"/>
    <s v="Yes"/>
    <n v="38646000"/>
    <x v="2"/>
    <s v="BRK-05"/>
    <x v="4"/>
    <s v="Tier B"/>
    <n v="1.4999999999999999E-2"/>
    <n v="0"/>
    <n v="0"/>
    <n v="0"/>
  </r>
  <r>
    <x v="4"/>
    <s v="Indiranagar"/>
    <x v="3"/>
    <n v="3"/>
    <n v="1378"/>
    <n v="6801"/>
    <n v="2"/>
    <n v="1997"/>
    <n v="2017"/>
    <s v="Apartment"/>
    <n v="0"/>
    <s v="West"/>
    <s v="Yes"/>
    <s v="Furnished"/>
    <n v="2"/>
    <n v="0"/>
    <s v="Indiranagar Residency"/>
    <n v="0"/>
    <s v="Yes"/>
    <n v="12882000"/>
    <x v="0"/>
    <s v="BRK-01"/>
    <x v="2"/>
    <s v="Tier A"/>
    <n v="0.02"/>
    <n v="257640"/>
    <n v="386460"/>
    <n v="128820"/>
  </r>
  <r>
    <x v="1"/>
    <s v="Vasant Kunj"/>
    <x v="0"/>
    <n v="1"/>
    <n v="4986"/>
    <n v="8974"/>
    <n v="2"/>
    <n v="1994"/>
    <n v="2005"/>
    <s v="Independent House"/>
    <n v="3"/>
    <s v="South"/>
    <s v="No"/>
    <s v="Unfurnished"/>
    <n v="4"/>
    <n v="4"/>
    <s v="Vasant Kunj Villa"/>
    <n v="0"/>
    <s v="No"/>
    <n v="50080000"/>
    <x v="1"/>
    <s v="BRK-02"/>
    <x v="0"/>
    <s v="Tier B"/>
    <n v="1.4999999999999999E-2"/>
    <n v="0"/>
    <n v="0"/>
    <n v="0"/>
  </r>
  <r>
    <x v="2"/>
    <s v="Viman Nagar"/>
    <x v="0"/>
    <n v="2"/>
    <n v="2391"/>
    <n v="5234"/>
    <n v="2"/>
    <n v="2020"/>
    <n v="2022"/>
    <s v="Builder Floor"/>
    <n v="2"/>
    <s v="East"/>
    <s v="Yes"/>
    <s v="Semi-Furnished"/>
    <n v="6"/>
    <n v="5"/>
    <s v="Viman Nagar Heights"/>
    <n v="1"/>
    <s v="Yes"/>
    <n v="20663500"/>
    <x v="0"/>
    <s v="BRK-02"/>
    <x v="0"/>
    <s v="Tier B"/>
    <n v="1.4999999999999999E-2"/>
    <n v="309952.5"/>
    <n v="619905"/>
    <n v="309952.5"/>
  </r>
  <r>
    <x v="1"/>
    <s v="Vasant Kunj"/>
    <x v="2"/>
    <n v="1"/>
    <n v="4809"/>
    <n v="7281"/>
    <n v="1"/>
    <n v="1994"/>
    <n v="2012"/>
    <s v="Independent House"/>
    <n v="3"/>
    <s v="North"/>
    <s v="Yes"/>
    <s v="Semi-Furnished"/>
    <n v="8"/>
    <n v="1"/>
    <s v="Vasant Kunj Residency"/>
    <n v="1"/>
    <s v="Yes"/>
    <n v="48280000"/>
    <x v="0"/>
    <s v="BRK-01"/>
    <x v="2"/>
    <s v="Tier A"/>
    <n v="0.02"/>
    <n v="965600"/>
    <n v="1448400"/>
    <n v="482800"/>
  </r>
  <r>
    <x v="1"/>
    <s v="Saket"/>
    <x v="1"/>
    <n v="2"/>
    <n v="4911"/>
    <n v="9307"/>
    <n v="3"/>
    <n v="1956"/>
    <n v="2023"/>
    <s v="Villa"/>
    <n v="1"/>
    <s v="South"/>
    <s v="No"/>
    <s v="Furnished"/>
    <n v="1"/>
    <n v="5"/>
    <s v="Saket Residency"/>
    <n v="1"/>
    <s v="Yes"/>
    <n v="49620000"/>
    <x v="0"/>
    <s v="BRK-01"/>
    <x v="2"/>
    <s v="Tier A"/>
    <n v="0.02"/>
    <n v="992400"/>
    <n v="1488600"/>
    <n v="496200"/>
  </r>
  <r>
    <x v="2"/>
    <s v="Aundh"/>
    <x v="3"/>
    <n v="2"/>
    <n v="2580"/>
    <n v="3030"/>
    <n v="2"/>
    <n v="1987"/>
    <n v="2010"/>
    <s v="Independent House"/>
    <n v="3"/>
    <s v="West"/>
    <s v="No"/>
    <s v="Furnished"/>
    <n v="4"/>
    <n v="0"/>
    <s v="Aundh Heights"/>
    <n v="2"/>
    <s v="No"/>
    <n v="22335000"/>
    <x v="0"/>
    <s v="BRK-05"/>
    <x v="4"/>
    <s v="Tier B"/>
    <n v="1.4999999999999999E-2"/>
    <n v="335025"/>
    <n v="670050"/>
    <n v="335025"/>
  </r>
  <r>
    <x v="1"/>
    <s v="Lajpat Nagar"/>
    <x v="1"/>
    <n v="1"/>
    <n v="785"/>
    <n v="7558"/>
    <n v="1"/>
    <n v="1968"/>
    <n v="1997"/>
    <s v="Apartment"/>
    <n v="1"/>
    <s v="West"/>
    <s v="Yes"/>
    <s v="Unfurnished"/>
    <n v="6"/>
    <n v="3"/>
    <s v="Lajpat Nagar Residency"/>
    <n v="1"/>
    <s v="No"/>
    <n v="8190000"/>
    <x v="2"/>
    <s v="BRK-03"/>
    <x v="1"/>
    <s v="Tier A"/>
    <n v="0.02"/>
    <n v="0"/>
    <n v="0"/>
    <n v="0"/>
  </r>
  <r>
    <x v="0"/>
    <s v="Bandra"/>
    <x v="0"/>
    <n v="2"/>
    <n v="3588"/>
    <n v="4649"/>
    <n v="3"/>
    <n v="2024"/>
    <n v="2025"/>
    <s v="Apartment"/>
    <n v="1"/>
    <s v="West"/>
    <s v="Yes"/>
    <s v="Unfurnished"/>
    <n v="4"/>
    <n v="2"/>
    <s v="Bandra Heights"/>
    <n v="0"/>
    <s v="No"/>
    <n v="43351000"/>
    <x v="1"/>
    <s v="BRK-05"/>
    <x v="4"/>
    <s v="Tier B"/>
    <n v="1.4999999999999999E-2"/>
    <n v="0"/>
    <n v="0"/>
    <n v="0"/>
  </r>
  <r>
    <x v="2"/>
    <s v="Kothrud"/>
    <x v="1"/>
    <n v="4"/>
    <n v="2202"/>
    <n v="7662"/>
    <n v="2"/>
    <n v="1988"/>
    <n v="1994"/>
    <s v="Independent House"/>
    <n v="1"/>
    <s v="North"/>
    <s v="No"/>
    <s v="Semi-Furnished"/>
    <n v="0"/>
    <n v="3"/>
    <s v="Kothrud Enclave"/>
    <n v="0"/>
    <s v="No"/>
    <n v="19127000"/>
    <x v="2"/>
    <s v="BRK-01"/>
    <x v="2"/>
    <s v="Tier A"/>
    <n v="0.02"/>
    <n v="0"/>
    <n v="0"/>
    <n v="0"/>
  </r>
  <r>
    <x v="3"/>
    <s v="Perambur"/>
    <x v="4"/>
    <n v="4"/>
    <n v="2684"/>
    <n v="4574"/>
    <n v="3"/>
    <n v="1963"/>
    <n v="1973"/>
    <s v="Villa"/>
    <n v="1"/>
    <s v="West"/>
    <s v="No"/>
    <s v="Semi-Furnished"/>
    <n v="0"/>
    <n v="5"/>
    <s v="Perambur Heights"/>
    <n v="2"/>
    <s v="No"/>
    <n v="21782000"/>
    <x v="0"/>
    <s v="BRK-01"/>
    <x v="2"/>
    <s v="Tier A"/>
    <n v="0.02"/>
    <n v="435640"/>
    <n v="653460"/>
    <n v="217820"/>
  </r>
  <r>
    <x v="4"/>
    <s v="HSR Layout"/>
    <x v="0"/>
    <n v="4"/>
    <n v="2358"/>
    <n v="5329"/>
    <n v="1"/>
    <n v="1951"/>
    <n v="1962"/>
    <s v="Independent House"/>
    <n v="1"/>
    <s v="West"/>
    <s v="Yes"/>
    <s v="Unfurnished"/>
    <n v="6"/>
    <n v="5"/>
    <s v="HSR Layout Enclave"/>
    <n v="0"/>
    <s v="No"/>
    <n v="21537000"/>
    <x v="1"/>
    <s v="BRK-05"/>
    <x v="4"/>
    <s v="Tier B"/>
    <n v="1.4999999999999999E-2"/>
    <n v="0"/>
    <n v="0"/>
    <n v="0"/>
  </r>
  <r>
    <x v="2"/>
    <s v="Aundh"/>
    <x v="1"/>
    <n v="4"/>
    <n v="4551"/>
    <n v="7735"/>
    <n v="1"/>
    <n v="1963"/>
    <n v="1974"/>
    <s v="Builder Floor"/>
    <n v="0"/>
    <s v="South"/>
    <s v="No"/>
    <s v="Unfurnished"/>
    <n v="10"/>
    <n v="5"/>
    <s v="Aundh Villa"/>
    <n v="3"/>
    <s v="Yes"/>
    <n v="39168500"/>
    <x v="1"/>
    <s v="BRK-02"/>
    <x v="0"/>
    <s v="Tier B"/>
    <n v="1.4999999999999999E-2"/>
    <n v="0"/>
    <n v="0"/>
    <n v="0"/>
  </r>
  <r>
    <x v="4"/>
    <s v="MG Road"/>
    <x v="3"/>
    <n v="1"/>
    <n v="3566"/>
    <n v="8761"/>
    <n v="3"/>
    <n v="2005"/>
    <n v="2025"/>
    <s v="Builder Floor"/>
    <n v="1"/>
    <s v="South"/>
    <s v="Yes"/>
    <s v="Unfurnished"/>
    <n v="5"/>
    <n v="0"/>
    <s v="MG Road Enclave"/>
    <n v="3"/>
    <s v="Yes"/>
    <n v="32504000"/>
    <x v="0"/>
    <s v="BRK-03"/>
    <x v="1"/>
    <s v="Tier A"/>
    <n v="0.02"/>
    <n v="650080"/>
    <n v="975120"/>
    <n v="325040"/>
  </r>
  <r>
    <x v="3"/>
    <s v="Adyar"/>
    <x v="0"/>
    <n v="3"/>
    <n v="3186"/>
    <n v="5273"/>
    <n v="2"/>
    <n v="2007"/>
    <n v="2007"/>
    <s v="Villa"/>
    <n v="3"/>
    <s v="East"/>
    <s v="Yes"/>
    <s v="Furnished"/>
    <n v="8"/>
    <n v="4"/>
    <s v="Adyar Enclave"/>
    <n v="3"/>
    <s v="No"/>
    <n v="25913000"/>
    <x v="2"/>
    <s v="BRK-01"/>
    <x v="2"/>
    <s v="Tier A"/>
    <n v="0.02"/>
    <n v="0"/>
    <n v="0"/>
    <n v="0"/>
  </r>
  <r>
    <x v="1"/>
    <s v="Vasant Kunj"/>
    <x v="2"/>
    <n v="3"/>
    <n v="3181"/>
    <n v="8280"/>
    <n v="3"/>
    <n v="1979"/>
    <n v="1998"/>
    <s v="Villa"/>
    <n v="0"/>
    <s v="North"/>
    <s v="No"/>
    <s v="Semi-Furnished"/>
    <n v="9"/>
    <n v="3"/>
    <s v="Vasant Kunj Residency"/>
    <n v="3"/>
    <s v="Yes"/>
    <n v="32105000"/>
    <x v="0"/>
    <s v="BRK-02"/>
    <x v="0"/>
    <s v="Tier B"/>
    <n v="1.4999999999999999E-2"/>
    <n v="481575"/>
    <n v="963150"/>
    <n v="481575"/>
  </r>
  <r>
    <x v="4"/>
    <s v="MG Road"/>
    <x v="0"/>
    <n v="3"/>
    <n v="3886"/>
    <n v="6897"/>
    <n v="1"/>
    <n v="1971"/>
    <n v="1990"/>
    <s v="Builder Floor"/>
    <n v="0"/>
    <s v="South"/>
    <s v="No"/>
    <s v="Unfurnished"/>
    <n v="10"/>
    <n v="4"/>
    <s v="MG Road Enclave"/>
    <n v="1"/>
    <s v="No"/>
    <n v="35249000"/>
    <x v="2"/>
    <s v="BRK-04"/>
    <x v="3"/>
    <s v="Tier C"/>
    <n v="0.01"/>
    <n v="0"/>
    <n v="0"/>
    <n v="0"/>
  </r>
  <r>
    <x v="2"/>
    <s v="Kothrud"/>
    <x v="4"/>
    <n v="1"/>
    <n v="1041"/>
    <n v="7720"/>
    <n v="2"/>
    <n v="1968"/>
    <n v="2012"/>
    <s v="Villa"/>
    <n v="2"/>
    <s v="West"/>
    <s v="Yes"/>
    <s v="Semi-Furnished"/>
    <n v="1"/>
    <n v="5"/>
    <s v="Kothrud Enclave"/>
    <n v="0"/>
    <s v="No"/>
    <n v="9043500"/>
    <x v="0"/>
    <s v="BRK-02"/>
    <x v="0"/>
    <s v="Tier B"/>
    <n v="1.4999999999999999E-2"/>
    <n v="135652.5"/>
    <n v="271305"/>
    <n v="135652.5"/>
  </r>
  <r>
    <x v="1"/>
    <s v="Vasant Kunj"/>
    <x v="2"/>
    <n v="2"/>
    <n v="4789"/>
    <n v="6108"/>
    <n v="3"/>
    <n v="1985"/>
    <n v="1985"/>
    <s v="Independent House"/>
    <n v="1"/>
    <s v="South"/>
    <s v="Yes"/>
    <s v="Furnished"/>
    <n v="7"/>
    <n v="5"/>
    <s v="Vasant Kunj Residency"/>
    <n v="1"/>
    <s v="Yes"/>
    <n v="48225000"/>
    <x v="0"/>
    <s v="BRK-01"/>
    <x v="2"/>
    <s v="Tier A"/>
    <n v="0.02"/>
    <n v="964500"/>
    <n v="1446750"/>
    <n v="482250"/>
  </r>
  <r>
    <x v="4"/>
    <s v="Koramangala"/>
    <x v="2"/>
    <n v="4"/>
    <n v="3895"/>
    <n v="7340"/>
    <n v="3"/>
    <n v="2020"/>
    <n v="2023"/>
    <s v="Apartment"/>
    <n v="3"/>
    <s v="South"/>
    <s v="No"/>
    <s v="Unfurnished"/>
    <n v="9"/>
    <n v="3"/>
    <s v="Koramangala Enclave"/>
    <n v="2"/>
    <s v="No"/>
    <n v="35315000"/>
    <x v="1"/>
    <s v="BRK-02"/>
    <x v="0"/>
    <s v="Tier B"/>
    <n v="1.4999999999999999E-2"/>
    <n v="0"/>
    <n v="0"/>
    <n v="0"/>
  </r>
  <r>
    <x v="3"/>
    <s v="Adyar"/>
    <x v="0"/>
    <n v="2"/>
    <n v="2922"/>
    <n v="7398"/>
    <n v="2"/>
    <n v="1959"/>
    <n v="1975"/>
    <s v="Villa"/>
    <n v="1"/>
    <s v="South"/>
    <s v="Yes"/>
    <s v="Unfurnished"/>
    <n v="7"/>
    <n v="4"/>
    <s v="Adyar Enclave"/>
    <n v="0"/>
    <s v="Yes"/>
    <n v="23701000"/>
    <x v="1"/>
    <s v="BRK-05"/>
    <x v="4"/>
    <s v="Tier B"/>
    <n v="1.4999999999999999E-2"/>
    <n v="0"/>
    <n v="0"/>
    <n v="0"/>
  </r>
  <r>
    <x v="4"/>
    <s v="HSR Layout"/>
    <x v="4"/>
    <n v="4"/>
    <n v="2504"/>
    <n v="7258"/>
    <n v="1"/>
    <n v="2008"/>
    <n v="2021"/>
    <s v="Independent House"/>
    <n v="3"/>
    <s v="North"/>
    <s v="Yes"/>
    <s v="Furnished"/>
    <n v="8"/>
    <n v="3"/>
    <s v="HSR Layout Heights"/>
    <n v="2"/>
    <s v="No"/>
    <n v="22906000"/>
    <x v="0"/>
    <s v="BRK-03"/>
    <x v="1"/>
    <s v="Tier A"/>
    <n v="0.02"/>
    <n v="458120"/>
    <n v="687180"/>
    <n v="229060"/>
  </r>
  <r>
    <x v="1"/>
    <s v="Dwarka"/>
    <x v="0"/>
    <n v="1"/>
    <n v="2561"/>
    <n v="7278"/>
    <n v="2"/>
    <n v="1953"/>
    <n v="2014"/>
    <s v="Independent House"/>
    <n v="1"/>
    <s v="West"/>
    <s v="Yes"/>
    <s v="Unfurnished"/>
    <n v="7"/>
    <n v="2"/>
    <s v="Dwarka Enclave"/>
    <n v="2"/>
    <s v="Yes"/>
    <n v="25935000"/>
    <x v="0"/>
    <s v="BRK-01"/>
    <x v="2"/>
    <s v="Tier A"/>
    <n v="0.02"/>
    <n v="518700"/>
    <n v="778050"/>
    <n v="259350"/>
  </r>
  <r>
    <x v="2"/>
    <s v="Aundh"/>
    <x v="3"/>
    <n v="2"/>
    <n v="4720"/>
    <n v="9577"/>
    <n v="2"/>
    <n v="1950"/>
    <n v="1955"/>
    <s v="Villa"/>
    <n v="0"/>
    <s v="North"/>
    <s v="Yes"/>
    <s v="Unfurnished"/>
    <n v="6"/>
    <n v="5"/>
    <s v="Aundh Residency"/>
    <n v="1"/>
    <s v="Yes"/>
    <n v="40510000"/>
    <x v="0"/>
    <s v="BRK-04"/>
    <x v="3"/>
    <s v="Tier C"/>
    <n v="0.01"/>
    <n v="405100"/>
    <n v="1215300"/>
    <n v="810200"/>
  </r>
  <r>
    <x v="2"/>
    <s v="Hinjewadi"/>
    <x v="4"/>
    <n v="1"/>
    <n v="4354"/>
    <n v="5382"/>
    <n v="2"/>
    <n v="1961"/>
    <n v="1972"/>
    <s v="Independent House"/>
    <n v="3"/>
    <s v="West"/>
    <s v="No"/>
    <s v="Unfurnished"/>
    <n v="7"/>
    <n v="1"/>
    <s v="Hinjewadi Enclave"/>
    <n v="1"/>
    <s v="Yes"/>
    <n v="37244000"/>
    <x v="2"/>
    <s v="BRK-04"/>
    <x v="3"/>
    <s v="Tier C"/>
    <n v="0.01"/>
    <n v="0"/>
    <n v="0"/>
    <n v="0"/>
  </r>
  <r>
    <x v="4"/>
    <s v="Indiranagar"/>
    <x v="4"/>
    <n v="4"/>
    <n v="2364"/>
    <n v="6507"/>
    <n v="1"/>
    <n v="1973"/>
    <n v="1988"/>
    <s v="Independent House"/>
    <n v="1"/>
    <s v="South"/>
    <s v="No"/>
    <s v="Unfurnished"/>
    <n v="10"/>
    <n v="0"/>
    <s v="Indiranagar Enclave"/>
    <n v="3"/>
    <s v="Yes"/>
    <n v="21611000"/>
    <x v="1"/>
    <s v="BRK-02"/>
    <x v="0"/>
    <s v="Tier B"/>
    <n v="1.4999999999999999E-2"/>
    <n v="0"/>
    <n v="0"/>
    <n v="0"/>
  </r>
  <r>
    <x v="2"/>
    <s v="Viman Nagar"/>
    <x v="2"/>
    <n v="1"/>
    <n v="4863"/>
    <n v="5397"/>
    <n v="3"/>
    <n v="1997"/>
    <n v="1999"/>
    <s v="Apartment"/>
    <n v="0"/>
    <s v="North"/>
    <s v="Yes"/>
    <s v="Semi-Furnished"/>
    <n v="6"/>
    <n v="2"/>
    <s v="Viman Nagar Heights"/>
    <n v="2"/>
    <s v="Yes"/>
    <n v="41580500"/>
    <x v="2"/>
    <s v="BRK-05"/>
    <x v="4"/>
    <s v="Tier B"/>
    <n v="1.4999999999999999E-2"/>
    <n v="0"/>
    <n v="0"/>
    <n v="0"/>
  </r>
  <r>
    <x v="1"/>
    <s v="Rohini"/>
    <x v="1"/>
    <n v="4"/>
    <n v="1789"/>
    <n v="6223"/>
    <n v="1"/>
    <n v="1994"/>
    <n v="1999"/>
    <s v="Apartment"/>
    <n v="2"/>
    <s v="South"/>
    <s v="No"/>
    <s v="Unfurnished"/>
    <n v="2"/>
    <n v="4"/>
    <s v="Rohini Residency"/>
    <n v="3"/>
    <s v="Yes"/>
    <n v="18375000"/>
    <x v="2"/>
    <s v="BRK-04"/>
    <x v="3"/>
    <s v="Tier C"/>
    <n v="0.01"/>
    <n v="0"/>
    <n v="0"/>
    <n v="0"/>
  </r>
  <r>
    <x v="2"/>
    <s v="Kothrud"/>
    <x v="1"/>
    <n v="1"/>
    <n v="2853"/>
    <n v="5290"/>
    <n v="1"/>
    <n v="1994"/>
    <n v="2004"/>
    <s v="Apartment"/>
    <n v="0"/>
    <s v="West"/>
    <s v="Yes"/>
    <s v="Unfurnished"/>
    <n v="2"/>
    <n v="4"/>
    <s v="Kothrud Enclave"/>
    <n v="3"/>
    <s v="No"/>
    <n v="24620500"/>
    <x v="0"/>
    <s v="BRK-01"/>
    <x v="2"/>
    <s v="Tier A"/>
    <n v="0.02"/>
    <n v="492410"/>
    <n v="738615"/>
    <n v="246205"/>
  </r>
  <r>
    <x v="3"/>
    <s v="T Nagar"/>
    <x v="1"/>
    <n v="1"/>
    <n v="3071"/>
    <n v="5138"/>
    <n v="2"/>
    <n v="1968"/>
    <n v="1982"/>
    <s v="Independent House"/>
    <n v="1"/>
    <s v="West"/>
    <s v="Yes"/>
    <s v="Semi-Furnished"/>
    <n v="0"/>
    <n v="3"/>
    <s v="T Nagar Heights"/>
    <n v="0"/>
    <s v="No"/>
    <n v="24913000"/>
    <x v="1"/>
    <s v="BRK-05"/>
    <x v="4"/>
    <s v="Tier B"/>
    <n v="1.4999999999999999E-2"/>
    <n v="0"/>
    <n v="0"/>
    <n v="0"/>
  </r>
  <r>
    <x v="2"/>
    <s v="Aundh"/>
    <x v="1"/>
    <n v="4"/>
    <n v="4775"/>
    <n v="6471"/>
    <n v="2"/>
    <n v="1991"/>
    <n v="1998"/>
    <s v="Independent House"/>
    <n v="1"/>
    <s v="East"/>
    <s v="No"/>
    <s v="Semi-Furnished"/>
    <n v="6"/>
    <n v="3"/>
    <s v="Aundh Heights"/>
    <n v="3"/>
    <s v="Yes"/>
    <n v="41092500"/>
    <x v="2"/>
    <s v="BRK-01"/>
    <x v="2"/>
    <s v="Tier A"/>
    <n v="0.02"/>
    <n v="0"/>
    <n v="0"/>
    <n v="0"/>
  </r>
  <r>
    <x v="3"/>
    <s v="T Nagar"/>
    <x v="0"/>
    <n v="4"/>
    <n v="3485"/>
    <n v="6040"/>
    <n v="2"/>
    <n v="1986"/>
    <n v="1988"/>
    <s v="Builder Floor"/>
    <n v="1"/>
    <s v="North"/>
    <s v="No"/>
    <s v="Unfurnished"/>
    <n v="9"/>
    <n v="4"/>
    <s v="T Nagar Residency"/>
    <n v="2"/>
    <s v="Yes"/>
    <n v="28270000"/>
    <x v="0"/>
    <s v="BRK-01"/>
    <x v="2"/>
    <s v="Tier A"/>
    <n v="0.02"/>
    <n v="565400"/>
    <n v="848100"/>
    <n v="282700"/>
  </r>
  <r>
    <x v="2"/>
    <s v="Kothrud"/>
    <x v="2"/>
    <n v="3"/>
    <n v="3453"/>
    <n v="5045"/>
    <n v="2"/>
    <n v="2018"/>
    <n v="0"/>
    <s v="Independent House"/>
    <n v="1"/>
    <s v="East"/>
    <s v="Yes"/>
    <s v="Furnished"/>
    <n v="1"/>
    <n v="3"/>
    <s v="Kothrud Residency"/>
    <n v="1"/>
    <s v="No"/>
    <n v="29645500"/>
    <x v="2"/>
    <s v="BRK-03"/>
    <x v="1"/>
    <s v="Tier A"/>
    <n v="0.02"/>
    <n v="0"/>
    <n v="0"/>
    <n v="0"/>
  </r>
  <r>
    <x v="0"/>
    <s v="Bandra"/>
    <x v="3"/>
    <n v="2"/>
    <n v="4978"/>
    <n v="5155"/>
    <n v="1"/>
    <n v="1998"/>
    <n v="2003"/>
    <s v="Builder Floor"/>
    <n v="2"/>
    <s v="North"/>
    <s v="Yes"/>
    <s v="Unfurnished"/>
    <n v="5"/>
    <n v="1"/>
    <s v="Bandra Villa"/>
    <n v="1"/>
    <s v="No"/>
    <n v="60056000"/>
    <x v="1"/>
    <s v="BRK-03"/>
    <x v="1"/>
    <s v="Tier A"/>
    <n v="0.02"/>
    <n v="0"/>
    <n v="0"/>
    <n v="0"/>
  </r>
  <r>
    <x v="3"/>
    <s v="T Nagar"/>
    <x v="4"/>
    <n v="2"/>
    <n v="2316"/>
    <n v="7459"/>
    <n v="3"/>
    <n v="1983"/>
    <n v="2009"/>
    <s v="Villa"/>
    <n v="1"/>
    <s v="East"/>
    <s v="No"/>
    <s v="Unfurnished"/>
    <n v="0"/>
    <n v="3"/>
    <s v="T Nagar Villa"/>
    <n v="3"/>
    <s v="No"/>
    <n v="18793000"/>
    <x v="2"/>
    <s v="BRK-02"/>
    <x v="0"/>
    <s v="Tier B"/>
    <n v="1.4999999999999999E-2"/>
    <n v="0"/>
    <n v="0"/>
    <n v="0"/>
  </r>
  <r>
    <x v="1"/>
    <s v="Vasant Kunj"/>
    <x v="0"/>
    <n v="1"/>
    <n v="3539"/>
    <n v="3931"/>
    <n v="3"/>
    <n v="2007"/>
    <n v="2010"/>
    <s v="Apartment"/>
    <n v="0"/>
    <s v="North"/>
    <s v="Yes"/>
    <s v="Furnished"/>
    <n v="7"/>
    <n v="0"/>
    <s v="Vasant Kunj Residency"/>
    <n v="2"/>
    <s v="Yes"/>
    <n v="35810000"/>
    <x v="1"/>
    <s v="BRK-05"/>
    <x v="4"/>
    <s v="Tier B"/>
    <n v="1.4999999999999999E-2"/>
    <n v="0"/>
    <n v="0"/>
    <n v="0"/>
  </r>
  <r>
    <x v="4"/>
    <s v="MG Road"/>
    <x v="0"/>
    <n v="3"/>
    <n v="2632"/>
    <n v="9690"/>
    <n v="3"/>
    <n v="1983"/>
    <n v="1988"/>
    <s v="Builder Floor"/>
    <n v="3"/>
    <s v="South"/>
    <s v="Yes"/>
    <s v="Unfurnished"/>
    <n v="7"/>
    <n v="1"/>
    <s v="MG Road Residency"/>
    <n v="0"/>
    <s v="No"/>
    <n v="24013000"/>
    <x v="0"/>
    <s v="BRK-04"/>
    <x v="3"/>
    <s v="Tier C"/>
    <n v="0.01"/>
    <n v="240130"/>
    <n v="720390"/>
    <n v="480260"/>
  </r>
  <r>
    <x v="3"/>
    <s v="T Nagar"/>
    <x v="2"/>
    <n v="2"/>
    <n v="611"/>
    <n v="7019"/>
    <n v="1"/>
    <n v="1960"/>
    <n v="1967"/>
    <s v="Apartment"/>
    <n v="3"/>
    <s v="East"/>
    <s v="No"/>
    <s v="Unfurnished"/>
    <n v="2"/>
    <n v="3"/>
    <s v="T Nagar Heights"/>
    <n v="1"/>
    <s v="Yes"/>
    <n v="5083000"/>
    <x v="2"/>
    <s v="BRK-04"/>
    <x v="3"/>
    <s v="Tier C"/>
    <n v="0.01"/>
    <n v="0"/>
    <n v="0"/>
    <n v="0"/>
  </r>
  <r>
    <x v="4"/>
    <s v="Whitefield"/>
    <x v="1"/>
    <n v="1"/>
    <n v="1551"/>
    <n v="7193"/>
    <n v="2"/>
    <n v="1972"/>
    <n v="1993"/>
    <s v="Independent House"/>
    <n v="1"/>
    <s v="North"/>
    <s v="No"/>
    <s v="Semi-Furnished"/>
    <n v="2"/>
    <n v="2"/>
    <s v="Whitefield Heights"/>
    <n v="1"/>
    <s v="Yes"/>
    <n v="14344000"/>
    <x v="0"/>
    <s v="BRK-01"/>
    <x v="2"/>
    <s v="Tier A"/>
    <n v="0.02"/>
    <n v="286880"/>
    <n v="430320"/>
    <n v="143440"/>
  </r>
  <r>
    <x v="1"/>
    <s v="Saket"/>
    <x v="3"/>
    <n v="1"/>
    <n v="3908"/>
    <n v="4526"/>
    <n v="1"/>
    <n v="2017"/>
    <n v="2020"/>
    <s v="Apartment"/>
    <n v="1"/>
    <s v="East"/>
    <s v="Yes"/>
    <s v="Furnished"/>
    <n v="10"/>
    <n v="0"/>
    <s v="Saket Villa"/>
    <n v="0"/>
    <s v="Yes"/>
    <n v="39480000"/>
    <x v="1"/>
    <s v="BRK-03"/>
    <x v="1"/>
    <s v="Tier A"/>
    <n v="0.02"/>
    <n v="0"/>
    <n v="0"/>
    <n v="0"/>
  </r>
  <r>
    <x v="4"/>
    <s v="Indiranagar"/>
    <x v="2"/>
    <n v="2"/>
    <n v="1150"/>
    <n v="5028"/>
    <n v="1"/>
    <n v="1998"/>
    <n v="0"/>
    <s v="Builder Floor"/>
    <n v="3"/>
    <s v="North"/>
    <s v="Yes"/>
    <s v="Unfurnished"/>
    <n v="0"/>
    <n v="4"/>
    <s v="Indiranagar Heights"/>
    <n v="0"/>
    <s v="No"/>
    <n v="10505000"/>
    <x v="2"/>
    <s v="BRK-02"/>
    <x v="0"/>
    <s v="Tier B"/>
    <n v="1.4999999999999999E-2"/>
    <n v="0"/>
    <n v="0"/>
    <n v="0"/>
  </r>
  <r>
    <x v="2"/>
    <s v="Baner"/>
    <x v="0"/>
    <n v="4"/>
    <n v="3983"/>
    <n v="5979"/>
    <n v="3"/>
    <n v="2012"/>
    <n v="2020"/>
    <s v="Villa"/>
    <n v="2"/>
    <s v="West"/>
    <s v="No"/>
    <s v="Furnished"/>
    <n v="7"/>
    <n v="4"/>
    <s v="Baner Enclave"/>
    <n v="1"/>
    <s v="Yes"/>
    <n v="34325500"/>
    <x v="2"/>
    <s v="BRK-01"/>
    <x v="2"/>
    <s v="Tier A"/>
    <n v="0.02"/>
    <n v="0"/>
    <n v="0"/>
    <n v="0"/>
  </r>
  <r>
    <x v="4"/>
    <s v="Koramangala"/>
    <x v="3"/>
    <n v="3"/>
    <n v="1613"/>
    <n v="7693"/>
    <n v="3"/>
    <n v="1952"/>
    <n v="2006"/>
    <s v="Villa"/>
    <n v="1"/>
    <s v="North"/>
    <s v="No"/>
    <s v="Semi-Furnished"/>
    <n v="8"/>
    <n v="1"/>
    <s v="Koramangala Villa"/>
    <n v="1"/>
    <s v="No"/>
    <n v="14882000"/>
    <x v="2"/>
    <s v="BRK-01"/>
    <x v="2"/>
    <s v="Tier A"/>
    <n v="0.02"/>
    <n v="0"/>
    <n v="0"/>
    <n v="0"/>
  </r>
  <r>
    <x v="1"/>
    <s v="Vasant Kunj"/>
    <x v="3"/>
    <n v="4"/>
    <n v="4073"/>
    <n v="7828"/>
    <n v="2"/>
    <n v="1999"/>
    <n v="2012"/>
    <s v="Villa"/>
    <n v="2"/>
    <s v="East"/>
    <s v="No"/>
    <s v="Furnished"/>
    <n v="8"/>
    <n v="1"/>
    <s v="Vasant Kunj Residency"/>
    <n v="1"/>
    <s v="Yes"/>
    <n v="41230000"/>
    <x v="0"/>
    <s v="BRK-01"/>
    <x v="2"/>
    <s v="Tier A"/>
    <n v="0.02"/>
    <n v="824600"/>
    <n v="1236900"/>
    <n v="412300"/>
  </r>
  <r>
    <x v="2"/>
    <s v="Hinjewadi"/>
    <x v="1"/>
    <n v="3"/>
    <n v="4095"/>
    <n v="8635"/>
    <n v="2"/>
    <n v="1997"/>
    <n v="2016"/>
    <s v="Villa"/>
    <n v="1"/>
    <s v="West"/>
    <s v="Yes"/>
    <s v="Semi-Furnished"/>
    <n v="1"/>
    <n v="4"/>
    <s v="Hinjewadi Villa"/>
    <n v="2"/>
    <s v="No"/>
    <n v="35242500"/>
    <x v="0"/>
    <s v="BRK-05"/>
    <x v="4"/>
    <s v="Tier B"/>
    <n v="1.4999999999999999E-2"/>
    <n v="528637.5"/>
    <n v="1057275"/>
    <n v="528637.5"/>
  </r>
  <r>
    <x v="0"/>
    <s v="Bandra"/>
    <x v="4"/>
    <n v="3"/>
    <n v="4819"/>
    <n v="6152"/>
    <n v="3"/>
    <n v="1999"/>
    <n v="2014"/>
    <s v="Independent House"/>
    <n v="1"/>
    <s v="West"/>
    <s v="Yes"/>
    <s v="Unfurnished"/>
    <n v="3"/>
    <n v="3"/>
    <s v="Bandra Residency"/>
    <n v="2"/>
    <s v="Yes"/>
    <n v="58183000"/>
    <x v="1"/>
    <s v="BRK-04"/>
    <x v="3"/>
    <s v="Tier C"/>
    <n v="0.01"/>
    <n v="0"/>
    <n v="0"/>
    <n v="0"/>
  </r>
  <r>
    <x v="3"/>
    <s v="Perambur"/>
    <x v="4"/>
    <n v="2"/>
    <n v="3669"/>
    <n v="6311"/>
    <n v="2"/>
    <n v="1981"/>
    <n v="1988"/>
    <s v="Independent House"/>
    <n v="2"/>
    <s v="North"/>
    <s v="Yes"/>
    <s v="Furnished"/>
    <n v="1"/>
    <n v="0"/>
    <s v="Perambur Heights"/>
    <n v="0"/>
    <s v="No"/>
    <n v="29652000"/>
    <x v="1"/>
    <s v="BRK-04"/>
    <x v="3"/>
    <s v="Tier C"/>
    <n v="0.01"/>
    <n v="0"/>
    <n v="0"/>
    <n v="0"/>
  </r>
  <r>
    <x v="0"/>
    <s v="Juhu"/>
    <x v="0"/>
    <n v="2"/>
    <n v="1533"/>
    <n v="5072"/>
    <n v="2"/>
    <n v="1958"/>
    <n v="2003"/>
    <s v="Villa"/>
    <n v="3"/>
    <s v="West"/>
    <s v="No"/>
    <s v="Unfurnished"/>
    <n v="2"/>
    <n v="2"/>
    <s v="Juhu Enclave"/>
    <n v="0"/>
    <s v="Yes"/>
    <n v="18696000"/>
    <x v="1"/>
    <s v="BRK-04"/>
    <x v="3"/>
    <s v="Tier C"/>
    <n v="0.01"/>
    <n v="0"/>
    <n v="0"/>
    <n v="0"/>
  </r>
  <r>
    <x v="1"/>
    <s v="Rohini"/>
    <x v="3"/>
    <n v="1"/>
    <n v="4660"/>
    <n v="9775"/>
    <n v="2"/>
    <n v="1970"/>
    <n v="2004"/>
    <s v="Independent House"/>
    <n v="2"/>
    <s v="South"/>
    <s v="Yes"/>
    <s v="Unfurnished"/>
    <n v="2"/>
    <n v="3"/>
    <s v="Rohini Heights"/>
    <n v="0"/>
    <s v="Yes"/>
    <n v="46945000"/>
    <x v="2"/>
    <s v="BRK-05"/>
    <x v="4"/>
    <s v="Tier B"/>
    <n v="1.4999999999999999E-2"/>
    <n v="0"/>
    <n v="0"/>
    <n v="0"/>
  </r>
  <r>
    <x v="3"/>
    <s v="Anna Nagar"/>
    <x v="3"/>
    <n v="4"/>
    <n v="1696"/>
    <n v="2072"/>
    <n v="3"/>
    <n v="1996"/>
    <n v="2024"/>
    <s v="Independent House"/>
    <n v="1"/>
    <s v="West"/>
    <s v="Yes"/>
    <s v="Semi-Furnished"/>
    <n v="10"/>
    <n v="4"/>
    <s v="Anna Nagar Enclave"/>
    <n v="2"/>
    <s v="Yes"/>
    <n v="14053000"/>
    <x v="1"/>
    <s v="BRK-01"/>
    <x v="2"/>
    <s v="Tier A"/>
    <n v="0.02"/>
    <n v="0"/>
    <n v="0"/>
    <n v="0"/>
  </r>
  <r>
    <x v="4"/>
    <s v="Whitefield"/>
    <x v="4"/>
    <n v="2"/>
    <n v="2758"/>
    <n v="8357"/>
    <n v="2"/>
    <n v="1969"/>
    <n v="1975"/>
    <s v="Apartment"/>
    <n v="2"/>
    <s v="East"/>
    <s v="Yes"/>
    <s v="Semi-Furnished"/>
    <n v="9"/>
    <n v="3"/>
    <s v="Whitefield Heights"/>
    <n v="3"/>
    <s v="Yes"/>
    <n v="25142000"/>
    <x v="0"/>
    <s v="BRK-02"/>
    <x v="0"/>
    <s v="Tier B"/>
    <n v="1.4999999999999999E-2"/>
    <n v="377130"/>
    <n v="754260"/>
    <n v="377130"/>
  </r>
  <r>
    <x v="4"/>
    <s v="Indiranagar"/>
    <x v="4"/>
    <n v="3"/>
    <n v="4563"/>
    <n v="4805"/>
    <n v="2"/>
    <n v="1990"/>
    <n v="1999"/>
    <s v="Builder Floor"/>
    <n v="1"/>
    <s v="East"/>
    <s v="No"/>
    <s v="Semi-Furnished"/>
    <n v="6"/>
    <n v="2"/>
    <s v="Indiranagar Heights"/>
    <n v="2"/>
    <s v="No"/>
    <n v="41327000"/>
    <x v="0"/>
    <s v="BRK-01"/>
    <x v="2"/>
    <s v="Tier A"/>
    <n v="0.02"/>
    <n v="826540"/>
    <n v="1239810"/>
    <n v="413270"/>
  </r>
  <r>
    <x v="0"/>
    <s v="Juhu"/>
    <x v="1"/>
    <n v="1"/>
    <n v="1370"/>
    <n v="1594"/>
    <n v="3"/>
    <n v="2023"/>
    <n v="0"/>
    <s v="Villa"/>
    <n v="3"/>
    <s v="South"/>
    <s v="No"/>
    <s v="Semi-Furnished"/>
    <n v="6"/>
    <n v="0"/>
    <s v="Juhu Enclave"/>
    <n v="3"/>
    <s v="No"/>
    <n v="16825000"/>
    <x v="2"/>
    <s v="BRK-04"/>
    <x v="3"/>
    <s v="Tier C"/>
    <n v="0.01"/>
    <n v="0"/>
    <n v="0"/>
    <n v="0"/>
  </r>
  <r>
    <x v="4"/>
    <s v="HSR Layout"/>
    <x v="3"/>
    <n v="4"/>
    <n v="3102"/>
    <n v="4236"/>
    <n v="2"/>
    <n v="1983"/>
    <n v="2017"/>
    <s v="Apartment"/>
    <n v="3"/>
    <s v="East"/>
    <s v="No"/>
    <s v="Furnished"/>
    <n v="7"/>
    <n v="5"/>
    <s v="HSR Layout Heights"/>
    <n v="2"/>
    <s v="Yes"/>
    <n v="28433000"/>
    <x v="0"/>
    <s v="BRK-03"/>
    <x v="1"/>
    <s v="Tier A"/>
    <n v="0.02"/>
    <n v="568660"/>
    <n v="852990"/>
    <n v="284330"/>
  </r>
  <r>
    <x v="0"/>
    <s v="Bandra"/>
    <x v="2"/>
    <n v="2"/>
    <n v="909"/>
    <n v="3860"/>
    <n v="2"/>
    <n v="1958"/>
    <n v="1976"/>
    <s v="Apartment"/>
    <n v="0"/>
    <s v="North"/>
    <s v="Yes"/>
    <s v="Unfurnished"/>
    <n v="0"/>
    <n v="5"/>
    <s v="Bandra Enclave"/>
    <n v="0"/>
    <s v="Yes"/>
    <n v="11133000"/>
    <x v="2"/>
    <s v="BRK-03"/>
    <x v="1"/>
    <s v="Tier A"/>
    <n v="0.02"/>
    <n v="0"/>
    <n v="0"/>
    <n v="0"/>
  </r>
  <r>
    <x v="2"/>
    <s v="Baner"/>
    <x v="0"/>
    <n v="1"/>
    <n v="1299"/>
    <n v="2269"/>
    <n v="3"/>
    <n v="1967"/>
    <n v="1978"/>
    <s v="Builder Floor"/>
    <n v="1"/>
    <s v="North"/>
    <s v="Yes"/>
    <s v="Furnished"/>
    <n v="6"/>
    <n v="5"/>
    <s v="Baner Residency"/>
    <n v="1"/>
    <s v="Yes"/>
    <n v="11446500"/>
    <x v="0"/>
    <s v="BRK-04"/>
    <x v="3"/>
    <s v="Tier C"/>
    <n v="0.01"/>
    <n v="114465"/>
    <n v="343395"/>
    <n v="228930"/>
  </r>
  <r>
    <x v="0"/>
    <s v="Borivali"/>
    <x v="0"/>
    <n v="2"/>
    <n v="4199"/>
    <n v="5865"/>
    <n v="3"/>
    <n v="2013"/>
    <n v="2021"/>
    <s v="Apartment"/>
    <n v="3"/>
    <s v="East"/>
    <s v="Yes"/>
    <s v="Semi-Furnished"/>
    <n v="2"/>
    <n v="4"/>
    <s v="Borivali Heights"/>
    <n v="0"/>
    <s v="Yes"/>
    <n v="50733000"/>
    <x v="2"/>
    <s v="BRK-05"/>
    <x v="4"/>
    <s v="Tier B"/>
    <n v="1.4999999999999999E-2"/>
    <n v="0"/>
    <n v="0"/>
    <n v="0"/>
  </r>
  <r>
    <x v="1"/>
    <s v="Saket"/>
    <x v="4"/>
    <n v="2"/>
    <n v="1315"/>
    <n v="2606"/>
    <n v="1"/>
    <n v="1973"/>
    <n v="1992"/>
    <s v="Apartment"/>
    <n v="1"/>
    <s v="West"/>
    <s v="No"/>
    <s v="Unfurnished"/>
    <n v="6"/>
    <n v="4"/>
    <s v="Saket Enclave"/>
    <n v="1"/>
    <s v="No"/>
    <n v="13345000"/>
    <x v="2"/>
    <s v="BRK-05"/>
    <x v="4"/>
    <s v="Tier B"/>
    <n v="1.4999999999999999E-2"/>
    <n v="0"/>
    <n v="0"/>
    <n v="0"/>
  </r>
  <r>
    <x v="4"/>
    <s v="Indiranagar"/>
    <x v="4"/>
    <n v="1"/>
    <n v="2361"/>
    <n v="4716"/>
    <n v="1"/>
    <n v="1958"/>
    <n v="1964"/>
    <s v="Builder Floor"/>
    <n v="3"/>
    <s v="East"/>
    <s v="Yes"/>
    <s v="Unfurnished"/>
    <n v="6"/>
    <n v="0"/>
    <s v="Indiranagar Villa"/>
    <n v="0"/>
    <s v="Yes"/>
    <n v="21474000"/>
    <x v="1"/>
    <s v="BRK-05"/>
    <x v="4"/>
    <s v="Tier B"/>
    <n v="1.4999999999999999E-2"/>
    <n v="0"/>
    <n v="0"/>
    <n v="0"/>
  </r>
  <r>
    <x v="4"/>
    <s v="HSR Layout"/>
    <x v="0"/>
    <n v="1"/>
    <n v="4962"/>
    <n v="7161"/>
    <n v="3"/>
    <n v="1990"/>
    <n v="2017"/>
    <s v="Villa"/>
    <n v="3"/>
    <s v="East"/>
    <s v="No"/>
    <s v="Semi-Furnished"/>
    <n v="7"/>
    <n v="2"/>
    <s v="HSR Layout Residency"/>
    <n v="1"/>
    <s v="Yes"/>
    <n v="44963000"/>
    <x v="1"/>
    <s v="BRK-05"/>
    <x v="4"/>
    <s v="Tier B"/>
    <n v="1.4999999999999999E-2"/>
    <n v="0"/>
    <n v="0"/>
    <n v="0"/>
  </r>
  <r>
    <x v="0"/>
    <s v="Juhu"/>
    <x v="3"/>
    <n v="4"/>
    <n v="4081"/>
    <n v="6788"/>
    <n v="2"/>
    <n v="2009"/>
    <n v="2022"/>
    <s v="Independent House"/>
    <n v="1"/>
    <s v="South"/>
    <s v="No"/>
    <s v="Semi-Furnished"/>
    <n v="0"/>
    <n v="1"/>
    <s v="Juhu Enclave"/>
    <n v="3"/>
    <s v="Yes"/>
    <n v="49427000"/>
    <x v="2"/>
    <s v="BRK-02"/>
    <x v="0"/>
    <s v="Tier B"/>
    <n v="1.4999999999999999E-2"/>
    <n v="0"/>
    <n v="0"/>
    <n v="0"/>
  </r>
  <r>
    <x v="3"/>
    <s v="Adyar"/>
    <x v="2"/>
    <n v="4"/>
    <n v="1715"/>
    <n v="4239"/>
    <n v="3"/>
    <n v="1973"/>
    <n v="1985"/>
    <s v="Builder Floor"/>
    <n v="0"/>
    <s v="West"/>
    <s v="No"/>
    <s v="Furnished"/>
    <n v="4"/>
    <n v="2"/>
    <s v="Adyar Residency"/>
    <n v="0"/>
    <s v="No"/>
    <n v="14025000"/>
    <x v="1"/>
    <s v="BRK-01"/>
    <x v="2"/>
    <s v="Tier A"/>
    <n v="0.02"/>
    <n v="0"/>
    <n v="0"/>
    <n v="0"/>
  </r>
  <r>
    <x v="3"/>
    <s v="Velachery"/>
    <x v="0"/>
    <n v="3"/>
    <n v="2165"/>
    <n v="3771"/>
    <n v="2"/>
    <n v="2013"/>
    <n v="2018"/>
    <s v="Independent House"/>
    <n v="1"/>
    <s v="West"/>
    <s v="Yes"/>
    <s v="Semi-Furnished"/>
    <n v="1"/>
    <n v="0"/>
    <s v="Velachery Enclave"/>
    <n v="3"/>
    <s v="No"/>
    <n v="17670000"/>
    <x v="2"/>
    <s v="BRK-04"/>
    <x v="3"/>
    <s v="Tier C"/>
    <n v="0.01"/>
    <n v="0"/>
    <n v="0"/>
    <n v="0"/>
  </r>
  <r>
    <x v="1"/>
    <s v="Rohini"/>
    <x v="1"/>
    <n v="4"/>
    <n v="2072"/>
    <n v="5532"/>
    <n v="2"/>
    <n v="1951"/>
    <n v="1989"/>
    <s v="Apartment"/>
    <n v="2"/>
    <s v="East"/>
    <s v="No"/>
    <s v="Unfurnished"/>
    <n v="1"/>
    <n v="4"/>
    <s v="Rohini Residency"/>
    <n v="2"/>
    <s v="No"/>
    <n v="21160000"/>
    <x v="1"/>
    <s v="BRK-04"/>
    <x v="3"/>
    <s v="Tier C"/>
    <n v="0.01"/>
    <n v="0"/>
    <n v="0"/>
    <n v="0"/>
  </r>
  <r>
    <x v="4"/>
    <s v="Koramangala"/>
    <x v="0"/>
    <n v="4"/>
    <n v="817"/>
    <n v="1157"/>
    <n v="2"/>
    <n v="1997"/>
    <n v="2009"/>
    <s v="Apartment"/>
    <n v="1"/>
    <s v="East"/>
    <s v="Yes"/>
    <s v="Semi-Furnished"/>
    <n v="10"/>
    <n v="3"/>
    <s v="Koramangala Enclave"/>
    <n v="2"/>
    <s v="No"/>
    <n v="7718000"/>
    <x v="0"/>
    <s v="BRK-05"/>
    <x v="4"/>
    <s v="Tier B"/>
    <n v="1.4999999999999999E-2"/>
    <n v="115770"/>
    <n v="231540"/>
    <n v="115770"/>
  </r>
  <r>
    <x v="1"/>
    <s v="Rohini"/>
    <x v="0"/>
    <n v="2"/>
    <n v="2241"/>
    <n v="8953"/>
    <n v="1"/>
    <n v="2012"/>
    <n v="2020"/>
    <s v="Independent House"/>
    <n v="0"/>
    <s v="East"/>
    <s v="Yes"/>
    <s v="Semi-Furnished"/>
    <n v="2"/>
    <n v="4"/>
    <s v="Rohini Enclave"/>
    <n v="0"/>
    <s v="No"/>
    <n v="22665000"/>
    <x v="2"/>
    <s v="BRK-05"/>
    <x v="4"/>
    <s v="Tier B"/>
    <n v="1.4999999999999999E-2"/>
    <n v="0"/>
    <n v="0"/>
    <n v="0"/>
  </r>
  <r>
    <x v="3"/>
    <s v="Perambur"/>
    <x v="0"/>
    <n v="1"/>
    <n v="3982"/>
    <n v="7223"/>
    <n v="1"/>
    <n v="1985"/>
    <n v="1993"/>
    <s v="Villa"/>
    <n v="0"/>
    <s v="West"/>
    <s v="Yes"/>
    <s v="Furnished"/>
    <n v="10"/>
    <n v="0"/>
    <s v="Perambur Enclave"/>
    <n v="2"/>
    <s v="No"/>
    <n v="32186000"/>
    <x v="2"/>
    <s v="BRK-01"/>
    <x v="2"/>
    <s v="Tier A"/>
    <n v="0.02"/>
    <n v="0"/>
    <n v="0"/>
    <n v="0"/>
  </r>
  <r>
    <x v="2"/>
    <s v="Hinjewadi"/>
    <x v="0"/>
    <n v="3"/>
    <n v="4270"/>
    <n v="6893"/>
    <n v="3"/>
    <n v="2018"/>
    <n v="2020"/>
    <s v="Apartment"/>
    <n v="0"/>
    <s v="East"/>
    <s v="Yes"/>
    <s v="Unfurnished"/>
    <n v="3"/>
    <n v="4"/>
    <s v="Hinjewadi Enclave"/>
    <n v="1"/>
    <s v="No"/>
    <n v="36635000"/>
    <x v="0"/>
    <s v="BRK-01"/>
    <x v="2"/>
    <s v="Tier A"/>
    <n v="0.02"/>
    <n v="732700"/>
    <n v="1099050"/>
    <n v="366350"/>
  </r>
  <r>
    <x v="3"/>
    <s v="T Nagar"/>
    <x v="0"/>
    <n v="3"/>
    <n v="1973"/>
    <n v="3203"/>
    <n v="2"/>
    <n v="1953"/>
    <n v="1955"/>
    <s v="Independent House"/>
    <n v="0"/>
    <s v="East"/>
    <s v="No"/>
    <s v="Furnished"/>
    <n v="7"/>
    <n v="5"/>
    <s v="T Nagar Villa"/>
    <n v="1"/>
    <s v="No"/>
    <n v="16154000"/>
    <x v="1"/>
    <s v="BRK-02"/>
    <x v="0"/>
    <s v="Tier B"/>
    <n v="1.4999999999999999E-2"/>
    <n v="0"/>
    <n v="0"/>
    <n v="0"/>
  </r>
  <r>
    <x v="4"/>
    <s v="Whitefield"/>
    <x v="0"/>
    <n v="4"/>
    <n v="2560"/>
    <n v="4230"/>
    <n v="3"/>
    <n v="2008"/>
    <n v="2016"/>
    <s v="Apartment"/>
    <n v="1"/>
    <s v="East"/>
    <s v="Yes"/>
    <s v="Furnished"/>
    <n v="0"/>
    <n v="2"/>
    <s v="Whitefield Villa"/>
    <n v="2"/>
    <s v="Yes"/>
    <n v="23550000"/>
    <x v="1"/>
    <s v="BRK-04"/>
    <x v="3"/>
    <s v="Tier C"/>
    <n v="0.01"/>
    <n v="0"/>
    <n v="0"/>
    <n v="0"/>
  </r>
  <r>
    <x v="4"/>
    <s v="MG Road"/>
    <x v="1"/>
    <n v="1"/>
    <n v="3857"/>
    <n v="9201"/>
    <n v="2"/>
    <n v="2000"/>
    <n v="2004"/>
    <s v="Villa"/>
    <n v="0"/>
    <s v="East"/>
    <s v="No"/>
    <s v="Unfurnished"/>
    <n v="9"/>
    <n v="0"/>
    <s v="MG Road Heights"/>
    <n v="1"/>
    <s v="No"/>
    <n v="35048000"/>
    <x v="1"/>
    <s v="BRK-01"/>
    <x v="2"/>
    <s v="Tier A"/>
    <n v="0.02"/>
    <n v="0"/>
    <n v="0"/>
    <n v="0"/>
  </r>
  <r>
    <x v="0"/>
    <s v="Andheri"/>
    <x v="4"/>
    <n v="2"/>
    <n v="1137"/>
    <n v="9752"/>
    <n v="1"/>
    <n v="1980"/>
    <n v="1984"/>
    <s v="Villa"/>
    <n v="2"/>
    <s v="East"/>
    <s v="Yes"/>
    <s v="Semi-Furnished"/>
    <n v="5"/>
    <n v="0"/>
    <s v="Andheri Villa"/>
    <n v="3"/>
    <s v="Yes"/>
    <n v="13944000"/>
    <x v="1"/>
    <s v="BRK-05"/>
    <x v="4"/>
    <s v="Tier B"/>
    <n v="1.4999999999999999E-2"/>
    <n v="0"/>
    <n v="0"/>
    <n v="0"/>
  </r>
  <r>
    <x v="2"/>
    <s v="Baner"/>
    <x v="3"/>
    <n v="2"/>
    <n v="4790"/>
    <n v="5572"/>
    <n v="1"/>
    <n v="2007"/>
    <n v="2011"/>
    <s v="Builder Floor"/>
    <n v="2"/>
    <s v="South"/>
    <s v="Yes"/>
    <s v="Furnished"/>
    <n v="10"/>
    <n v="5"/>
    <s v="Baner Heights"/>
    <n v="0"/>
    <s v="Yes"/>
    <n v="41145000"/>
    <x v="0"/>
    <s v="BRK-02"/>
    <x v="0"/>
    <s v="Tier B"/>
    <n v="1.4999999999999999E-2"/>
    <n v="617175"/>
    <n v="1234350"/>
    <n v="617175"/>
  </r>
  <r>
    <x v="3"/>
    <s v="T Nagar"/>
    <x v="2"/>
    <n v="2"/>
    <n v="2205"/>
    <n v="3505"/>
    <n v="1"/>
    <n v="2014"/>
    <n v="2018"/>
    <s v="Villa"/>
    <n v="3"/>
    <s v="West"/>
    <s v="Yes"/>
    <s v="Unfurnished"/>
    <n v="4"/>
    <n v="3"/>
    <s v="T Nagar Heights"/>
    <n v="3"/>
    <s v="Yes"/>
    <n v="17890000"/>
    <x v="0"/>
    <s v="BRK-03"/>
    <x v="1"/>
    <s v="Tier A"/>
    <n v="0.02"/>
    <n v="357800"/>
    <n v="536700"/>
    <n v="178900"/>
  </r>
  <r>
    <x v="0"/>
    <s v="Bandra"/>
    <x v="1"/>
    <n v="1"/>
    <n v="2010"/>
    <n v="3940"/>
    <n v="3"/>
    <n v="2012"/>
    <n v="0"/>
    <s v="Villa"/>
    <n v="0"/>
    <s v="East"/>
    <s v="Yes"/>
    <s v="Semi-Furnished"/>
    <n v="3"/>
    <n v="1"/>
    <s v="Bandra Heights"/>
    <n v="2"/>
    <s v="No"/>
    <n v="24515000"/>
    <x v="1"/>
    <s v="BRK-03"/>
    <x v="1"/>
    <s v="Tier A"/>
    <n v="0.02"/>
    <n v="0"/>
    <n v="0"/>
    <n v="0"/>
  </r>
  <r>
    <x v="2"/>
    <s v="Viman Nagar"/>
    <x v="1"/>
    <n v="4"/>
    <n v="1609"/>
    <n v="4961"/>
    <n v="3"/>
    <n v="1982"/>
    <n v="2002"/>
    <s v="Apartment"/>
    <n v="2"/>
    <s v="East"/>
    <s v="No"/>
    <s v="Furnished"/>
    <n v="10"/>
    <n v="2"/>
    <s v="Viman Nagar Villa"/>
    <n v="0"/>
    <s v="No"/>
    <n v="14181500"/>
    <x v="1"/>
    <s v="BRK-03"/>
    <x v="1"/>
    <s v="Tier A"/>
    <n v="0.02"/>
    <n v="0"/>
    <n v="0"/>
    <n v="0"/>
  </r>
  <r>
    <x v="2"/>
    <s v="Aundh"/>
    <x v="3"/>
    <n v="2"/>
    <n v="1814"/>
    <n v="2787"/>
    <n v="1"/>
    <n v="1999"/>
    <n v="2023"/>
    <s v="Builder Floor"/>
    <n v="1"/>
    <s v="South"/>
    <s v="No"/>
    <s v="Unfurnished"/>
    <n v="10"/>
    <n v="1"/>
    <s v="Aundh Enclave"/>
    <n v="2"/>
    <s v="No"/>
    <n v="15729000"/>
    <x v="0"/>
    <s v="BRK-04"/>
    <x v="3"/>
    <s v="Tier C"/>
    <n v="0.01"/>
    <n v="157290"/>
    <n v="471870"/>
    <n v="314580"/>
  </r>
  <r>
    <x v="0"/>
    <s v="Bandra"/>
    <x v="1"/>
    <n v="3"/>
    <n v="2076"/>
    <n v="6312"/>
    <n v="1"/>
    <n v="1989"/>
    <n v="0"/>
    <s v="Apartment"/>
    <n v="1"/>
    <s v="East"/>
    <s v="Yes"/>
    <s v="Semi-Furnished"/>
    <n v="6"/>
    <n v="5"/>
    <s v="Bandra Enclave"/>
    <n v="3"/>
    <s v="No"/>
    <n v="25342000"/>
    <x v="1"/>
    <s v="BRK-03"/>
    <x v="1"/>
    <s v="Tier A"/>
    <n v="0.02"/>
    <n v="0"/>
    <n v="0"/>
    <n v="0"/>
  </r>
  <r>
    <x v="2"/>
    <s v="Hinjewadi"/>
    <x v="3"/>
    <n v="4"/>
    <n v="4894"/>
    <n v="9832"/>
    <n v="2"/>
    <n v="1981"/>
    <n v="1984"/>
    <s v="Builder Floor"/>
    <n v="0"/>
    <s v="North"/>
    <s v="Yes"/>
    <s v="Furnished"/>
    <n v="4"/>
    <n v="0"/>
    <s v="Hinjewadi Enclave"/>
    <n v="3"/>
    <s v="No"/>
    <n v="42104000"/>
    <x v="2"/>
    <s v="BRK-05"/>
    <x v="4"/>
    <s v="Tier B"/>
    <n v="1.4999999999999999E-2"/>
    <n v="0"/>
    <n v="0"/>
    <n v="0"/>
  </r>
  <r>
    <x v="2"/>
    <s v="Hinjewadi"/>
    <x v="2"/>
    <n v="1"/>
    <n v="3315"/>
    <n v="5128"/>
    <n v="3"/>
    <n v="1974"/>
    <n v="2000"/>
    <s v="Villa"/>
    <n v="0"/>
    <s v="East"/>
    <s v="No"/>
    <s v="Unfurnished"/>
    <n v="0"/>
    <n v="2"/>
    <s v="Hinjewadi Heights"/>
    <n v="0"/>
    <s v="No"/>
    <n v="28317500"/>
    <x v="2"/>
    <s v="BRK-04"/>
    <x v="3"/>
    <s v="Tier C"/>
    <n v="0.01"/>
    <n v="0"/>
    <n v="0"/>
    <n v="0"/>
  </r>
  <r>
    <x v="1"/>
    <s v="Saket"/>
    <x v="3"/>
    <n v="2"/>
    <n v="1285"/>
    <n v="1832"/>
    <n v="2"/>
    <n v="1972"/>
    <n v="0"/>
    <s v="Builder Floor"/>
    <n v="0"/>
    <s v="South"/>
    <s v="No"/>
    <s v="Unfurnished"/>
    <n v="8"/>
    <n v="2"/>
    <s v="Saket Enclave"/>
    <n v="0"/>
    <s v="No"/>
    <n v="13150000"/>
    <x v="1"/>
    <s v="BRK-05"/>
    <x v="4"/>
    <s v="Tier B"/>
    <n v="1.4999999999999999E-2"/>
    <n v="0"/>
    <n v="0"/>
    <n v="0"/>
  </r>
  <r>
    <x v="0"/>
    <s v="Bandra"/>
    <x v="4"/>
    <n v="1"/>
    <n v="3556"/>
    <n v="9160"/>
    <n v="2"/>
    <n v="1953"/>
    <n v="1956"/>
    <s v="Independent House"/>
    <n v="3"/>
    <s v="West"/>
    <s v="No"/>
    <s v="Furnished"/>
    <n v="0"/>
    <n v="4"/>
    <s v="Bandra Heights"/>
    <n v="0"/>
    <s v="No"/>
    <n v="42917000"/>
    <x v="2"/>
    <s v="BRK-01"/>
    <x v="2"/>
    <s v="Tier A"/>
    <n v="0.02"/>
    <n v="0"/>
    <n v="0"/>
    <n v="0"/>
  </r>
  <r>
    <x v="4"/>
    <s v="MG Road"/>
    <x v="4"/>
    <n v="3"/>
    <n v="499"/>
    <n v="5004"/>
    <n v="1"/>
    <n v="1980"/>
    <n v="2023"/>
    <s v="Independent House"/>
    <n v="0"/>
    <s v="North"/>
    <s v="No"/>
    <s v="Unfurnished"/>
    <n v="7"/>
    <n v="1"/>
    <s v="MG Road Heights"/>
    <n v="2"/>
    <s v="No"/>
    <n v="4731000"/>
    <x v="0"/>
    <s v="BRK-02"/>
    <x v="0"/>
    <s v="Tier B"/>
    <n v="1.4999999999999999E-2"/>
    <n v="70965"/>
    <n v="141930"/>
    <n v="70965"/>
  </r>
  <r>
    <x v="0"/>
    <s v="Powai"/>
    <x v="0"/>
    <n v="4"/>
    <n v="4170"/>
    <n v="8681"/>
    <n v="1"/>
    <n v="1997"/>
    <n v="2017"/>
    <s v="Villa"/>
    <n v="1"/>
    <s v="East"/>
    <s v="No"/>
    <s v="Semi-Furnished"/>
    <n v="2"/>
    <n v="4"/>
    <s v="Powai Villa"/>
    <n v="2"/>
    <s v="No"/>
    <n v="50360000"/>
    <x v="0"/>
    <s v="BRK-01"/>
    <x v="2"/>
    <s v="Tier A"/>
    <n v="0.02"/>
    <n v="1007200"/>
    <n v="1510800"/>
    <n v="503600"/>
  </r>
  <r>
    <x v="4"/>
    <s v="Indiranagar"/>
    <x v="4"/>
    <n v="4"/>
    <n v="4742"/>
    <n v="8132"/>
    <n v="2"/>
    <n v="2005"/>
    <n v="2006"/>
    <s v="Villa"/>
    <n v="1"/>
    <s v="East"/>
    <s v="No"/>
    <s v="Unfurnished"/>
    <n v="7"/>
    <n v="3"/>
    <s v="Indiranagar Residency"/>
    <n v="0"/>
    <s v="No"/>
    <n v="42938000"/>
    <x v="1"/>
    <s v="BRK-05"/>
    <x v="4"/>
    <s v="Tier B"/>
    <n v="1.4999999999999999E-2"/>
    <n v="0"/>
    <n v="0"/>
    <n v="0"/>
  </r>
  <r>
    <x v="2"/>
    <s v="Hinjewadi"/>
    <x v="1"/>
    <n v="3"/>
    <n v="4725"/>
    <n v="9958"/>
    <n v="3"/>
    <n v="1970"/>
    <n v="2023"/>
    <s v="Apartment"/>
    <n v="1"/>
    <s v="West"/>
    <s v="Yes"/>
    <s v="Semi-Furnished"/>
    <n v="1"/>
    <n v="4"/>
    <s v="Hinjewadi Heights"/>
    <n v="0"/>
    <s v="Yes"/>
    <n v="40637500"/>
    <x v="1"/>
    <s v="BRK-01"/>
    <x v="2"/>
    <s v="Tier A"/>
    <n v="0.02"/>
    <n v="0"/>
    <n v="0"/>
    <n v="0"/>
  </r>
  <r>
    <x v="4"/>
    <s v="HSR Layout"/>
    <x v="4"/>
    <n v="2"/>
    <n v="3043"/>
    <n v="7100"/>
    <n v="1"/>
    <n v="1991"/>
    <n v="2013"/>
    <s v="Independent House"/>
    <n v="3"/>
    <s v="South"/>
    <s v="No"/>
    <s v="Unfurnished"/>
    <n v="6"/>
    <n v="5"/>
    <s v="HSR Layout Heights"/>
    <n v="1"/>
    <s v="No"/>
    <n v="27582000"/>
    <x v="1"/>
    <s v="BRK-04"/>
    <x v="3"/>
    <s v="Tier C"/>
    <n v="0.01"/>
    <n v="0"/>
    <n v="0"/>
    <n v="0"/>
  </r>
  <r>
    <x v="1"/>
    <s v="Rohini"/>
    <x v="2"/>
    <n v="1"/>
    <n v="4356"/>
    <n v="5588"/>
    <n v="1"/>
    <n v="1989"/>
    <n v="2003"/>
    <s v="Independent House"/>
    <n v="2"/>
    <s v="South"/>
    <s v="Yes"/>
    <s v="Furnished"/>
    <n v="0"/>
    <n v="0"/>
    <s v="Rohini Heights"/>
    <n v="2"/>
    <s v="Yes"/>
    <n v="43840000"/>
    <x v="0"/>
    <s v="BRK-02"/>
    <x v="0"/>
    <s v="Tier B"/>
    <n v="1.4999999999999999E-2"/>
    <n v="657600"/>
    <n v="1315200"/>
    <n v="657600"/>
  </r>
  <r>
    <x v="1"/>
    <s v="Rohini"/>
    <x v="2"/>
    <n v="1"/>
    <n v="2376"/>
    <n v="6133"/>
    <n v="1"/>
    <n v="2004"/>
    <n v="2014"/>
    <s v="Independent House"/>
    <n v="0"/>
    <s v="East"/>
    <s v="No"/>
    <s v="Semi-Furnished"/>
    <n v="5"/>
    <n v="1"/>
    <s v="Rohini Enclave"/>
    <n v="3"/>
    <s v="No"/>
    <n v="23905000"/>
    <x v="0"/>
    <s v="BRK-04"/>
    <x v="3"/>
    <s v="Tier C"/>
    <n v="0.01"/>
    <n v="239050"/>
    <n v="717150"/>
    <n v="478100"/>
  </r>
  <r>
    <x v="2"/>
    <s v="Aundh"/>
    <x v="2"/>
    <n v="4"/>
    <n v="558"/>
    <n v="8799"/>
    <n v="2"/>
    <n v="1994"/>
    <n v="1994"/>
    <s v="Villa"/>
    <n v="3"/>
    <s v="West"/>
    <s v="Yes"/>
    <s v="Semi-Furnished"/>
    <n v="9"/>
    <n v="4"/>
    <s v="Aundh Enclave"/>
    <n v="3"/>
    <s v="Yes"/>
    <n v="5073000"/>
    <x v="0"/>
    <s v="BRK-05"/>
    <x v="4"/>
    <s v="Tier B"/>
    <n v="1.4999999999999999E-2"/>
    <n v="76095"/>
    <n v="152190"/>
    <n v="76095"/>
  </r>
  <r>
    <x v="3"/>
    <s v="T Nagar"/>
    <x v="3"/>
    <n v="1"/>
    <n v="4190"/>
    <n v="6305"/>
    <n v="3"/>
    <n v="1961"/>
    <n v="1970"/>
    <s v="Apartment"/>
    <n v="0"/>
    <s v="West"/>
    <s v="No"/>
    <s v="Unfurnished"/>
    <n v="5"/>
    <n v="1"/>
    <s v="T Nagar Villa"/>
    <n v="0"/>
    <s v="No"/>
    <n v="33810000"/>
    <x v="1"/>
    <s v="BRK-01"/>
    <x v="2"/>
    <s v="Tier A"/>
    <n v="0.02"/>
    <n v="0"/>
    <n v="0"/>
    <n v="0"/>
  </r>
  <r>
    <x v="4"/>
    <s v="HSR Layout"/>
    <x v="3"/>
    <n v="2"/>
    <n v="3663"/>
    <n v="4490"/>
    <n v="1"/>
    <n v="1966"/>
    <n v="2002"/>
    <s v="Builder Floor"/>
    <n v="3"/>
    <s v="North"/>
    <s v="Yes"/>
    <s v="Semi-Furnished"/>
    <n v="4"/>
    <n v="5"/>
    <s v="HSR Layout Villa"/>
    <n v="0"/>
    <s v="No"/>
    <n v="33272000"/>
    <x v="2"/>
    <s v="BRK-03"/>
    <x v="1"/>
    <s v="Tier A"/>
    <n v="0.02"/>
    <n v="0"/>
    <n v="0"/>
    <n v="0"/>
  </r>
  <r>
    <x v="2"/>
    <s v="Kothrud"/>
    <x v="1"/>
    <n v="4"/>
    <n v="1724"/>
    <n v="9175"/>
    <n v="2"/>
    <n v="1970"/>
    <n v="1971"/>
    <s v="Villa"/>
    <n v="2"/>
    <s v="West"/>
    <s v="Yes"/>
    <s v="Unfurnished"/>
    <n v="2"/>
    <n v="0"/>
    <s v="Kothrud Residency"/>
    <n v="3"/>
    <s v="No"/>
    <n v="15134000"/>
    <x v="2"/>
    <s v="BRK-01"/>
    <x v="2"/>
    <s v="Tier A"/>
    <n v="0.02"/>
    <n v="0"/>
    <n v="0"/>
    <n v="0"/>
  </r>
  <r>
    <x v="1"/>
    <s v="Dwarka"/>
    <x v="3"/>
    <n v="2"/>
    <n v="3386"/>
    <n v="3795"/>
    <n v="2"/>
    <n v="1973"/>
    <n v="1986"/>
    <s v="Villa"/>
    <n v="3"/>
    <s v="South"/>
    <s v="No"/>
    <s v="Unfurnished"/>
    <n v="1"/>
    <n v="0"/>
    <s v="Dwarka Residency"/>
    <n v="1"/>
    <s v="Yes"/>
    <n v="34225000"/>
    <x v="0"/>
    <s v="BRK-03"/>
    <x v="1"/>
    <s v="Tier A"/>
    <n v="0.02"/>
    <n v="684500"/>
    <n v="1026750"/>
    <n v="342250"/>
  </r>
  <r>
    <x v="2"/>
    <s v="Aundh"/>
    <x v="2"/>
    <n v="4"/>
    <n v="4364"/>
    <n v="7417"/>
    <n v="3"/>
    <n v="2005"/>
    <n v="0"/>
    <s v="Villa"/>
    <n v="0"/>
    <s v="West"/>
    <s v="No"/>
    <s v="Furnished"/>
    <n v="4"/>
    <n v="3"/>
    <s v="Aundh Villa"/>
    <n v="0"/>
    <s v="Yes"/>
    <n v="37449000"/>
    <x v="1"/>
    <s v="BRK-01"/>
    <x v="2"/>
    <s v="Tier A"/>
    <n v="0.02"/>
    <n v="0"/>
    <n v="0"/>
    <n v="0"/>
  </r>
  <r>
    <x v="0"/>
    <s v="Juhu"/>
    <x v="0"/>
    <n v="4"/>
    <n v="3587"/>
    <n v="7791"/>
    <n v="1"/>
    <n v="1967"/>
    <n v="1973"/>
    <s v="Builder Floor"/>
    <n v="1"/>
    <s v="North"/>
    <s v="Yes"/>
    <s v="Unfurnished"/>
    <n v="3"/>
    <n v="3"/>
    <s v="Juhu Enclave"/>
    <n v="2"/>
    <s v="No"/>
    <n v="43389000"/>
    <x v="0"/>
    <s v="BRK-05"/>
    <x v="4"/>
    <s v="Tier B"/>
    <n v="1.4999999999999999E-2"/>
    <n v="650835"/>
    <n v="1301670"/>
    <n v="650835"/>
  </r>
  <r>
    <x v="0"/>
    <s v="Bandra"/>
    <x v="1"/>
    <n v="4"/>
    <n v="1249"/>
    <n v="1950"/>
    <n v="1"/>
    <n v="1975"/>
    <n v="1983"/>
    <s v="Villa"/>
    <n v="1"/>
    <s v="West"/>
    <s v="Yes"/>
    <s v="Semi-Furnished"/>
    <n v="0"/>
    <n v="4"/>
    <s v="Bandra Heights"/>
    <n v="0"/>
    <s v="No"/>
    <n v="15403000"/>
    <x v="2"/>
    <s v="BRK-04"/>
    <x v="3"/>
    <s v="Tier C"/>
    <n v="0.01"/>
    <n v="0"/>
    <n v="0"/>
    <n v="0"/>
  </r>
  <r>
    <x v="2"/>
    <s v="Aundh"/>
    <x v="2"/>
    <n v="3"/>
    <n v="1422"/>
    <n v="6707"/>
    <n v="1"/>
    <n v="2011"/>
    <n v="2016"/>
    <s v="Apartment"/>
    <n v="3"/>
    <s v="West"/>
    <s v="No"/>
    <s v="Furnished"/>
    <n v="1"/>
    <n v="1"/>
    <s v="Aundh Villa"/>
    <n v="0"/>
    <s v="Yes"/>
    <n v="12372000"/>
    <x v="1"/>
    <s v="BRK-02"/>
    <x v="0"/>
    <s v="Tier B"/>
    <n v="1.4999999999999999E-2"/>
    <n v="0"/>
    <n v="0"/>
    <n v="0"/>
  </r>
  <r>
    <x v="1"/>
    <s v="Lajpat Nagar"/>
    <x v="4"/>
    <n v="1"/>
    <n v="4213"/>
    <n v="8468"/>
    <n v="1"/>
    <n v="2022"/>
    <n v="2022"/>
    <s v="Apartment"/>
    <n v="3"/>
    <s v="East"/>
    <s v="Yes"/>
    <s v="Semi-Furnished"/>
    <n v="6"/>
    <n v="0"/>
    <s v="Lajpat Nagar Villa"/>
    <n v="0"/>
    <s v="No"/>
    <n v="42305000"/>
    <x v="1"/>
    <s v="BRK-04"/>
    <x v="3"/>
    <s v="Tier C"/>
    <n v="0.01"/>
    <n v="0"/>
    <n v="0"/>
    <n v="0"/>
  </r>
  <r>
    <x v="3"/>
    <s v="T Nagar"/>
    <x v="4"/>
    <n v="3"/>
    <n v="3501"/>
    <n v="7235"/>
    <n v="3"/>
    <n v="1978"/>
    <n v="2024"/>
    <s v="Apartment"/>
    <n v="3"/>
    <s v="West"/>
    <s v="Yes"/>
    <s v="Furnished"/>
    <n v="9"/>
    <n v="4"/>
    <s v="T Nagar Enclave"/>
    <n v="3"/>
    <s v="Yes"/>
    <n v="28453000"/>
    <x v="1"/>
    <s v="BRK-03"/>
    <x v="1"/>
    <s v="Tier A"/>
    <n v="0.02"/>
    <n v="0"/>
    <n v="0"/>
    <n v="0"/>
  </r>
  <r>
    <x v="3"/>
    <s v="Perambur"/>
    <x v="2"/>
    <n v="4"/>
    <n v="843"/>
    <n v="2283"/>
    <n v="3"/>
    <n v="1968"/>
    <n v="2016"/>
    <s v="Builder Floor"/>
    <n v="2"/>
    <s v="East"/>
    <s v="No"/>
    <s v="Semi-Furnished"/>
    <n v="7"/>
    <n v="5"/>
    <s v="Perambur Enclave"/>
    <n v="2"/>
    <s v="No"/>
    <n v="7004000"/>
    <x v="1"/>
    <s v="BRK-04"/>
    <x v="3"/>
    <s v="Tier C"/>
    <n v="0.01"/>
    <n v="0"/>
    <n v="0"/>
    <n v="0"/>
  </r>
  <r>
    <x v="4"/>
    <s v="MG Road"/>
    <x v="1"/>
    <n v="4"/>
    <n v="3462"/>
    <n v="9716"/>
    <n v="3"/>
    <n v="2025"/>
    <n v="0"/>
    <s v="Independent House"/>
    <n v="2"/>
    <s v="North"/>
    <s v="No"/>
    <s v="Semi-Furnished"/>
    <n v="8"/>
    <n v="4"/>
    <s v="MG Road Heights"/>
    <n v="2"/>
    <s v="No"/>
    <n v="31618000"/>
    <x v="1"/>
    <s v="BRK-02"/>
    <x v="0"/>
    <s v="Tier B"/>
    <n v="1.4999999999999999E-2"/>
    <n v="0"/>
    <n v="0"/>
    <n v="0"/>
  </r>
  <r>
    <x v="4"/>
    <s v="Indiranagar"/>
    <x v="1"/>
    <n v="2"/>
    <n v="2864"/>
    <n v="5569"/>
    <n v="1"/>
    <n v="2022"/>
    <n v="2022"/>
    <s v="Villa"/>
    <n v="2"/>
    <s v="South"/>
    <s v="No"/>
    <s v="Unfurnished"/>
    <n v="10"/>
    <n v="3"/>
    <s v="Indiranagar Enclave"/>
    <n v="2"/>
    <s v="No"/>
    <n v="26136000"/>
    <x v="2"/>
    <s v="BRK-04"/>
    <x v="3"/>
    <s v="Tier C"/>
    <n v="0.01"/>
    <n v="0"/>
    <n v="0"/>
    <n v="0"/>
  </r>
  <r>
    <x v="1"/>
    <s v="Lajpat Nagar"/>
    <x v="4"/>
    <n v="3"/>
    <n v="1856"/>
    <n v="7534"/>
    <n v="3"/>
    <n v="1996"/>
    <n v="2017"/>
    <s v="Villa"/>
    <n v="1"/>
    <s v="West"/>
    <s v="Yes"/>
    <s v="Furnished"/>
    <n v="4"/>
    <n v="5"/>
    <s v="Lajpat Nagar Residency"/>
    <n v="1"/>
    <s v="No"/>
    <n v="18925000"/>
    <x v="0"/>
    <s v="BRK-02"/>
    <x v="0"/>
    <s v="Tier B"/>
    <n v="1.4999999999999999E-2"/>
    <n v="283875"/>
    <n v="567750"/>
    <n v="283875"/>
  </r>
  <r>
    <x v="1"/>
    <s v="Vasant Kunj"/>
    <x v="0"/>
    <n v="2"/>
    <n v="3508"/>
    <n v="7525"/>
    <n v="3"/>
    <n v="1984"/>
    <n v="2019"/>
    <s v="Independent House"/>
    <n v="2"/>
    <s v="South"/>
    <s v="No"/>
    <s v="Unfurnished"/>
    <n v="1"/>
    <n v="2"/>
    <s v="Vasant Kunj Heights"/>
    <n v="3"/>
    <s v="No"/>
    <n v="35395000"/>
    <x v="1"/>
    <s v="BRK-04"/>
    <x v="3"/>
    <s v="Tier C"/>
    <n v="0.01"/>
    <n v="0"/>
    <n v="0"/>
    <n v="0"/>
  </r>
  <r>
    <x v="0"/>
    <s v="Andheri"/>
    <x v="4"/>
    <n v="3"/>
    <n v="4355"/>
    <n v="8130"/>
    <n v="3"/>
    <n v="2024"/>
    <n v="2024"/>
    <s v="Independent House"/>
    <n v="1"/>
    <s v="East"/>
    <s v="Yes"/>
    <s v="Semi-Furnished"/>
    <n v="10"/>
    <n v="3"/>
    <s v="Andheri Heights"/>
    <n v="3"/>
    <s v="No"/>
    <n v="52580000"/>
    <x v="1"/>
    <s v="BRK-05"/>
    <x v="4"/>
    <s v="Tier B"/>
    <n v="1.4999999999999999E-2"/>
    <n v="0"/>
    <n v="0"/>
    <n v="0"/>
  </r>
  <r>
    <x v="3"/>
    <s v="Adyar"/>
    <x v="2"/>
    <n v="2"/>
    <n v="1783"/>
    <n v="2839"/>
    <n v="2"/>
    <n v="1956"/>
    <n v="1960"/>
    <s v="Builder Floor"/>
    <n v="2"/>
    <s v="North"/>
    <s v="No"/>
    <s v="Furnished"/>
    <n v="1"/>
    <n v="5"/>
    <s v="Adyar Villa"/>
    <n v="1"/>
    <s v="Yes"/>
    <n v="14554000"/>
    <x v="1"/>
    <s v="BRK-05"/>
    <x v="4"/>
    <s v="Tier B"/>
    <n v="1.4999999999999999E-2"/>
    <n v="0"/>
    <n v="0"/>
    <n v="0"/>
  </r>
  <r>
    <x v="2"/>
    <s v="Kothrud"/>
    <x v="2"/>
    <n v="1"/>
    <n v="3065"/>
    <n v="8229"/>
    <n v="3"/>
    <n v="1985"/>
    <n v="2002"/>
    <s v="Independent House"/>
    <n v="1"/>
    <s v="South"/>
    <s v="Yes"/>
    <s v="Unfurnished"/>
    <n v="9"/>
    <n v="4"/>
    <s v="Kothrud Enclave"/>
    <n v="2"/>
    <s v="Yes"/>
    <n v="26297500"/>
    <x v="1"/>
    <s v="BRK-03"/>
    <x v="1"/>
    <s v="Tier A"/>
    <n v="0.02"/>
    <n v="0"/>
    <n v="0"/>
    <n v="0"/>
  </r>
  <r>
    <x v="1"/>
    <s v="Dwarka"/>
    <x v="1"/>
    <n v="3"/>
    <n v="2101"/>
    <n v="3558"/>
    <n v="2"/>
    <n v="1976"/>
    <n v="2009"/>
    <s v="Builder Floor"/>
    <n v="1"/>
    <s v="North"/>
    <s v="No"/>
    <s v="Semi-Furnished"/>
    <n v="1"/>
    <n v="0"/>
    <s v="Dwarka Residency"/>
    <n v="3"/>
    <s v="Yes"/>
    <n v="21485000"/>
    <x v="0"/>
    <s v="BRK-03"/>
    <x v="1"/>
    <s v="Tier A"/>
    <n v="0.02"/>
    <n v="429700"/>
    <n v="644550"/>
    <n v="214850"/>
  </r>
  <r>
    <x v="1"/>
    <s v="Vasant Kunj"/>
    <x v="1"/>
    <n v="2"/>
    <n v="1721"/>
    <n v="5381"/>
    <n v="2"/>
    <n v="1963"/>
    <n v="0"/>
    <s v="Apartment"/>
    <n v="2"/>
    <s v="West"/>
    <s v="No"/>
    <s v="Semi-Furnished"/>
    <n v="3"/>
    <n v="1"/>
    <s v="Vasant Kunj Heights"/>
    <n v="0"/>
    <s v="No"/>
    <n v="17560000"/>
    <x v="1"/>
    <s v="BRK-05"/>
    <x v="4"/>
    <s v="Tier B"/>
    <n v="1.4999999999999999E-2"/>
    <n v="0"/>
    <n v="0"/>
    <n v="0"/>
  </r>
  <r>
    <x v="3"/>
    <s v="Anna Nagar"/>
    <x v="4"/>
    <n v="4"/>
    <n v="3414"/>
    <n v="3652"/>
    <n v="3"/>
    <n v="1984"/>
    <n v="1996"/>
    <s v="Independent House"/>
    <n v="3"/>
    <s v="East"/>
    <s v="No"/>
    <s v="Furnished"/>
    <n v="7"/>
    <n v="4"/>
    <s v="Anna Nagar Villa"/>
    <n v="3"/>
    <s v="Yes"/>
    <n v="27762000"/>
    <x v="0"/>
    <s v="BRK-02"/>
    <x v="0"/>
    <s v="Tier B"/>
    <n v="1.4999999999999999E-2"/>
    <n v="416430"/>
    <n v="832860"/>
    <n v="416430"/>
  </r>
  <r>
    <x v="4"/>
    <s v="Koramangala"/>
    <x v="2"/>
    <n v="4"/>
    <n v="1679"/>
    <n v="8348"/>
    <n v="1"/>
    <n v="1977"/>
    <n v="1996"/>
    <s v="Villa"/>
    <n v="3"/>
    <s v="East"/>
    <s v="Yes"/>
    <s v="Unfurnished"/>
    <n v="4"/>
    <n v="1"/>
    <s v="Koramangala Villa"/>
    <n v="3"/>
    <s v="Yes"/>
    <n v="15421000"/>
    <x v="2"/>
    <s v="BRK-04"/>
    <x v="3"/>
    <s v="Tier C"/>
    <n v="0.01"/>
    <n v="0"/>
    <n v="0"/>
    <n v="0"/>
  </r>
  <r>
    <x v="2"/>
    <s v="Hinjewadi"/>
    <x v="2"/>
    <n v="4"/>
    <n v="479"/>
    <n v="6900"/>
    <n v="3"/>
    <n v="1994"/>
    <n v="2016"/>
    <s v="Independent House"/>
    <n v="0"/>
    <s v="West"/>
    <s v="No"/>
    <s v="Unfurnished"/>
    <n v="7"/>
    <n v="3"/>
    <s v="Hinjewadi Heights"/>
    <n v="3"/>
    <s v="No"/>
    <n v="4346500"/>
    <x v="2"/>
    <s v="BRK-04"/>
    <x v="3"/>
    <s v="Tier C"/>
    <n v="0.01"/>
    <n v="0"/>
    <n v="0"/>
    <n v="0"/>
  </r>
  <r>
    <x v="4"/>
    <s v="Koramangala"/>
    <x v="0"/>
    <n v="3"/>
    <n v="2428"/>
    <n v="6398"/>
    <n v="1"/>
    <n v="1971"/>
    <n v="1984"/>
    <s v="Apartment"/>
    <n v="0"/>
    <s v="West"/>
    <s v="No"/>
    <s v="Furnished"/>
    <n v="3"/>
    <n v="0"/>
    <s v="Koramangala Residency"/>
    <n v="0"/>
    <s v="Yes"/>
    <n v="22237000"/>
    <x v="1"/>
    <s v="BRK-01"/>
    <x v="2"/>
    <s v="Tier A"/>
    <n v="0.02"/>
    <n v="0"/>
    <n v="0"/>
    <n v="0"/>
  </r>
  <r>
    <x v="4"/>
    <s v="Whitefield"/>
    <x v="1"/>
    <n v="3"/>
    <n v="4011"/>
    <n v="5281"/>
    <n v="2"/>
    <n v="1968"/>
    <n v="2021"/>
    <s v="Independent House"/>
    <n v="2"/>
    <s v="South"/>
    <s v="Yes"/>
    <s v="Semi-Furnished"/>
    <n v="4"/>
    <n v="1"/>
    <s v="Whitefield Heights"/>
    <n v="1"/>
    <s v="Yes"/>
    <n v="36569000"/>
    <x v="1"/>
    <s v="BRK-04"/>
    <x v="3"/>
    <s v="Tier C"/>
    <n v="0.01"/>
    <n v="0"/>
    <n v="0"/>
    <n v="0"/>
  </r>
  <r>
    <x v="2"/>
    <s v="Kothrud"/>
    <x v="1"/>
    <n v="2"/>
    <n v="2661"/>
    <n v="7199"/>
    <n v="2"/>
    <n v="2004"/>
    <n v="2008"/>
    <s v="Apartment"/>
    <n v="0"/>
    <s v="South"/>
    <s v="Yes"/>
    <s v="Furnished"/>
    <n v="1"/>
    <n v="2"/>
    <s v="Kothrud Residency"/>
    <n v="0"/>
    <s v="No"/>
    <n v="23068500"/>
    <x v="2"/>
    <s v="BRK-03"/>
    <x v="1"/>
    <s v="Tier A"/>
    <n v="0.02"/>
    <n v="0"/>
    <n v="0"/>
    <n v="0"/>
  </r>
  <r>
    <x v="2"/>
    <s v="Viman Nagar"/>
    <x v="4"/>
    <n v="2"/>
    <n v="4671"/>
    <n v="6251"/>
    <n v="1"/>
    <n v="1951"/>
    <n v="1991"/>
    <s v="Apartment"/>
    <n v="2"/>
    <s v="North"/>
    <s v="Yes"/>
    <s v="Semi-Furnished"/>
    <n v="2"/>
    <n v="1"/>
    <s v="Viman Nagar Heights"/>
    <n v="3"/>
    <s v="Yes"/>
    <n v="40003500"/>
    <x v="0"/>
    <s v="BRK-01"/>
    <x v="2"/>
    <s v="Tier A"/>
    <n v="0.02"/>
    <n v="800070"/>
    <n v="1200105"/>
    <n v="400035"/>
  </r>
  <r>
    <x v="1"/>
    <s v="Rohini"/>
    <x v="1"/>
    <n v="3"/>
    <n v="2587"/>
    <n v="6425"/>
    <n v="1"/>
    <n v="2008"/>
    <n v="2012"/>
    <s v="Builder Floor"/>
    <n v="1"/>
    <s v="South"/>
    <s v="Yes"/>
    <s v="Furnished"/>
    <n v="6"/>
    <n v="1"/>
    <s v="Rohini Heights"/>
    <n v="2"/>
    <s v="No"/>
    <n v="26360000"/>
    <x v="1"/>
    <s v="BRK-02"/>
    <x v="0"/>
    <s v="Tier B"/>
    <n v="1.4999999999999999E-2"/>
    <n v="0"/>
    <n v="0"/>
    <n v="0"/>
  </r>
  <r>
    <x v="2"/>
    <s v="Baner"/>
    <x v="3"/>
    <n v="4"/>
    <n v="4601"/>
    <n v="8473"/>
    <n v="3"/>
    <n v="2016"/>
    <n v="2020"/>
    <s v="Independent House"/>
    <n v="2"/>
    <s v="West"/>
    <s v="Yes"/>
    <s v="Unfurnished"/>
    <n v="7"/>
    <n v="1"/>
    <s v="Baner Heights"/>
    <n v="1"/>
    <s v="Yes"/>
    <n v="39578500"/>
    <x v="0"/>
    <s v="BRK-05"/>
    <x v="4"/>
    <s v="Tier B"/>
    <n v="1.4999999999999999E-2"/>
    <n v="593677.5"/>
    <n v="1187355"/>
    <n v="593677.5"/>
  </r>
  <r>
    <x v="2"/>
    <s v="Viman Nagar"/>
    <x v="0"/>
    <n v="1"/>
    <n v="3678"/>
    <n v="6862"/>
    <n v="2"/>
    <n v="1988"/>
    <n v="2010"/>
    <s v="Builder Floor"/>
    <n v="2"/>
    <s v="West"/>
    <s v="Yes"/>
    <s v="Furnished"/>
    <n v="3"/>
    <n v="3"/>
    <s v="Viman Nagar Residency"/>
    <n v="3"/>
    <s v="Yes"/>
    <n v="31678000"/>
    <x v="0"/>
    <s v="BRK-04"/>
    <x v="3"/>
    <s v="Tier C"/>
    <n v="0.01"/>
    <n v="316780"/>
    <n v="950340"/>
    <n v="633560"/>
  </r>
  <r>
    <x v="4"/>
    <s v="MG Road"/>
    <x v="4"/>
    <n v="2"/>
    <n v="434"/>
    <n v="4204"/>
    <n v="2"/>
    <n v="1982"/>
    <n v="2012"/>
    <s v="Independent House"/>
    <n v="3"/>
    <s v="West"/>
    <s v="No"/>
    <s v="Furnished"/>
    <n v="7"/>
    <n v="1"/>
    <s v="MG Road Villa"/>
    <n v="0"/>
    <s v="Yes"/>
    <n v="4231000"/>
    <x v="0"/>
    <s v="BRK-03"/>
    <x v="1"/>
    <s v="Tier A"/>
    <n v="0.02"/>
    <n v="84620"/>
    <n v="126930"/>
    <n v="42310"/>
  </r>
  <r>
    <x v="1"/>
    <s v="Dwarka"/>
    <x v="0"/>
    <n v="3"/>
    <n v="735"/>
    <n v="6528"/>
    <n v="2"/>
    <n v="1999"/>
    <n v="2018"/>
    <s v="Independent House"/>
    <n v="0"/>
    <s v="East"/>
    <s v="No"/>
    <s v="Unfurnished"/>
    <n v="8"/>
    <n v="3"/>
    <s v="Dwarka Heights"/>
    <n v="3"/>
    <s v="Yes"/>
    <n v="7725000"/>
    <x v="1"/>
    <s v="BRK-03"/>
    <x v="1"/>
    <s v="Tier A"/>
    <n v="0.02"/>
    <n v="0"/>
    <n v="0"/>
    <n v="0"/>
  </r>
  <r>
    <x v="4"/>
    <s v="Indiranagar"/>
    <x v="4"/>
    <n v="3"/>
    <n v="4451"/>
    <n v="5860"/>
    <n v="1"/>
    <n v="1962"/>
    <n v="1979"/>
    <s v="Villa"/>
    <n v="0"/>
    <s v="North"/>
    <s v="Yes"/>
    <s v="Unfurnished"/>
    <n v="8"/>
    <n v="2"/>
    <s v="Indiranagar Heights"/>
    <n v="3"/>
    <s v="No"/>
    <n v="40339000"/>
    <x v="2"/>
    <s v="BRK-03"/>
    <x v="1"/>
    <s v="Tier A"/>
    <n v="0.02"/>
    <n v="0"/>
    <n v="0"/>
    <n v="0"/>
  </r>
  <r>
    <x v="4"/>
    <s v="HSR Layout"/>
    <x v="3"/>
    <n v="3"/>
    <n v="2975"/>
    <n v="5359"/>
    <n v="2"/>
    <n v="1956"/>
    <n v="2021"/>
    <s v="Builder Floor"/>
    <n v="3"/>
    <s v="West"/>
    <s v="No"/>
    <s v="Unfurnished"/>
    <n v="0"/>
    <n v="5"/>
    <s v="HSR Layout Heights"/>
    <n v="1"/>
    <s v="No"/>
    <n v="27120000"/>
    <x v="0"/>
    <s v="BRK-03"/>
    <x v="1"/>
    <s v="Tier A"/>
    <n v="0.02"/>
    <n v="542400"/>
    <n v="813600"/>
    <n v="271200"/>
  </r>
  <r>
    <x v="4"/>
    <s v="MG Road"/>
    <x v="0"/>
    <n v="2"/>
    <n v="1464"/>
    <n v="4730"/>
    <n v="1"/>
    <n v="1999"/>
    <n v="2006"/>
    <s v="Independent House"/>
    <n v="1"/>
    <s v="North"/>
    <s v="Yes"/>
    <s v="Semi-Furnished"/>
    <n v="0"/>
    <n v="1"/>
    <s v="MG Road Residency"/>
    <n v="3"/>
    <s v="Yes"/>
    <n v="13526000"/>
    <x v="0"/>
    <s v="BRK-01"/>
    <x v="2"/>
    <s v="Tier A"/>
    <n v="0.02"/>
    <n v="270520"/>
    <n v="405780"/>
    <n v="135260"/>
  </r>
  <r>
    <x v="3"/>
    <s v="Velachery"/>
    <x v="3"/>
    <n v="3"/>
    <n v="2025"/>
    <n v="2079"/>
    <n v="1"/>
    <n v="1970"/>
    <n v="2023"/>
    <s v="Builder Floor"/>
    <n v="2"/>
    <s v="West"/>
    <s v="Yes"/>
    <s v="Furnished"/>
    <n v="7"/>
    <n v="1"/>
    <s v="Velachery Villa"/>
    <n v="0"/>
    <s v="Yes"/>
    <n v="16660000"/>
    <x v="0"/>
    <s v="BRK-01"/>
    <x v="2"/>
    <s v="Tier A"/>
    <n v="0.02"/>
    <n v="333200"/>
    <n v="499800"/>
    <n v="166600"/>
  </r>
  <r>
    <x v="3"/>
    <s v="Adyar"/>
    <x v="1"/>
    <n v="3"/>
    <n v="4141"/>
    <n v="6305"/>
    <n v="3"/>
    <n v="2021"/>
    <n v="2024"/>
    <s v="Villa"/>
    <n v="2"/>
    <s v="South"/>
    <s v="No"/>
    <s v="Unfurnished"/>
    <n v="3"/>
    <n v="1"/>
    <s v="Adyar Heights"/>
    <n v="3"/>
    <s v="No"/>
    <n v="33573000"/>
    <x v="2"/>
    <s v="BRK-05"/>
    <x v="4"/>
    <s v="Tier B"/>
    <n v="1.4999999999999999E-2"/>
    <n v="0"/>
    <n v="0"/>
    <n v="0"/>
  </r>
  <r>
    <x v="4"/>
    <s v="Indiranagar"/>
    <x v="1"/>
    <n v="3"/>
    <n v="4386"/>
    <n v="7751"/>
    <n v="1"/>
    <n v="2025"/>
    <n v="2025"/>
    <s v="Villa"/>
    <n v="0"/>
    <s v="South"/>
    <s v="Yes"/>
    <s v="Furnished"/>
    <n v="3"/>
    <n v="3"/>
    <s v="Indiranagar Residency"/>
    <n v="0"/>
    <s v="No"/>
    <n v="39934000"/>
    <x v="0"/>
    <s v="BRK-05"/>
    <x v="4"/>
    <s v="Tier B"/>
    <n v="1.4999999999999999E-2"/>
    <n v="599010"/>
    <n v="1198020"/>
    <n v="599010"/>
  </r>
  <r>
    <x v="3"/>
    <s v="Anna Nagar"/>
    <x v="3"/>
    <n v="3"/>
    <n v="2750"/>
    <n v="3464"/>
    <n v="1"/>
    <n v="1970"/>
    <n v="2008"/>
    <s v="Independent House"/>
    <n v="0"/>
    <s v="East"/>
    <s v="Yes"/>
    <s v="Semi-Furnished"/>
    <n v="6"/>
    <n v="3"/>
    <s v="Anna Nagar Residency"/>
    <n v="3"/>
    <s v="No"/>
    <n v="22380000"/>
    <x v="0"/>
    <s v="BRK-02"/>
    <x v="0"/>
    <s v="Tier B"/>
    <n v="1.4999999999999999E-2"/>
    <n v="335700"/>
    <n v="671400"/>
    <n v="335700"/>
  </r>
  <r>
    <x v="0"/>
    <s v="Juhu"/>
    <x v="0"/>
    <n v="1"/>
    <n v="2823"/>
    <n v="4803"/>
    <n v="2"/>
    <n v="2012"/>
    <n v="2025"/>
    <s v="Independent House"/>
    <n v="1"/>
    <s v="West"/>
    <s v="No"/>
    <s v="Furnished"/>
    <n v="4"/>
    <n v="1"/>
    <s v="Juhu Residency"/>
    <n v="2"/>
    <s v="Yes"/>
    <n v="34251000"/>
    <x v="1"/>
    <s v="BRK-01"/>
    <x v="2"/>
    <s v="Tier A"/>
    <n v="0.02"/>
    <n v="0"/>
    <n v="0"/>
    <n v="0"/>
  </r>
  <r>
    <x v="2"/>
    <s v="Viman Nagar"/>
    <x v="1"/>
    <n v="4"/>
    <n v="978"/>
    <n v="2677"/>
    <n v="1"/>
    <n v="1960"/>
    <n v="1960"/>
    <s v="Apartment"/>
    <n v="3"/>
    <s v="West"/>
    <s v="Yes"/>
    <s v="Unfurnished"/>
    <n v="10"/>
    <n v="1"/>
    <s v="Viman Nagar Heights"/>
    <n v="0"/>
    <s v="No"/>
    <n v="8728000"/>
    <x v="0"/>
    <s v="BRK-04"/>
    <x v="3"/>
    <s v="Tier C"/>
    <n v="0.01"/>
    <n v="87280"/>
    <n v="261840"/>
    <n v="174560"/>
  </r>
  <r>
    <x v="1"/>
    <s v="Dwarka"/>
    <x v="4"/>
    <n v="3"/>
    <n v="3304"/>
    <n v="8914"/>
    <n v="3"/>
    <n v="1995"/>
    <n v="1999"/>
    <s v="Builder Floor"/>
    <n v="1"/>
    <s v="East"/>
    <s v="No"/>
    <s v="Furnished"/>
    <n v="0"/>
    <n v="4"/>
    <s v="Dwarka Heights"/>
    <n v="0"/>
    <s v="Yes"/>
    <n v="33415000"/>
    <x v="1"/>
    <s v="BRK-02"/>
    <x v="0"/>
    <s v="Tier B"/>
    <n v="1.4999999999999999E-2"/>
    <n v="0"/>
    <n v="0"/>
    <n v="0"/>
  </r>
  <r>
    <x v="1"/>
    <s v="Rohini"/>
    <x v="3"/>
    <n v="4"/>
    <n v="1180"/>
    <n v="5609"/>
    <n v="3"/>
    <n v="1987"/>
    <n v="2025"/>
    <s v="Builder Floor"/>
    <n v="2"/>
    <s v="South"/>
    <s v="Yes"/>
    <s v="Semi-Furnished"/>
    <n v="9"/>
    <n v="2"/>
    <s v="Rohini Residency"/>
    <n v="0"/>
    <s v="No"/>
    <n v="12205000"/>
    <x v="0"/>
    <s v="BRK-03"/>
    <x v="1"/>
    <s v="Tier A"/>
    <n v="0.02"/>
    <n v="244100"/>
    <n v="366150"/>
    <n v="122050"/>
  </r>
  <r>
    <x v="2"/>
    <s v="Hinjewadi"/>
    <x v="0"/>
    <n v="1"/>
    <n v="3522"/>
    <n v="6346"/>
    <n v="3"/>
    <n v="1970"/>
    <n v="2013"/>
    <s v="Independent House"/>
    <n v="3"/>
    <s v="East"/>
    <s v="No"/>
    <s v="Semi-Furnished"/>
    <n v="10"/>
    <n v="5"/>
    <s v="Hinjewadi Villa"/>
    <n v="3"/>
    <s v="Yes"/>
    <n v="30272000"/>
    <x v="1"/>
    <s v="BRK-04"/>
    <x v="3"/>
    <s v="Tier C"/>
    <n v="0.01"/>
    <n v="0"/>
    <n v="0"/>
    <n v="0"/>
  </r>
  <r>
    <x v="4"/>
    <s v="Indiranagar"/>
    <x v="4"/>
    <n v="2"/>
    <n v="4078"/>
    <n v="5346"/>
    <n v="3"/>
    <n v="1969"/>
    <n v="1970"/>
    <s v="Builder Floor"/>
    <n v="0"/>
    <s v="North"/>
    <s v="Yes"/>
    <s v="Furnished"/>
    <n v="7"/>
    <n v="1"/>
    <s v="Indiranagar Residency"/>
    <n v="0"/>
    <s v="No"/>
    <n v="37022000"/>
    <x v="1"/>
    <s v="BRK-05"/>
    <x v="4"/>
    <s v="Tier B"/>
    <n v="1.4999999999999999E-2"/>
    <n v="0"/>
    <n v="0"/>
    <n v="0"/>
  </r>
  <r>
    <x v="4"/>
    <s v="Indiranagar"/>
    <x v="1"/>
    <n v="2"/>
    <n v="4245"/>
    <n v="7861"/>
    <n v="2"/>
    <n v="1965"/>
    <n v="2023"/>
    <s v="Villa"/>
    <n v="1"/>
    <s v="West"/>
    <s v="Yes"/>
    <s v="Semi-Furnished"/>
    <n v="2"/>
    <n v="3"/>
    <s v="Indiranagar Residency"/>
    <n v="2"/>
    <s v="Yes"/>
    <n v="38660000"/>
    <x v="2"/>
    <s v="BRK-04"/>
    <x v="3"/>
    <s v="Tier C"/>
    <n v="0.01"/>
    <n v="0"/>
    <n v="0"/>
    <n v="0"/>
  </r>
  <r>
    <x v="0"/>
    <s v="Andheri"/>
    <x v="0"/>
    <n v="4"/>
    <n v="1828"/>
    <n v="8534"/>
    <n v="2"/>
    <n v="2009"/>
    <n v="2020"/>
    <s v="Villa"/>
    <n v="3"/>
    <s v="South"/>
    <s v="No"/>
    <s v="Unfurnished"/>
    <n v="6"/>
    <n v="5"/>
    <s v="Andheri Enclave"/>
    <n v="1"/>
    <s v="Yes"/>
    <n v="22311000"/>
    <x v="0"/>
    <s v="BRK-04"/>
    <x v="3"/>
    <s v="Tier C"/>
    <n v="0.01"/>
    <n v="223110"/>
    <n v="669330"/>
    <n v="446220"/>
  </r>
  <r>
    <x v="1"/>
    <s v="Saket"/>
    <x v="3"/>
    <n v="1"/>
    <n v="4288"/>
    <n v="7078"/>
    <n v="1"/>
    <n v="1955"/>
    <n v="1971"/>
    <s v="Apartment"/>
    <n v="3"/>
    <s v="East"/>
    <s v="Yes"/>
    <s v="Unfurnished"/>
    <n v="2"/>
    <n v="3"/>
    <s v="Saket Heights"/>
    <n v="0"/>
    <s v="No"/>
    <n v="43155000"/>
    <x v="0"/>
    <s v="BRK-05"/>
    <x v="4"/>
    <s v="Tier B"/>
    <n v="1.4999999999999999E-2"/>
    <n v="647325"/>
    <n v="1294650"/>
    <n v="647325"/>
  </r>
  <r>
    <x v="4"/>
    <s v="HSR Layout"/>
    <x v="0"/>
    <n v="3"/>
    <n v="322"/>
    <n v="2085"/>
    <n v="2"/>
    <n v="2014"/>
    <n v="2016"/>
    <s v="Apartment"/>
    <n v="1"/>
    <s v="East"/>
    <s v="No"/>
    <s v="Unfurnished"/>
    <n v="6"/>
    <n v="4"/>
    <s v="HSR Layout Residency"/>
    <n v="3"/>
    <s v="Yes"/>
    <n v="3273000"/>
    <x v="0"/>
    <s v="BRK-03"/>
    <x v="1"/>
    <s v="Tier A"/>
    <n v="0.02"/>
    <n v="65460"/>
    <n v="98190"/>
    <n v="32730"/>
  </r>
  <r>
    <x v="3"/>
    <s v="Perambur"/>
    <x v="1"/>
    <n v="3"/>
    <n v="4713"/>
    <n v="8502"/>
    <n v="1"/>
    <n v="1986"/>
    <n v="2006"/>
    <s v="Builder Floor"/>
    <n v="3"/>
    <s v="North"/>
    <s v="No"/>
    <s v="Semi-Furnished"/>
    <n v="7"/>
    <n v="4"/>
    <s v="Perambur Residency"/>
    <n v="2"/>
    <s v="Yes"/>
    <n v="38144000"/>
    <x v="2"/>
    <s v="BRK-03"/>
    <x v="1"/>
    <s v="Tier A"/>
    <n v="0.02"/>
    <n v="0"/>
    <n v="0"/>
    <n v="0"/>
  </r>
  <r>
    <x v="3"/>
    <s v="Adyar"/>
    <x v="0"/>
    <n v="1"/>
    <n v="2179"/>
    <n v="7704"/>
    <n v="3"/>
    <n v="1982"/>
    <n v="2006"/>
    <s v="Villa"/>
    <n v="0"/>
    <s v="South"/>
    <s v="Yes"/>
    <s v="Furnished"/>
    <n v="7"/>
    <n v="1"/>
    <s v="Adyar Villa"/>
    <n v="0"/>
    <s v="No"/>
    <n v="17772000"/>
    <x v="1"/>
    <s v="BRK-05"/>
    <x v="4"/>
    <s v="Tier B"/>
    <n v="1.4999999999999999E-2"/>
    <n v="0"/>
    <n v="0"/>
    <n v="0"/>
  </r>
  <r>
    <x v="0"/>
    <s v="Andheri"/>
    <x v="0"/>
    <n v="4"/>
    <n v="433"/>
    <n v="8703"/>
    <n v="3"/>
    <n v="1989"/>
    <n v="1991"/>
    <s v="Independent House"/>
    <n v="1"/>
    <s v="East"/>
    <s v="Yes"/>
    <s v="Furnished"/>
    <n v="6"/>
    <n v="4"/>
    <s v="Andheri Enclave"/>
    <n v="1"/>
    <s v="Yes"/>
    <n v="5691000"/>
    <x v="2"/>
    <s v="BRK-05"/>
    <x v="4"/>
    <s v="Tier B"/>
    <n v="1.4999999999999999E-2"/>
    <n v="0"/>
    <n v="0"/>
    <n v="0"/>
  </r>
  <r>
    <x v="0"/>
    <s v="Borivali"/>
    <x v="2"/>
    <n v="3"/>
    <n v="2311"/>
    <n v="6292"/>
    <n v="1"/>
    <n v="1962"/>
    <n v="1977"/>
    <s v="Villa"/>
    <n v="1"/>
    <s v="East"/>
    <s v="No"/>
    <s v="Semi-Furnished"/>
    <n v="2"/>
    <n v="3"/>
    <s v="Borivali Residency"/>
    <n v="1"/>
    <s v="No"/>
    <n v="27907000"/>
    <x v="2"/>
    <s v="BRK-03"/>
    <x v="1"/>
    <s v="Tier A"/>
    <n v="0.02"/>
    <n v="0"/>
    <n v="0"/>
    <n v="0"/>
  </r>
  <r>
    <x v="0"/>
    <s v="Juhu"/>
    <x v="0"/>
    <n v="1"/>
    <n v="924"/>
    <n v="3522"/>
    <n v="1"/>
    <n v="1950"/>
    <n v="1979"/>
    <s v="Builder Floor"/>
    <n v="2"/>
    <s v="South"/>
    <s v="Yes"/>
    <s v="Semi-Furnished"/>
    <n v="5"/>
    <n v="0"/>
    <s v="Juhu Villa"/>
    <n v="0"/>
    <s v="No"/>
    <n v="11313000"/>
    <x v="0"/>
    <s v="BRK-05"/>
    <x v="4"/>
    <s v="Tier B"/>
    <n v="1.4999999999999999E-2"/>
    <n v="169695"/>
    <n v="339390"/>
    <n v="169695"/>
  </r>
  <r>
    <x v="2"/>
    <s v="Viman Nagar"/>
    <x v="2"/>
    <n v="3"/>
    <n v="1053"/>
    <n v="6890"/>
    <n v="1"/>
    <n v="1999"/>
    <n v="2023"/>
    <s v="Apartment"/>
    <n v="2"/>
    <s v="North"/>
    <s v="Yes"/>
    <s v="Furnished"/>
    <n v="2"/>
    <n v="1"/>
    <s v="Viman Nagar Enclave"/>
    <n v="1"/>
    <s v="Yes"/>
    <n v="9275500"/>
    <x v="2"/>
    <s v="BRK-02"/>
    <x v="0"/>
    <s v="Tier B"/>
    <n v="1.4999999999999999E-2"/>
    <n v="0"/>
    <n v="0"/>
    <n v="0"/>
  </r>
  <r>
    <x v="3"/>
    <s v="Adyar"/>
    <x v="2"/>
    <n v="3"/>
    <n v="3488"/>
    <n v="9737"/>
    <n v="2"/>
    <n v="1963"/>
    <n v="2013"/>
    <s v="Apartment"/>
    <n v="1"/>
    <s v="South"/>
    <s v="No"/>
    <s v="Unfurnished"/>
    <n v="1"/>
    <n v="5"/>
    <s v="Adyar Residency"/>
    <n v="3"/>
    <s v="No"/>
    <n v="28129000"/>
    <x v="1"/>
    <s v="BRK-04"/>
    <x v="3"/>
    <s v="Tier C"/>
    <n v="0.01"/>
    <n v="0"/>
    <n v="0"/>
    <n v="0"/>
  </r>
  <r>
    <x v="3"/>
    <s v="Adyar"/>
    <x v="0"/>
    <n v="2"/>
    <n v="643"/>
    <n v="1289"/>
    <n v="2"/>
    <n v="1974"/>
    <n v="0"/>
    <s v="Villa"/>
    <n v="0"/>
    <s v="East"/>
    <s v="No"/>
    <s v="Semi-Furnished"/>
    <n v="0"/>
    <n v="2"/>
    <s v="Adyar Villa"/>
    <n v="0"/>
    <s v="Yes"/>
    <n v="5444000"/>
    <x v="1"/>
    <s v="BRK-01"/>
    <x v="2"/>
    <s v="Tier A"/>
    <n v="0.02"/>
    <n v="0"/>
    <n v="0"/>
    <n v="0"/>
  </r>
  <r>
    <x v="0"/>
    <s v="Powai"/>
    <x v="1"/>
    <n v="1"/>
    <n v="1412"/>
    <n v="9218"/>
    <n v="2"/>
    <n v="2020"/>
    <n v="2023"/>
    <s v="Villa"/>
    <n v="0"/>
    <s v="North"/>
    <s v="No"/>
    <s v="Furnished"/>
    <n v="4"/>
    <n v="4"/>
    <s v="Powai Villa"/>
    <n v="2"/>
    <s v="Yes"/>
    <n v="17419000"/>
    <x v="2"/>
    <s v="BRK-04"/>
    <x v="3"/>
    <s v="Tier C"/>
    <n v="0.01"/>
    <n v="0"/>
    <n v="0"/>
    <n v="0"/>
  </r>
  <r>
    <x v="0"/>
    <s v="Andheri"/>
    <x v="0"/>
    <n v="2"/>
    <n v="2415"/>
    <n v="9147"/>
    <n v="2"/>
    <n v="1969"/>
    <n v="1985"/>
    <s v="Villa"/>
    <n v="3"/>
    <s v="North"/>
    <s v="No"/>
    <s v="Furnished"/>
    <n v="7"/>
    <n v="2"/>
    <s v="Andheri Enclave"/>
    <n v="3"/>
    <s v="Yes"/>
    <n v="29400000"/>
    <x v="0"/>
    <s v="BRK-05"/>
    <x v="4"/>
    <s v="Tier B"/>
    <n v="1.4999999999999999E-2"/>
    <n v="441000"/>
    <n v="882000"/>
    <n v="441000"/>
  </r>
  <r>
    <x v="0"/>
    <s v="Juhu"/>
    <x v="0"/>
    <n v="2"/>
    <n v="1062"/>
    <n v="3363"/>
    <n v="3"/>
    <n v="1962"/>
    <n v="2007"/>
    <s v="Builder Floor"/>
    <n v="0"/>
    <s v="East"/>
    <s v="No"/>
    <s v="Semi-Furnished"/>
    <n v="1"/>
    <n v="1"/>
    <s v="Juhu Residency"/>
    <n v="0"/>
    <s v="Yes"/>
    <n v="13064000"/>
    <x v="2"/>
    <s v="BRK-01"/>
    <x v="2"/>
    <s v="Tier A"/>
    <n v="0.02"/>
    <n v="0"/>
    <n v="0"/>
    <n v="0"/>
  </r>
  <r>
    <x v="0"/>
    <s v="Juhu"/>
    <x v="0"/>
    <n v="1"/>
    <n v="4796"/>
    <n v="9575"/>
    <n v="3"/>
    <n v="2019"/>
    <n v="2022"/>
    <s v="Villa"/>
    <n v="0"/>
    <s v="West"/>
    <s v="Yes"/>
    <s v="Semi-Furnished"/>
    <n v="6"/>
    <n v="0"/>
    <s v="Juhu Enclave"/>
    <n v="2"/>
    <s v="Yes"/>
    <n v="57897000"/>
    <x v="1"/>
    <s v="BRK-02"/>
    <x v="0"/>
    <s v="Tier B"/>
    <n v="1.4999999999999999E-2"/>
    <n v="0"/>
    <n v="0"/>
    <n v="0"/>
  </r>
  <r>
    <x v="1"/>
    <s v="Dwarka"/>
    <x v="2"/>
    <n v="1"/>
    <n v="1175"/>
    <n v="9039"/>
    <n v="1"/>
    <n v="2010"/>
    <n v="2020"/>
    <s v="Independent House"/>
    <n v="0"/>
    <s v="East"/>
    <s v="Yes"/>
    <s v="Unfurnished"/>
    <n v="8"/>
    <n v="1"/>
    <s v="Dwarka Heights"/>
    <n v="2"/>
    <s v="Yes"/>
    <n v="11955000"/>
    <x v="2"/>
    <s v="BRK-01"/>
    <x v="2"/>
    <s v="Tier A"/>
    <n v="0.02"/>
    <n v="0"/>
    <n v="0"/>
    <n v="0"/>
  </r>
  <r>
    <x v="1"/>
    <s v="Lajpat Nagar"/>
    <x v="2"/>
    <n v="1"/>
    <n v="4152"/>
    <n v="5991"/>
    <n v="3"/>
    <n v="1966"/>
    <n v="1975"/>
    <s v="Apartment"/>
    <n v="3"/>
    <s v="North"/>
    <s v="No"/>
    <s v="Unfurnished"/>
    <n v="3"/>
    <n v="3"/>
    <s v="Lajpat Nagar Residency"/>
    <n v="0"/>
    <s v="No"/>
    <n v="41660000"/>
    <x v="1"/>
    <s v="BRK-01"/>
    <x v="2"/>
    <s v="Tier A"/>
    <n v="0.02"/>
    <n v="0"/>
    <n v="0"/>
    <n v="0"/>
  </r>
  <r>
    <x v="1"/>
    <s v="Lajpat Nagar"/>
    <x v="3"/>
    <n v="2"/>
    <n v="4623"/>
    <n v="7070"/>
    <n v="2"/>
    <n v="1967"/>
    <n v="1991"/>
    <s v="Independent House"/>
    <n v="2"/>
    <s v="East"/>
    <s v="Yes"/>
    <s v="Unfurnished"/>
    <n v="1"/>
    <n v="5"/>
    <s v="Lajpat Nagar Villa"/>
    <n v="2"/>
    <s v="No"/>
    <n v="46585000"/>
    <x v="1"/>
    <s v="BRK-02"/>
    <x v="0"/>
    <s v="Tier B"/>
    <n v="1.4999999999999999E-2"/>
    <n v="0"/>
    <n v="0"/>
    <n v="0"/>
  </r>
  <r>
    <x v="0"/>
    <s v="Andheri"/>
    <x v="3"/>
    <n v="2"/>
    <n v="2372"/>
    <n v="8085"/>
    <n v="1"/>
    <n v="2023"/>
    <n v="2023"/>
    <s v="Builder Floor"/>
    <n v="1"/>
    <s v="South"/>
    <s v="Yes"/>
    <s v="Furnished"/>
    <n v="3"/>
    <n v="5"/>
    <s v="Andheri Heights"/>
    <n v="0"/>
    <s v="No"/>
    <n v="28844000"/>
    <x v="2"/>
    <s v="BRK-03"/>
    <x v="1"/>
    <s v="Tier A"/>
    <n v="0.02"/>
    <n v="0"/>
    <n v="0"/>
    <n v="0"/>
  </r>
  <r>
    <x v="1"/>
    <s v="Rohini"/>
    <x v="0"/>
    <n v="1"/>
    <n v="323"/>
    <n v="3816"/>
    <n v="3"/>
    <n v="1964"/>
    <n v="2016"/>
    <s v="Builder Floor"/>
    <n v="3"/>
    <s v="North"/>
    <s v="No"/>
    <s v="Furnished"/>
    <n v="7"/>
    <n v="1"/>
    <s v="Rohini Residency"/>
    <n v="0"/>
    <s v="No"/>
    <n v="3545000"/>
    <x v="0"/>
    <s v="BRK-01"/>
    <x v="2"/>
    <s v="Tier A"/>
    <n v="0.02"/>
    <n v="70900"/>
    <n v="106350"/>
    <n v="35450"/>
  </r>
  <r>
    <x v="4"/>
    <s v="MG Road"/>
    <x v="3"/>
    <n v="3"/>
    <n v="3932"/>
    <n v="9414"/>
    <n v="1"/>
    <n v="1968"/>
    <n v="1980"/>
    <s v="Independent House"/>
    <n v="2"/>
    <s v="South"/>
    <s v="Yes"/>
    <s v="Semi-Furnished"/>
    <n v="7"/>
    <n v="2"/>
    <s v="MG Road Villa"/>
    <n v="0"/>
    <s v="No"/>
    <n v="35723000"/>
    <x v="0"/>
    <s v="BRK-04"/>
    <x v="3"/>
    <s v="Tier C"/>
    <n v="0.01"/>
    <n v="357230"/>
    <n v="1071690"/>
    <n v="714460"/>
  </r>
  <r>
    <x v="0"/>
    <s v="Borivali"/>
    <x v="3"/>
    <n v="2"/>
    <n v="803"/>
    <n v="1829"/>
    <n v="3"/>
    <n v="2008"/>
    <n v="2023"/>
    <s v="Villa"/>
    <n v="1"/>
    <s v="West"/>
    <s v="Yes"/>
    <s v="Semi-Furnished"/>
    <n v="2"/>
    <n v="2"/>
    <s v="Borivali Enclave"/>
    <n v="1"/>
    <s v="No"/>
    <n v="9996000"/>
    <x v="1"/>
    <s v="BRK-01"/>
    <x v="2"/>
    <s v="Tier A"/>
    <n v="0.02"/>
    <n v="0"/>
    <n v="0"/>
    <n v="0"/>
  </r>
  <r>
    <x v="0"/>
    <s v="Borivali"/>
    <x v="1"/>
    <n v="1"/>
    <n v="4022"/>
    <n v="6921"/>
    <n v="2"/>
    <n v="1978"/>
    <n v="2005"/>
    <s v="Apartment"/>
    <n v="2"/>
    <s v="West"/>
    <s v="No"/>
    <s v="Semi-Furnished"/>
    <n v="2"/>
    <n v="3"/>
    <s v="Borivali Residency"/>
    <n v="3"/>
    <s v="Yes"/>
    <n v="48679000"/>
    <x v="2"/>
    <s v="BRK-02"/>
    <x v="0"/>
    <s v="Tier B"/>
    <n v="1.4999999999999999E-2"/>
    <n v="0"/>
    <n v="0"/>
    <n v="0"/>
  </r>
  <r>
    <x v="0"/>
    <s v="Bandra"/>
    <x v="3"/>
    <n v="4"/>
    <n v="2093"/>
    <n v="9913"/>
    <n v="3"/>
    <n v="2015"/>
    <n v="2024"/>
    <s v="Apartment"/>
    <n v="0"/>
    <s v="East"/>
    <s v="No"/>
    <s v="Unfurnished"/>
    <n v="4"/>
    <n v="5"/>
    <s v="Bandra Heights"/>
    <n v="2"/>
    <s v="No"/>
    <n v="25526000"/>
    <x v="2"/>
    <s v="BRK-02"/>
    <x v="0"/>
    <s v="Tier B"/>
    <n v="1.4999999999999999E-2"/>
    <n v="0"/>
    <n v="0"/>
    <n v="0"/>
  </r>
  <r>
    <x v="3"/>
    <s v="T Nagar"/>
    <x v="2"/>
    <n v="1"/>
    <n v="2276"/>
    <n v="9688"/>
    <n v="2"/>
    <n v="1982"/>
    <n v="1996"/>
    <s v="Apartment"/>
    <n v="3"/>
    <s v="North"/>
    <s v="Yes"/>
    <s v="Furnished"/>
    <n v="5"/>
    <n v="5"/>
    <s v="T Nagar Villa"/>
    <n v="2"/>
    <s v="Yes"/>
    <n v="18508000"/>
    <x v="0"/>
    <s v="BRK-05"/>
    <x v="4"/>
    <s v="Tier B"/>
    <n v="1.4999999999999999E-2"/>
    <n v="277620"/>
    <n v="555240"/>
    <n v="277620"/>
  </r>
  <r>
    <x v="3"/>
    <s v="Velachery"/>
    <x v="4"/>
    <n v="1"/>
    <n v="2809"/>
    <n v="8764"/>
    <n v="2"/>
    <n v="1982"/>
    <n v="2025"/>
    <s v="Villa"/>
    <n v="1"/>
    <s v="West"/>
    <s v="No"/>
    <s v="Furnished"/>
    <n v="6"/>
    <n v="3"/>
    <s v="Velachery Residency"/>
    <n v="1"/>
    <s v="No"/>
    <n v="22732000"/>
    <x v="2"/>
    <s v="BRK-01"/>
    <x v="2"/>
    <s v="Tier A"/>
    <n v="0.02"/>
    <n v="0"/>
    <n v="0"/>
    <n v="0"/>
  </r>
  <r>
    <x v="0"/>
    <s v="Juhu"/>
    <x v="0"/>
    <n v="4"/>
    <n v="2275"/>
    <n v="6687"/>
    <n v="2"/>
    <n v="2013"/>
    <n v="2015"/>
    <s v="Independent House"/>
    <n v="0"/>
    <s v="North"/>
    <s v="Yes"/>
    <s v="Unfurnished"/>
    <n v="2"/>
    <n v="1"/>
    <s v="Juhu Villa"/>
    <n v="0"/>
    <s v="Yes"/>
    <n v="27685000"/>
    <x v="0"/>
    <s v="BRK-01"/>
    <x v="2"/>
    <s v="Tier A"/>
    <n v="0.02"/>
    <n v="553700"/>
    <n v="830550"/>
    <n v="276850"/>
  </r>
  <r>
    <x v="3"/>
    <s v="Anna Nagar"/>
    <x v="1"/>
    <n v="1"/>
    <n v="1140"/>
    <n v="8419"/>
    <n v="3"/>
    <n v="1967"/>
    <n v="1980"/>
    <s v="Apartment"/>
    <n v="1"/>
    <s v="East"/>
    <s v="Yes"/>
    <s v="Furnished"/>
    <n v="4"/>
    <n v="0"/>
    <s v="Anna Nagar Villa"/>
    <n v="0"/>
    <s v="No"/>
    <n v="9560000"/>
    <x v="0"/>
    <s v="BRK-05"/>
    <x v="4"/>
    <s v="Tier B"/>
    <n v="1.4999999999999999E-2"/>
    <n v="143400"/>
    <n v="286800"/>
    <n v="143400"/>
  </r>
  <r>
    <x v="2"/>
    <s v="Baner"/>
    <x v="4"/>
    <n v="1"/>
    <n v="3091"/>
    <n v="5080"/>
    <n v="3"/>
    <n v="1965"/>
    <n v="1969"/>
    <s v="Villa"/>
    <n v="1"/>
    <s v="North"/>
    <s v="No"/>
    <s v="Unfurnished"/>
    <n v="4"/>
    <n v="4"/>
    <s v="Baner Residency"/>
    <n v="0"/>
    <s v="No"/>
    <n v="26463500"/>
    <x v="1"/>
    <s v="BRK-01"/>
    <x v="2"/>
    <s v="Tier A"/>
    <n v="0.02"/>
    <n v="0"/>
    <n v="0"/>
    <n v="0"/>
  </r>
  <r>
    <x v="1"/>
    <s v="Vasant Kunj"/>
    <x v="0"/>
    <n v="1"/>
    <n v="1026"/>
    <n v="9328"/>
    <n v="3"/>
    <n v="1979"/>
    <n v="2014"/>
    <s v="Villa"/>
    <n v="0"/>
    <s v="West"/>
    <s v="No"/>
    <s v="Semi-Furnished"/>
    <n v="7"/>
    <n v="4"/>
    <s v="Vasant Kunj Residency"/>
    <n v="0"/>
    <s v="Yes"/>
    <n v="10550000"/>
    <x v="2"/>
    <s v="BRK-01"/>
    <x v="2"/>
    <s v="Tier A"/>
    <n v="0.02"/>
    <n v="0"/>
    <n v="0"/>
    <n v="0"/>
  </r>
  <r>
    <x v="2"/>
    <s v="Kothrud"/>
    <x v="0"/>
    <n v="2"/>
    <n v="1709"/>
    <n v="4330"/>
    <n v="1"/>
    <n v="1955"/>
    <n v="1976"/>
    <s v="Apartment"/>
    <n v="1"/>
    <s v="South"/>
    <s v="Yes"/>
    <s v="Semi-Furnished"/>
    <n v="7"/>
    <n v="0"/>
    <s v="Kothrud Villa"/>
    <n v="1"/>
    <s v="Yes"/>
    <n v="14846500"/>
    <x v="0"/>
    <s v="BRK-01"/>
    <x v="2"/>
    <s v="Tier A"/>
    <n v="0.02"/>
    <n v="296930"/>
    <n v="445395"/>
    <n v="148465"/>
  </r>
  <r>
    <x v="0"/>
    <s v="Andheri"/>
    <x v="4"/>
    <n v="3"/>
    <n v="2754"/>
    <n v="9642"/>
    <n v="3"/>
    <n v="2005"/>
    <n v="2008"/>
    <s v="Builder Floor"/>
    <n v="1"/>
    <s v="West"/>
    <s v="No"/>
    <s v="Furnished"/>
    <n v="2"/>
    <n v="2"/>
    <s v="Andheri Heights"/>
    <n v="1"/>
    <s v="No"/>
    <n v="33388000"/>
    <x v="1"/>
    <s v="BRK-05"/>
    <x v="4"/>
    <s v="Tier B"/>
    <n v="1.4999999999999999E-2"/>
    <n v="0"/>
    <n v="0"/>
    <n v="0"/>
  </r>
  <r>
    <x v="0"/>
    <s v="Andheri"/>
    <x v="4"/>
    <n v="2"/>
    <n v="899"/>
    <n v="3467"/>
    <n v="2"/>
    <n v="1963"/>
    <n v="2017"/>
    <s v="Apartment"/>
    <n v="1"/>
    <s v="East"/>
    <s v="No"/>
    <s v="Semi-Furnished"/>
    <n v="2"/>
    <n v="4"/>
    <s v="Andheri Residency"/>
    <n v="3"/>
    <s v="No"/>
    <n v="11033000"/>
    <x v="0"/>
    <s v="BRK-01"/>
    <x v="2"/>
    <s v="Tier A"/>
    <n v="0.02"/>
    <n v="220660"/>
    <n v="330990"/>
    <n v="110330"/>
  </r>
  <r>
    <x v="1"/>
    <s v="Lajpat Nagar"/>
    <x v="3"/>
    <n v="3"/>
    <n v="2886"/>
    <n v="5067"/>
    <n v="3"/>
    <n v="1977"/>
    <n v="2022"/>
    <s v="Builder Floor"/>
    <n v="1"/>
    <s v="West"/>
    <s v="No"/>
    <s v="Semi-Furnished"/>
    <n v="8"/>
    <n v="3"/>
    <s v="Lajpat Nagar Heights"/>
    <n v="0"/>
    <s v="Yes"/>
    <n v="29260000"/>
    <x v="2"/>
    <s v="BRK-01"/>
    <x v="2"/>
    <s v="Tier A"/>
    <n v="0.02"/>
    <n v="0"/>
    <n v="0"/>
    <n v="0"/>
  </r>
  <r>
    <x v="0"/>
    <s v="Bandra"/>
    <x v="1"/>
    <n v="1"/>
    <n v="4888"/>
    <n v="8864"/>
    <n v="2"/>
    <n v="2024"/>
    <n v="2025"/>
    <s v="Apartment"/>
    <n v="0"/>
    <s v="South"/>
    <s v="Yes"/>
    <s v="Furnished"/>
    <n v="3"/>
    <n v="0"/>
    <s v="Bandra Heights"/>
    <n v="1"/>
    <s v="Yes"/>
    <n v="59141000"/>
    <x v="1"/>
    <s v="BRK-04"/>
    <x v="3"/>
    <s v="Tier C"/>
    <n v="0.01"/>
    <n v="0"/>
    <n v="0"/>
    <n v="0"/>
  </r>
  <r>
    <x v="4"/>
    <s v="HSR Layout"/>
    <x v="1"/>
    <n v="1"/>
    <n v="2427"/>
    <n v="4616"/>
    <n v="2"/>
    <n v="2020"/>
    <n v="2020"/>
    <s v="Apartment"/>
    <n v="0"/>
    <s v="West"/>
    <s v="No"/>
    <s v="Furnished"/>
    <n v="2"/>
    <n v="1"/>
    <s v="HSR Layout Heights"/>
    <n v="1"/>
    <s v="No"/>
    <n v="22253000"/>
    <x v="2"/>
    <s v="BRK-02"/>
    <x v="0"/>
    <s v="Tier B"/>
    <n v="1.4999999999999999E-2"/>
    <n v="0"/>
    <n v="0"/>
    <n v="0"/>
  </r>
  <r>
    <x v="0"/>
    <s v="Borivali"/>
    <x v="1"/>
    <n v="1"/>
    <n v="2936"/>
    <n v="6761"/>
    <n v="1"/>
    <n v="1985"/>
    <n v="2005"/>
    <s v="Builder Floor"/>
    <n v="0"/>
    <s v="North"/>
    <s v="Yes"/>
    <s v="Unfurnished"/>
    <n v="0"/>
    <n v="5"/>
    <s v="Borivali Heights"/>
    <n v="0"/>
    <s v="No"/>
    <n v="35557000"/>
    <x v="0"/>
    <s v="BRK-03"/>
    <x v="1"/>
    <s v="Tier A"/>
    <n v="0.02"/>
    <n v="711140"/>
    <n v="1066710"/>
    <n v="355570"/>
  </r>
  <r>
    <x v="1"/>
    <s v="Lajpat Nagar"/>
    <x v="2"/>
    <n v="1"/>
    <n v="1859"/>
    <n v="5847"/>
    <n v="1"/>
    <n v="2006"/>
    <n v="2022"/>
    <s v="Villa"/>
    <n v="0"/>
    <s v="North"/>
    <s v="Yes"/>
    <s v="Semi-Furnished"/>
    <n v="5"/>
    <n v="3"/>
    <s v="Lajpat Nagar Heights"/>
    <n v="2"/>
    <s v="No"/>
    <n v="18745000"/>
    <x v="2"/>
    <s v="BRK-05"/>
    <x v="4"/>
    <s v="Tier B"/>
    <n v="1.4999999999999999E-2"/>
    <n v="0"/>
    <n v="0"/>
    <n v="0"/>
  </r>
  <r>
    <x v="4"/>
    <s v="Koramangala"/>
    <x v="2"/>
    <n v="2"/>
    <n v="4723"/>
    <n v="8678"/>
    <n v="2"/>
    <n v="2012"/>
    <n v="2019"/>
    <s v="Builder Floor"/>
    <n v="1"/>
    <s v="South"/>
    <s v="No"/>
    <s v="Unfurnished"/>
    <n v="9"/>
    <n v="0"/>
    <s v="Koramangala Enclave"/>
    <n v="3"/>
    <s v="No"/>
    <n v="42702000"/>
    <x v="2"/>
    <s v="BRK-03"/>
    <x v="1"/>
    <s v="Tier A"/>
    <n v="0.02"/>
    <n v="0"/>
    <n v="0"/>
    <n v="0"/>
  </r>
  <r>
    <x v="0"/>
    <s v="Powai"/>
    <x v="3"/>
    <n v="4"/>
    <n v="515"/>
    <n v="1288"/>
    <n v="3"/>
    <n v="1956"/>
    <n v="0"/>
    <s v="Villa"/>
    <n v="1"/>
    <s v="West"/>
    <s v="No"/>
    <s v="Unfurnished"/>
    <n v="5"/>
    <n v="0"/>
    <s v="Powai Enclave"/>
    <n v="2"/>
    <s v="Yes"/>
    <n v="6640000"/>
    <x v="1"/>
    <s v="BRK-02"/>
    <x v="0"/>
    <s v="Tier B"/>
    <n v="1.4999999999999999E-2"/>
    <n v="0"/>
    <n v="0"/>
    <n v="0"/>
  </r>
  <r>
    <x v="3"/>
    <s v="Anna Nagar"/>
    <x v="1"/>
    <n v="1"/>
    <n v="2231"/>
    <n v="5664"/>
    <n v="1"/>
    <n v="1984"/>
    <n v="2015"/>
    <s v="Apartment"/>
    <n v="2"/>
    <s v="East"/>
    <s v="Yes"/>
    <s v="Semi-Furnished"/>
    <n v="4"/>
    <n v="1"/>
    <s v="Anna Nagar Villa"/>
    <n v="0"/>
    <s v="Yes"/>
    <n v="18223000"/>
    <x v="0"/>
    <s v="BRK-05"/>
    <x v="4"/>
    <s v="Tier B"/>
    <n v="1.4999999999999999E-2"/>
    <n v="273345"/>
    <n v="546690"/>
    <n v="273345"/>
  </r>
  <r>
    <x v="3"/>
    <s v="T Nagar"/>
    <x v="3"/>
    <n v="2"/>
    <n v="2269"/>
    <n v="5679"/>
    <n v="3"/>
    <n v="2021"/>
    <n v="2023"/>
    <s v="Villa"/>
    <n v="0"/>
    <s v="South"/>
    <s v="Yes"/>
    <s v="Furnished"/>
    <n v="0"/>
    <n v="2"/>
    <s v="T Nagar Heights"/>
    <n v="0"/>
    <s v="No"/>
    <n v="18572000"/>
    <x v="2"/>
    <s v="BRK-03"/>
    <x v="1"/>
    <s v="Tier A"/>
    <n v="0.02"/>
    <n v="0"/>
    <n v="0"/>
    <n v="0"/>
  </r>
  <r>
    <x v="4"/>
    <s v="HSR Layout"/>
    <x v="2"/>
    <n v="1"/>
    <n v="2443"/>
    <n v="7617"/>
    <n v="3"/>
    <n v="1983"/>
    <n v="2023"/>
    <s v="Apartment"/>
    <n v="3"/>
    <s v="West"/>
    <s v="Yes"/>
    <s v="Unfurnished"/>
    <n v="3"/>
    <n v="3"/>
    <s v="HSR Layout Residency"/>
    <n v="0"/>
    <s v="No"/>
    <n v="22152000"/>
    <x v="2"/>
    <s v="BRK-05"/>
    <x v="4"/>
    <s v="Tier B"/>
    <n v="1.4999999999999999E-2"/>
    <n v="0"/>
    <n v="0"/>
    <n v="0"/>
  </r>
  <r>
    <x v="4"/>
    <s v="Koramangala"/>
    <x v="4"/>
    <n v="1"/>
    <n v="1459"/>
    <n v="8063"/>
    <n v="3"/>
    <n v="1987"/>
    <n v="1996"/>
    <s v="Villa"/>
    <n v="3"/>
    <s v="East"/>
    <s v="Yes"/>
    <s v="Furnished"/>
    <n v="3"/>
    <n v="3"/>
    <s v="Koramangala Residency"/>
    <n v="2"/>
    <s v="No"/>
    <n v="13451000"/>
    <x v="1"/>
    <s v="BRK-04"/>
    <x v="3"/>
    <s v="Tier C"/>
    <n v="0.01"/>
    <n v="0"/>
    <n v="0"/>
    <n v="0"/>
  </r>
  <r>
    <x v="1"/>
    <s v="Dwarka"/>
    <x v="0"/>
    <n v="3"/>
    <n v="973"/>
    <n v="8591"/>
    <n v="1"/>
    <n v="1999"/>
    <n v="2007"/>
    <s v="Independent House"/>
    <n v="1"/>
    <s v="East"/>
    <s v="No"/>
    <s v="Semi-Furnished"/>
    <n v="0"/>
    <n v="1"/>
    <s v="Dwarka Villa"/>
    <n v="1"/>
    <s v="No"/>
    <n v="10005000"/>
    <x v="2"/>
    <s v="BRK-01"/>
    <x v="2"/>
    <s v="Tier A"/>
    <n v="0.02"/>
    <n v="0"/>
    <n v="0"/>
    <n v="0"/>
  </r>
  <r>
    <x v="4"/>
    <s v="HSR Layout"/>
    <x v="4"/>
    <n v="3"/>
    <n v="1870"/>
    <n v="9777"/>
    <n v="3"/>
    <n v="1952"/>
    <n v="1961"/>
    <s v="Independent House"/>
    <n v="3"/>
    <s v="East"/>
    <s v="No"/>
    <s v="Semi-Furnished"/>
    <n v="4"/>
    <n v="4"/>
    <s v="HSR Layout Heights"/>
    <n v="1"/>
    <s v="Yes"/>
    <n v="17145000"/>
    <x v="1"/>
    <s v="BRK-01"/>
    <x v="2"/>
    <s v="Tier A"/>
    <n v="0.02"/>
    <n v="0"/>
    <n v="0"/>
    <n v="0"/>
  </r>
  <r>
    <x v="4"/>
    <s v="Koramangala"/>
    <x v="1"/>
    <n v="2"/>
    <n v="2556"/>
    <n v="5322"/>
    <n v="3"/>
    <n v="1967"/>
    <n v="1995"/>
    <s v="Builder Floor"/>
    <n v="2"/>
    <s v="North"/>
    <s v="No"/>
    <s v="Unfurnished"/>
    <n v="10"/>
    <n v="0"/>
    <s v="Koramangala Enclave"/>
    <n v="1"/>
    <s v="Yes"/>
    <n v="23439000"/>
    <x v="1"/>
    <s v="BRK-03"/>
    <x v="1"/>
    <s v="Tier A"/>
    <n v="0.02"/>
    <n v="0"/>
    <n v="0"/>
    <n v="0"/>
  </r>
  <r>
    <x v="1"/>
    <s v="Rohini"/>
    <x v="0"/>
    <n v="2"/>
    <n v="4610"/>
    <n v="6771"/>
    <n v="3"/>
    <n v="1990"/>
    <n v="1996"/>
    <s v="Independent House"/>
    <n v="1"/>
    <s v="South"/>
    <s v="Yes"/>
    <s v="Furnished"/>
    <n v="1"/>
    <n v="5"/>
    <s v="Rohini Villa"/>
    <n v="3"/>
    <s v="Yes"/>
    <n v="46565000"/>
    <x v="0"/>
    <s v="BRK-04"/>
    <x v="3"/>
    <s v="Tier C"/>
    <n v="0.01"/>
    <n v="465650"/>
    <n v="1396950"/>
    <n v="931300"/>
  </r>
  <r>
    <x v="2"/>
    <s v="Kothrud"/>
    <x v="1"/>
    <n v="2"/>
    <n v="2275"/>
    <n v="7185"/>
    <n v="1"/>
    <n v="1975"/>
    <n v="2005"/>
    <s v="Apartment"/>
    <n v="1"/>
    <s v="West"/>
    <s v="No"/>
    <s v="Furnished"/>
    <n v="0"/>
    <n v="3"/>
    <s v="Kothrud Heights"/>
    <n v="0"/>
    <s v="Yes"/>
    <n v="19792500"/>
    <x v="2"/>
    <s v="BRK-05"/>
    <x v="4"/>
    <s v="Tier B"/>
    <n v="1.4999999999999999E-2"/>
    <n v="0"/>
    <n v="0"/>
    <n v="0"/>
  </r>
  <r>
    <x v="2"/>
    <s v="Aundh"/>
    <x v="3"/>
    <n v="3"/>
    <n v="3489"/>
    <n v="4319"/>
    <n v="2"/>
    <n v="2014"/>
    <n v="2019"/>
    <s v="Builder Floor"/>
    <n v="0"/>
    <s v="South"/>
    <s v="Yes"/>
    <s v="Furnished"/>
    <n v="0"/>
    <n v="4"/>
    <s v="Aundh Heights"/>
    <n v="2"/>
    <s v="No"/>
    <n v="30116500"/>
    <x v="0"/>
    <s v="BRK-05"/>
    <x v="4"/>
    <s v="Tier B"/>
    <n v="1.4999999999999999E-2"/>
    <n v="451747.5"/>
    <n v="903495"/>
    <n v="451747.5"/>
  </r>
  <r>
    <x v="0"/>
    <s v="Powai"/>
    <x v="4"/>
    <n v="1"/>
    <n v="2302"/>
    <n v="7991"/>
    <n v="2"/>
    <n v="1992"/>
    <n v="2021"/>
    <s v="Independent House"/>
    <n v="2"/>
    <s v="East"/>
    <s v="Yes"/>
    <s v="Unfurnished"/>
    <n v="6"/>
    <n v="0"/>
    <s v="Powai Residency"/>
    <n v="3"/>
    <s v="No"/>
    <n v="27864000"/>
    <x v="1"/>
    <s v="BRK-04"/>
    <x v="3"/>
    <s v="Tier C"/>
    <n v="0.01"/>
    <n v="0"/>
    <n v="0"/>
    <n v="0"/>
  </r>
  <r>
    <x v="2"/>
    <s v="Viman Nagar"/>
    <x v="4"/>
    <n v="1"/>
    <n v="924"/>
    <n v="6073"/>
    <n v="3"/>
    <n v="1959"/>
    <n v="1973"/>
    <s v="Villa"/>
    <n v="0"/>
    <s v="East"/>
    <s v="Yes"/>
    <s v="Furnished"/>
    <n v="6"/>
    <n v="4"/>
    <s v="Viman Nagar Villa"/>
    <n v="2"/>
    <s v="Yes"/>
    <n v="8224000"/>
    <x v="1"/>
    <s v="BRK-01"/>
    <x v="2"/>
    <s v="Tier A"/>
    <n v="0.02"/>
    <n v="0"/>
    <n v="0"/>
    <n v="0"/>
  </r>
  <r>
    <x v="2"/>
    <s v="Hinjewadi"/>
    <x v="3"/>
    <n v="2"/>
    <n v="1697"/>
    <n v="4330"/>
    <n v="1"/>
    <n v="2014"/>
    <n v="2015"/>
    <s v="Builder Floor"/>
    <n v="1"/>
    <s v="West"/>
    <s v="No"/>
    <s v="Semi-Furnished"/>
    <n v="5"/>
    <n v="3"/>
    <s v="Hinjewadi Heights"/>
    <n v="0"/>
    <s v="No"/>
    <n v="14704500"/>
    <x v="0"/>
    <s v="BRK-05"/>
    <x v="4"/>
    <s v="Tier B"/>
    <n v="1.4999999999999999E-2"/>
    <n v="220567.5"/>
    <n v="441135"/>
    <n v="220567.5"/>
  </r>
  <r>
    <x v="0"/>
    <s v="Juhu"/>
    <x v="4"/>
    <n v="4"/>
    <n v="651"/>
    <n v="6711"/>
    <n v="3"/>
    <n v="1952"/>
    <n v="1994"/>
    <s v="Apartment"/>
    <n v="3"/>
    <s v="West"/>
    <s v="No"/>
    <s v="Semi-Furnished"/>
    <n v="0"/>
    <n v="4"/>
    <s v="Juhu Heights"/>
    <n v="0"/>
    <s v="Yes"/>
    <n v="8142000"/>
    <x v="1"/>
    <s v="BRK-02"/>
    <x v="0"/>
    <s v="Tier B"/>
    <n v="1.4999999999999999E-2"/>
    <n v="0"/>
    <n v="0"/>
    <n v="0"/>
  </r>
  <r>
    <x v="3"/>
    <s v="T Nagar"/>
    <x v="2"/>
    <n v="2"/>
    <n v="753"/>
    <n v="9326"/>
    <n v="1"/>
    <n v="1996"/>
    <n v="2007"/>
    <s v="Independent House"/>
    <n v="0"/>
    <s v="North"/>
    <s v="No"/>
    <s v="Furnished"/>
    <n v="10"/>
    <n v="3"/>
    <s v="T Nagar Heights"/>
    <n v="2"/>
    <s v="Yes"/>
    <n v="6309000"/>
    <x v="2"/>
    <s v="BRK-02"/>
    <x v="0"/>
    <s v="Tier B"/>
    <n v="1.4999999999999999E-2"/>
    <n v="0"/>
    <n v="0"/>
    <n v="0"/>
  </r>
  <r>
    <x v="0"/>
    <s v="Bandra"/>
    <x v="4"/>
    <n v="3"/>
    <n v="3089"/>
    <n v="6053"/>
    <n v="1"/>
    <n v="2005"/>
    <n v="2020"/>
    <s v="Apartment"/>
    <n v="3"/>
    <s v="North"/>
    <s v="No"/>
    <s v="Unfurnished"/>
    <n v="7"/>
    <n v="3"/>
    <s v="Bandra Residency"/>
    <n v="1"/>
    <s v="No"/>
    <n v="37293000"/>
    <x v="2"/>
    <s v="BRK-03"/>
    <x v="1"/>
    <s v="Tier A"/>
    <n v="0.02"/>
    <n v="0"/>
    <n v="0"/>
    <n v="0"/>
  </r>
  <r>
    <x v="4"/>
    <s v="Whitefield"/>
    <x v="2"/>
    <n v="2"/>
    <n v="2790"/>
    <n v="7382"/>
    <n v="1"/>
    <n v="2017"/>
    <n v="2023"/>
    <s v="Apartment"/>
    <n v="2"/>
    <s v="East"/>
    <s v="Yes"/>
    <s v="Semi-Furnished"/>
    <n v="10"/>
    <n v="4"/>
    <s v="Whitefield Residency"/>
    <n v="3"/>
    <s v="Yes"/>
    <n v="25360000"/>
    <x v="0"/>
    <s v="BRK-05"/>
    <x v="4"/>
    <s v="Tier B"/>
    <n v="1.4999999999999999E-2"/>
    <n v="380400"/>
    <n v="760800"/>
    <n v="380400"/>
  </r>
  <r>
    <x v="1"/>
    <s v="Rohini"/>
    <x v="0"/>
    <n v="1"/>
    <n v="737"/>
    <n v="2465"/>
    <n v="3"/>
    <n v="1997"/>
    <n v="2010"/>
    <s v="Builder Floor"/>
    <n v="0"/>
    <s v="East"/>
    <s v="Yes"/>
    <s v="Semi-Furnished"/>
    <n v="4"/>
    <n v="4"/>
    <s v="Rohini Residency"/>
    <n v="0"/>
    <s v="No"/>
    <n v="7635000"/>
    <x v="2"/>
    <s v="BRK-01"/>
    <x v="2"/>
    <s v="Tier A"/>
    <n v="0.02"/>
    <n v="0"/>
    <n v="0"/>
    <n v="0"/>
  </r>
  <r>
    <x v="4"/>
    <s v="HSR Layout"/>
    <x v="4"/>
    <n v="4"/>
    <n v="4992"/>
    <n v="8488"/>
    <n v="3"/>
    <n v="2023"/>
    <n v="2025"/>
    <s v="Villa"/>
    <n v="3"/>
    <s v="North"/>
    <s v="No"/>
    <s v="Furnished"/>
    <n v="8"/>
    <n v="2"/>
    <s v="HSR Layout Villa"/>
    <n v="1"/>
    <s v="Yes"/>
    <n v="45348000"/>
    <x v="0"/>
    <s v="BRK-01"/>
    <x v="2"/>
    <s v="Tier A"/>
    <n v="0.02"/>
    <n v="906960"/>
    <n v="1360440"/>
    <n v="453480"/>
  </r>
  <r>
    <x v="4"/>
    <s v="HSR Layout"/>
    <x v="2"/>
    <n v="3"/>
    <n v="474"/>
    <n v="8723"/>
    <n v="2"/>
    <n v="2022"/>
    <n v="2025"/>
    <s v="Apartment"/>
    <n v="1"/>
    <s v="South"/>
    <s v="Yes"/>
    <s v="Furnished"/>
    <n v="3"/>
    <n v="2"/>
    <s v="HSR Layout Residency"/>
    <n v="3"/>
    <s v="No"/>
    <n v="4591000"/>
    <x v="1"/>
    <s v="BRK-01"/>
    <x v="2"/>
    <s v="Tier A"/>
    <n v="0.02"/>
    <n v="0"/>
    <n v="0"/>
    <n v="0"/>
  </r>
  <r>
    <x v="2"/>
    <s v="Aundh"/>
    <x v="2"/>
    <n v="4"/>
    <n v="488"/>
    <n v="9678"/>
    <n v="2"/>
    <n v="1969"/>
    <n v="1993"/>
    <s v="Builder Floor"/>
    <n v="3"/>
    <s v="West"/>
    <s v="Yes"/>
    <s v="Unfurnished"/>
    <n v="7"/>
    <n v="1"/>
    <s v="Aundh Residency"/>
    <n v="2"/>
    <s v="Yes"/>
    <n v="4463000"/>
    <x v="2"/>
    <s v="BRK-05"/>
    <x v="4"/>
    <s v="Tier B"/>
    <n v="1.4999999999999999E-2"/>
    <n v="0"/>
    <n v="0"/>
    <n v="0"/>
  </r>
  <r>
    <x v="2"/>
    <s v="Aundh"/>
    <x v="4"/>
    <n v="3"/>
    <n v="3263"/>
    <n v="8639"/>
    <n v="1"/>
    <n v="2016"/>
    <n v="2017"/>
    <s v="Builder Floor"/>
    <n v="2"/>
    <s v="North"/>
    <s v="No"/>
    <s v="Semi-Furnished"/>
    <n v="10"/>
    <n v="0"/>
    <s v="Aundh Residency"/>
    <n v="3"/>
    <s v="No"/>
    <n v="27990500"/>
    <x v="2"/>
    <s v="BRK-02"/>
    <x v="0"/>
    <s v="Tier B"/>
    <n v="1.4999999999999999E-2"/>
    <n v="0"/>
    <n v="0"/>
    <n v="0"/>
  </r>
  <r>
    <x v="0"/>
    <s v="Powai"/>
    <x v="4"/>
    <n v="4"/>
    <n v="3238"/>
    <n v="7748"/>
    <n v="3"/>
    <n v="1968"/>
    <n v="1994"/>
    <s v="Villa"/>
    <n v="0"/>
    <s v="West"/>
    <s v="No"/>
    <s v="Semi-Furnished"/>
    <n v="6"/>
    <n v="5"/>
    <s v="Powai Heights"/>
    <n v="1"/>
    <s v="Yes"/>
    <n v="39201000"/>
    <x v="1"/>
    <s v="BRK-01"/>
    <x v="2"/>
    <s v="Tier A"/>
    <n v="0.02"/>
    <n v="0"/>
    <n v="0"/>
    <n v="0"/>
  </r>
  <r>
    <x v="2"/>
    <s v="Baner"/>
    <x v="3"/>
    <n v="1"/>
    <n v="1493"/>
    <n v="4660"/>
    <n v="3"/>
    <n v="1990"/>
    <n v="2025"/>
    <s v="Villa"/>
    <n v="0"/>
    <s v="East"/>
    <s v="Yes"/>
    <s v="Semi-Furnished"/>
    <n v="6"/>
    <n v="4"/>
    <s v="Baner Residency"/>
    <n v="1"/>
    <s v="No"/>
    <n v="13020500"/>
    <x v="1"/>
    <s v="BRK-01"/>
    <x v="2"/>
    <s v="Tier A"/>
    <n v="0.02"/>
    <n v="0"/>
    <n v="0"/>
    <n v="0"/>
  </r>
  <r>
    <x v="2"/>
    <s v="Viman Nagar"/>
    <x v="2"/>
    <n v="1"/>
    <n v="1645"/>
    <n v="9533"/>
    <n v="1"/>
    <n v="1950"/>
    <n v="0"/>
    <s v="Independent House"/>
    <n v="3"/>
    <s v="West"/>
    <s v="Yes"/>
    <s v="Furnished"/>
    <n v="1"/>
    <n v="3"/>
    <s v="Viman Nagar Residency"/>
    <n v="0"/>
    <s v="Yes"/>
    <n v="14232500"/>
    <x v="0"/>
    <s v="BRK-04"/>
    <x v="3"/>
    <s v="Tier C"/>
    <n v="0.01"/>
    <n v="142325"/>
    <n v="426975"/>
    <n v="284650"/>
  </r>
  <r>
    <x v="1"/>
    <s v="Lajpat Nagar"/>
    <x v="0"/>
    <n v="1"/>
    <n v="692"/>
    <n v="1826"/>
    <n v="2"/>
    <n v="2017"/>
    <n v="0"/>
    <s v="Villa"/>
    <n v="0"/>
    <s v="East"/>
    <s v="Yes"/>
    <s v="Unfurnished"/>
    <n v="5"/>
    <n v="0"/>
    <s v="Lajpat Nagar Villa"/>
    <n v="3"/>
    <s v="Yes"/>
    <n v="7260000"/>
    <x v="1"/>
    <s v="BRK-03"/>
    <x v="1"/>
    <s v="Tier A"/>
    <n v="0.02"/>
    <n v="0"/>
    <n v="0"/>
    <n v="0"/>
  </r>
  <r>
    <x v="2"/>
    <s v="Hinjewadi"/>
    <x v="1"/>
    <n v="4"/>
    <n v="3668"/>
    <n v="8854"/>
    <n v="1"/>
    <n v="1956"/>
    <n v="2002"/>
    <s v="Apartment"/>
    <n v="2"/>
    <s v="East"/>
    <s v="Yes"/>
    <s v="Semi-Furnished"/>
    <n v="7"/>
    <n v="3"/>
    <s v="Hinjewadi Enclave"/>
    <n v="3"/>
    <s v="Yes"/>
    <n v="31688000"/>
    <x v="1"/>
    <s v="BRK-03"/>
    <x v="1"/>
    <s v="Tier A"/>
    <n v="0.02"/>
    <n v="0"/>
    <n v="0"/>
    <n v="0"/>
  </r>
  <r>
    <x v="0"/>
    <s v="Borivali"/>
    <x v="4"/>
    <n v="4"/>
    <n v="3672"/>
    <n v="9222"/>
    <n v="1"/>
    <n v="1967"/>
    <n v="1988"/>
    <s v="Builder Floor"/>
    <n v="0"/>
    <s v="West"/>
    <s v="No"/>
    <s v="Semi-Furnished"/>
    <n v="0"/>
    <n v="1"/>
    <s v="Borivali Heights"/>
    <n v="2"/>
    <s v="Yes"/>
    <n v="44384000"/>
    <x v="2"/>
    <s v="BRK-02"/>
    <x v="0"/>
    <s v="Tier B"/>
    <n v="1.4999999999999999E-2"/>
    <n v="0"/>
    <n v="0"/>
    <n v="0"/>
  </r>
  <r>
    <x v="3"/>
    <s v="Perambur"/>
    <x v="1"/>
    <n v="3"/>
    <n v="850"/>
    <n v="4099"/>
    <n v="1"/>
    <n v="1975"/>
    <n v="2003"/>
    <s v="Apartment"/>
    <n v="0"/>
    <s v="South"/>
    <s v="No"/>
    <s v="Semi-Furnished"/>
    <n v="2"/>
    <n v="1"/>
    <s v="Perambur Enclave"/>
    <n v="3"/>
    <s v="Yes"/>
    <n v="7255000"/>
    <x v="1"/>
    <s v="BRK-04"/>
    <x v="3"/>
    <s v="Tier C"/>
    <n v="0.01"/>
    <n v="0"/>
    <n v="0"/>
    <n v="0"/>
  </r>
  <r>
    <x v="3"/>
    <s v="Perambur"/>
    <x v="2"/>
    <n v="4"/>
    <n v="387"/>
    <n v="3794"/>
    <n v="1"/>
    <n v="1963"/>
    <n v="1972"/>
    <s v="Apartment"/>
    <n v="0"/>
    <s v="West"/>
    <s v="Yes"/>
    <s v="Furnished"/>
    <n v="6"/>
    <n v="1"/>
    <s v="Perambur Enclave"/>
    <n v="1"/>
    <s v="No"/>
    <n v="3401000"/>
    <x v="0"/>
    <s v="BRK-04"/>
    <x v="3"/>
    <s v="Tier C"/>
    <n v="0.01"/>
    <n v="34010"/>
    <n v="102030"/>
    <n v="68020"/>
  </r>
  <r>
    <x v="3"/>
    <s v="Perambur"/>
    <x v="1"/>
    <n v="3"/>
    <n v="3380"/>
    <n v="4423"/>
    <n v="1"/>
    <n v="1977"/>
    <n v="2004"/>
    <s v="Builder Floor"/>
    <n v="2"/>
    <s v="East"/>
    <s v="No"/>
    <s v="Unfurnished"/>
    <n v="0"/>
    <n v="5"/>
    <s v="Perambur Residency"/>
    <n v="2"/>
    <s v="Yes"/>
    <n v="27480000"/>
    <x v="0"/>
    <s v="BRK-02"/>
    <x v="0"/>
    <s v="Tier B"/>
    <n v="1.4999999999999999E-2"/>
    <n v="412200"/>
    <n v="824400"/>
    <n v="412200"/>
  </r>
  <r>
    <x v="1"/>
    <s v="Vasant Kunj"/>
    <x v="0"/>
    <n v="1"/>
    <n v="1074"/>
    <n v="8188"/>
    <n v="2"/>
    <n v="1986"/>
    <n v="1988"/>
    <s v="Apartment"/>
    <n v="3"/>
    <s v="South"/>
    <s v="No"/>
    <s v="Furnished"/>
    <n v="6"/>
    <n v="3"/>
    <s v="Vasant Kunj Heights"/>
    <n v="1"/>
    <s v="No"/>
    <n v="11050000"/>
    <x v="1"/>
    <s v="BRK-05"/>
    <x v="4"/>
    <s v="Tier B"/>
    <n v="1.4999999999999999E-2"/>
    <n v="0"/>
    <n v="0"/>
    <n v="0"/>
  </r>
  <r>
    <x v="3"/>
    <s v="Perambur"/>
    <x v="4"/>
    <n v="2"/>
    <n v="915"/>
    <n v="1194"/>
    <n v="1"/>
    <n v="1961"/>
    <n v="2022"/>
    <s v="Apartment"/>
    <n v="0"/>
    <s v="South"/>
    <s v="No"/>
    <s v="Unfurnished"/>
    <n v="6"/>
    <n v="1"/>
    <s v="Perambur Enclave"/>
    <n v="3"/>
    <s v="No"/>
    <n v="7545000"/>
    <x v="1"/>
    <s v="BRK-04"/>
    <x v="3"/>
    <s v="Tier C"/>
    <n v="0.01"/>
    <n v="0"/>
    <n v="0"/>
    <n v="0"/>
  </r>
  <r>
    <x v="1"/>
    <s v="Vasant Kunj"/>
    <x v="4"/>
    <n v="2"/>
    <n v="1241"/>
    <n v="9733"/>
    <n v="1"/>
    <n v="2019"/>
    <n v="2023"/>
    <s v="Independent House"/>
    <n v="0"/>
    <s v="East"/>
    <s v="Yes"/>
    <s v="Unfurnished"/>
    <n v="7"/>
    <n v="5"/>
    <s v="Vasant Kunj Heights"/>
    <n v="3"/>
    <s v="No"/>
    <n v="12660000"/>
    <x v="2"/>
    <s v="BRK-02"/>
    <x v="0"/>
    <s v="Tier B"/>
    <n v="1.4999999999999999E-2"/>
    <n v="0"/>
    <n v="0"/>
    <n v="0"/>
  </r>
  <r>
    <x v="3"/>
    <s v="T Nagar"/>
    <x v="3"/>
    <n v="4"/>
    <n v="800"/>
    <n v="7447"/>
    <n v="2"/>
    <n v="1980"/>
    <n v="2004"/>
    <s v="Apartment"/>
    <n v="0"/>
    <s v="East"/>
    <s v="Yes"/>
    <s v="Semi-Furnished"/>
    <n v="8"/>
    <n v="1"/>
    <s v="T Nagar Heights"/>
    <n v="1"/>
    <s v="Yes"/>
    <n v="6850000"/>
    <x v="0"/>
    <s v="BRK-02"/>
    <x v="0"/>
    <s v="Tier B"/>
    <n v="1.4999999999999999E-2"/>
    <n v="102750"/>
    <n v="205500"/>
    <n v="102750"/>
  </r>
  <r>
    <x v="1"/>
    <s v="Saket"/>
    <x v="0"/>
    <n v="2"/>
    <n v="1006"/>
    <n v="7500"/>
    <n v="3"/>
    <n v="1996"/>
    <n v="0"/>
    <s v="Villa"/>
    <n v="3"/>
    <s v="North"/>
    <s v="No"/>
    <s v="Semi-Furnished"/>
    <n v="9"/>
    <n v="1"/>
    <s v="Saket Heights"/>
    <n v="1"/>
    <s v="Yes"/>
    <n v="10395000"/>
    <x v="1"/>
    <s v="BRK-01"/>
    <x v="2"/>
    <s v="Tier A"/>
    <n v="0.02"/>
    <n v="0"/>
    <n v="0"/>
    <n v="0"/>
  </r>
  <r>
    <x v="2"/>
    <s v="Hinjewadi"/>
    <x v="0"/>
    <n v="4"/>
    <n v="4041"/>
    <n v="8958"/>
    <n v="1"/>
    <n v="2021"/>
    <n v="2024"/>
    <s v="Villa"/>
    <n v="1"/>
    <s v="West"/>
    <s v="No"/>
    <s v="Unfurnished"/>
    <n v="0"/>
    <n v="1"/>
    <s v="Hinjewadi Residency"/>
    <n v="0"/>
    <s v="No"/>
    <n v="34638500"/>
    <x v="0"/>
    <s v="BRK-05"/>
    <x v="4"/>
    <s v="Tier B"/>
    <n v="1.4999999999999999E-2"/>
    <n v="519577.5"/>
    <n v="1039155"/>
    <n v="519577.5"/>
  </r>
  <r>
    <x v="0"/>
    <s v="Powai"/>
    <x v="4"/>
    <n v="4"/>
    <n v="2354"/>
    <n v="6560"/>
    <n v="2"/>
    <n v="1966"/>
    <n v="1984"/>
    <s v="Villa"/>
    <n v="0"/>
    <s v="North"/>
    <s v="No"/>
    <s v="Semi-Furnished"/>
    <n v="7"/>
    <n v="5"/>
    <s v="Powai Villa"/>
    <n v="0"/>
    <s v="No"/>
    <n v="28508000"/>
    <x v="2"/>
    <s v="BRK-05"/>
    <x v="4"/>
    <s v="Tier B"/>
    <n v="1.4999999999999999E-2"/>
    <n v="0"/>
    <n v="0"/>
    <n v="0"/>
  </r>
  <r>
    <x v="0"/>
    <s v="Juhu"/>
    <x v="4"/>
    <n v="2"/>
    <n v="4756"/>
    <n v="8096"/>
    <n v="2"/>
    <n v="1999"/>
    <n v="2013"/>
    <s v="Apartment"/>
    <n v="1"/>
    <s v="North"/>
    <s v="No"/>
    <s v="Semi-Furnished"/>
    <n v="6"/>
    <n v="0"/>
    <s v="Juhu Heights"/>
    <n v="3"/>
    <s v="No"/>
    <n v="57317000"/>
    <x v="2"/>
    <s v="BRK-02"/>
    <x v="0"/>
    <s v="Tier B"/>
    <n v="1.4999999999999999E-2"/>
    <n v="0"/>
    <n v="0"/>
    <n v="0"/>
  </r>
  <r>
    <x v="2"/>
    <s v="Aundh"/>
    <x v="3"/>
    <n v="4"/>
    <n v="4739"/>
    <n v="6017"/>
    <n v="3"/>
    <n v="2023"/>
    <n v="2025"/>
    <s v="Independent House"/>
    <n v="1"/>
    <s v="South"/>
    <s v="No"/>
    <s v="Unfurnished"/>
    <n v="9"/>
    <n v="1"/>
    <s v="Aundh Villa"/>
    <n v="0"/>
    <s v="No"/>
    <n v="40661500"/>
    <x v="2"/>
    <s v="BRK-01"/>
    <x v="2"/>
    <s v="Tier A"/>
    <n v="0.02"/>
    <n v="0"/>
    <n v="0"/>
    <n v="0"/>
  </r>
  <r>
    <x v="2"/>
    <s v="Kothrud"/>
    <x v="3"/>
    <n v="2"/>
    <n v="2245"/>
    <n v="5315"/>
    <n v="1"/>
    <n v="1984"/>
    <n v="1984"/>
    <s v="Villa"/>
    <n v="3"/>
    <s v="West"/>
    <s v="No"/>
    <s v="Unfurnished"/>
    <n v="7"/>
    <n v="4"/>
    <s v="Kothrud Heights"/>
    <n v="0"/>
    <s v="Yes"/>
    <n v="19412500"/>
    <x v="2"/>
    <s v="BRK-02"/>
    <x v="0"/>
    <s v="Tier B"/>
    <n v="1.4999999999999999E-2"/>
    <n v="0"/>
    <n v="0"/>
    <n v="0"/>
  </r>
  <r>
    <x v="1"/>
    <s v="Saket"/>
    <x v="1"/>
    <n v="2"/>
    <n v="3106"/>
    <n v="6224"/>
    <n v="2"/>
    <n v="1982"/>
    <n v="1992"/>
    <s v="Independent House"/>
    <n v="3"/>
    <s v="West"/>
    <s v="Yes"/>
    <s v="Furnished"/>
    <n v="5"/>
    <n v="4"/>
    <s v="Saket Enclave"/>
    <n v="1"/>
    <s v="Yes"/>
    <n v="31575000"/>
    <x v="1"/>
    <s v="BRK-05"/>
    <x v="4"/>
    <s v="Tier B"/>
    <n v="1.4999999999999999E-2"/>
    <n v="0"/>
    <n v="0"/>
    <n v="0"/>
  </r>
  <r>
    <x v="1"/>
    <s v="Lajpat Nagar"/>
    <x v="1"/>
    <n v="3"/>
    <n v="3506"/>
    <n v="5376"/>
    <n v="1"/>
    <n v="2019"/>
    <n v="2019"/>
    <s v="Villa"/>
    <n v="3"/>
    <s v="South"/>
    <s v="No"/>
    <s v="Furnished"/>
    <n v="10"/>
    <n v="5"/>
    <s v="Lajpat Nagar Enclave"/>
    <n v="1"/>
    <s v="No"/>
    <n v="35510000"/>
    <x v="0"/>
    <s v="BRK-04"/>
    <x v="3"/>
    <s v="Tier C"/>
    <n v="0.01"/>
    <n v="355100"/>
    <n v="1065300"/>
    <n v="710200"/>
  </r>
  <r>
    <x v="3"/>
    <s v="Velachery"/>
    <x v="0"/>
    <n v="4"/>
    <n v="1673"/>
    <n v="4538"/>
    <n v="2"/>
    <n v="2025"/>
    <n v="0"/>
    <s v="Apartment"/>
    <n v="2"/>
    <s v="East"/>
    <s v="Yes"/>
    <s v="Furnished"/>
    <n v="8"/>
    <n v="0"/>
    <s v="Velachery Villa"/>
    <n v="2"/>
    <s v="No"/>
    <n v="13824000"/>
    <x v="1"/>
    <s v="BRK-04"/>
    <x v="3"/>
    <s v="Tier C"/>
    <n v="0.01"/>
    <n v="0"/>
    <n v="0"/>
    <n v="0"/>
  </r>
  <r>
    <x v="0"/>
    <s v="Borivali"/>
    <x v="1"/>
    <n v="3"/>
    <n v="3464"/>
    <n v="8090"/>
    <n v="2"/>
    <n v="1952"/>
    <n v="1992"/>
    <s v="Independent House"/>
    <n v="2"/>
    <s v="East"/>
    <s v="Yes"/>
    <s v="Furnished"/>
    <n v="3"/>
    <n v="2"/>
    <s v="Borivali Heights"/>
    <n v="0"/>
    <s v="Yes"/>
    <n v="42098000"/>
    <x v="1"/>
    <s v="BRK-04"/>
    <x v="3"/>
    <s v="Tier C"/>
    <n v="0.01"/>
    <n v="0"/>
    <n v="0"/>
    <n v="0"/>
  </r>
  <r>
    <x v="3"/>
    <s v="Perambur"/>
    <x v="3"/>
    <n v="2"/>
    <n v="684"/>
    <n v="3996"/>
    <n v="3"/>
    <n v="1992"/>
    <n v="2006"/>
    <s v="Villa"/>
    <n v="0"/>
    <s v="North"/>
    <s v="No"/>
    <s v="Furnished"/>
    <n v="6"/>
    <n v="2"/>
    <s v="Perambur Heights"/>
    <n v="2"/>
    <s v="No"/>
    <n v="5897000"/>
    <x v="0"/>
    <s v="BRK-02"/>
    <x v="0"/>
    <s v="Tier B"/>
    <n v="1.4999999999999999E-2"/>
    <n v="88455"/>
    <n v="176910"/>
    <n v="88455"/>
  </r>
  <r>
    <x v="3"/>
    <s v="T Nagar"/>
    <x v="0"/>
    <n v="3"/>
    <n v="1957"/>
    <n v="2885"/>
    <n v="1"/>
    <n v="1972"/>
    <n v="1994"/>
    <s v="Apartment"/>
    <n v="3"/>
    <s v="West"/>
    <s v="Yes"/>
    <s v="Furnished"/>
    <n v="6"/>
    <n v="3"/>
    <s v="T Nagar Enclave"/>
    <n v="0"/>
    <s v="Yes"/>
    <n v="16066000"/>
    <x v="2"/>
    <s v="BRK-04"/>
    <x v="3"/>
    <s v="Tier C"/>
    <n v="0.01"/>
    <n v="0"/>
    <n v="0"/>
    <n v="0"/>
  </r>
  <r>
    <x v="2"/>
    <s v="Viman Nagar"/>
    <x v="4"/>
    <n v="1"/>
    <n v="2622"/>
    <n v="8977"/>
    <n v="1"/>
    <n v="1954"/>
    <n v="1998"/>
    <s v="Apartment"/>
    <n v="3"/>
    <s v="West"/>
    <s v="Yes"/>
    <s v="Unfurnished"/>
    <n v="9"/>
    <n v="4"/>
    <s v="Viman Nagar Villa"/>
    <n v="0"/>
    <s v="Yes"/>
    <n v="22512000"/>
    <x v="0"/>
    <s v="BRK-02"/>
    <x v="0"/>
    <s v="Tier B"/>
    <n v="1.4999999999999999E-2"/>
    <n v="337680"/>
    <n v="675360"/>
    <n v="337680"/>
  </r>
  <r>
    <x v="3"/>
    <s v="T Nagar"/>
    <x v="0"/>
    <n v="3"/>
    <n v="1363"/>
    <n v="5263"/>
    <n v="3"/>
    <n v="2017"/>
    <n v="2024"/>
    <s v="Villa"/>
    <n v="3"/>
    <s v="South"/>
    <s v="Yes"/>
    <s v="Semi-Furnished"/>
    <n v="8"/>
    <n v="3"/>
    <s v="T Nagar Villa"/>
    <n v="0"/>
    <s v="No"/>
    <n v="11229000"/>
    <x v="1"/>
    <s v="BRK-03"/>
    <x v="1"/>
    <s v="Tier A"/>
    <n v="0.02"/>
    <n v="0"/>
    <n v="0"/>
    <n v="0"/>
  </r>
  <r>
    <x v="2"/>
    <s v="Aundh"/>
    <x v="3"/>
    <n v="4"/>
    <n v="4714"/>
    <n v="8386"/>
    <n v="2"/>
    <n v="1988"/>
    <n v="1997"/>
    <s v="Apartment"/>
    <n v="3"/>
    <s v="East"/>
    <s v="No"/>
    <s v="Unfurnished"/>
    <n v="10"/>
    <n v="2"/>
    <s v="Aundh Enclave"/>
    <n v="3"/>
    <s v="No"/>
    <n v="40474000"/>
    <x v="1"/>
    <s v="BRK-02"/>
    <x v="0"/>
    <s v="Tier B"/>
    <n v="1.4999999999999999E-2"/>
    <n v="0"/>
    <n v="0"/>
    <n v="0"/>
  </r>
  <r>
    <x v="4"/>
    <s v="HSR Layout"/>
    <x v="0"/>
    <n v="2"/>
    <n v="4412"/>
    <n v="5517"/>
    <n v="2"/>
    <n v="1965"/>
    <n v="2025"/>
    <s v="Builder Floor"/>
    <n v="3"/>
    <s v="East"/>
    <s v="Yes"/>
    <s v="Furnished"/>
    <n v="0"/>
    <n v="0"/>
    <s v="HSR Layout Heights"/>
    <n v="1"/>
    <s v="No"/>
    <n v="40073000"/>
    <x v="1"/>
    <s v="BRK-04"/>
    <x v="3"/>
    <s v="Tier C"/>
    <n v="0.01"/>
    <n v="0"/>
    <n v="0"/>
    <n v="0"/>
  </r>
  <r>
    <x v="4"/>
    <s v="Koramangala"/>
    <x v="1"/>
    <n v="2"/>
    <n v="895"/>
    <n v="4818"/>
    <n v="1"/>
    <n v="1964"/>
    <n v="2014"/>
    <s v="Villa"/>
    <n v="2"/>
    <s v="North"/>
    <s v="Yes"/>
    <s v="Furnished"/>
    <n v="5"/>
    <n v="2"/>
    <s v="Koramangala Villa"/>
    <n v="0"/>
    <s v="Yes"/>
    <n v="8535000"/>
    <x v="2"/>
    <s v="BRK-03"/>
    <x v="1"/>
    <s v="Tier A"/>
    <n v="0.02"/>
    <n v="0"/>
    <n v="0"/>
    <n v="0"/>
  </r>
  <r>
    <x v="3"/>
    <s v="Perambur"/>
    <x v="4"/>
    <n v="1"/>
    <n v="2625"/>
    <n v="5159"/>
    <n v="2"/>
    <n v="2016"/>
    <n v="2023"/>
    <s v="Independent House"/>
    <n v="3"/>
    <s v="West"/>
    <s v="Yes"/>
    <s v="Semi-Furnished"/>
    <n v="3"/>
    <n v="3"/>
    <s v="Perambur Villa"/>
    <n v="3"/>
    <s v="No"/>
    <n v="21240000"/>
    <x v="0"/>
    <s v="BRK-05"/>
    <x v="4"/>
    <s v="Tier B"/>
    <n v="1.4999999999999999E-2"/>
    <n v="318600"/>
    <n v="637200"/>
    <n v="318600"/>
  </r>
  <r>
    <x v="3"/>
    <s v="Velachery"/>
    <x v="2"/>
    <n v="2"/>
    <n v="3300"/>
    <n v="7571"/>
    <n v="3"/>
    <n v="1971"/>
    <n v="1993"/>
    <s v="Villa"/>
    <n v="1"/>
    <s v="North"/>
    <s v="Yes"/>
    <s v="Furnished"/>
    <n v="8"/>
    <n v="0"/>
    <s v="Velachery Residency"/>
    <n v="1"/>
    <s v="Yes"/>
    <n v="26735000"/>
    <x v="2"/>
    <s v="BRK-04"/>
    <x v="3"/>
    <s v="Tier C"/>
    <n v="0.01"/>
    <n v="0"/>
    <n v="0"/>
    <n v="0"/>
  </r>
  <r>
    <x v="1"/>
    <s v="Rohini"/>
    <x v="1"/>
    <n v="2"/>
    <n v="358"/>
    <n v="5402"/>
    <n v="3"/>
    <n v="1961"/>
    <n v="1967"/>
    <s v="Independent House"/>
    <n v="0"/>
    <s v="North"/>
    <s v="Yes"/>
    <s v="Semi-Furnished"/>
    <n v="4"/>
    <n v="3"/>
    <s v="Rohini Residency"/>
    <n v="1"/>
    <s v="No"/>
    <n v="3990000"/>
    <x v="0"/>
    <s v="BRK-04"/>
    <x v="3"/>
    <s v="Tier C"/>
    <n v="0.01"/>
    <n v="39900"/>
    <n v="119700"/>
    <n v="79800"/>
  </r>
  <r>
    <x v="4"/>
    <s v="Whitefield"/>
    <x v="1"/>
    <n v="2"/>
    <n v="4163"/>
    <n v="7522"/>
    <n v="3"/>
    <n v="1961"/>
    <n v="2018"/>
    <s v="Apartment"/>
    <n v="1"/>
    <s v="East"/>
    <s v="No"/>
    <s v="Semi-Furnished"/>
    <n v="5"/>
    <n v="2"/>
    <s v="Whitefield Enclave"/>
    <n v="2"/>
    <s v="No"/>
    <n v="37867000"/>
    <x v="1"/>
    <s v="BRK-02"/>
    <x v="0"/>
    <s v="Tier B"/>
    <n v="1.4999999999999999E-2"/>
    <n v="0"/>
    <n v="0"/>
    <n v="0"/>
  </r>
  <r>
    <x v="1"/>
    <s v="Vasant Kunj"/>
    <x v="4"/>
    <n v="1"/>
    <n v="2965"/>
    <n v="4181"/>
    <n v="3"/>
    <n v="1961"/>
    <n v="2025"/>
    <s v="Independent House"/>
    <n v="3"/>
    <s v="South"/>
    <s v="Yes"/>
    <s v="Semi-Furnished"/>
    <n v="0"/>
    <n v="4"/>
    <s v="Vasant Kunj Residency"/>
    <n v="3"/>
    <s v="Yes"/>
    <n v="29960000"/>
    <x v="0"/>
    <s v="BRK-01"/>
    <x v="2"/>
    <s v="Tier A"/>
    <n v="0.02"/>
    <n v="599200"/>
    <n v="898800"/>
    <n v="299600"/>
  </r>
  <r>
    <x v="3"/>
    <s v="Velachery"/>
    <x v="2"/>
    <n v="4"/>
    <n v="2061"/>
    <n v="3735"/>
    <n v="2"/>
    <n v="1977"/>
    <n v="2012"/>
    <s v="Apartment"/>
    <n v="0"/>
    <s v="East"/>
    <s v="Yes"/>
    <s v="Furnished"/>
    <n v="2"/>
    <n v="4"/>
    <s v="Velachery Residency"/>
    <n v="3"/>
    <s v="Yes"/>
    <n v="16893000"/>
    <x v="0"/>
    <s v="BRK-03"/>
    <x v="1"/>
    <s v="Tier A"/>
    <n v="0.02"/>
    <n v="337860"/>
    <n v="506790"/>
    <n v="168930"/>
  </r>
  <r>
    <x v="0"/>
    <s v="Borivali"/>
    <x v="0"/>
    <n v="1"/>
    <n v="2783"/>
    <n v="4768"/>
    <n v="3"/>
    <n v="2020"/>
    <n v="2020"/>
    <s v="Apartment"/>
    <n v="1"/>
    <s v="East"/>
    <s v="No"/>
    <s v="Unfurnished"/>
    <n v="3"/>
    <n v="4"/>
    <s v="Borivali Residency"/>
    <n v="2"/>
    <s v="No"/>
    <n v="33666000"/>
    <x v="2"/>
    <s v="BRK-03"/>
    <x v="1"/>
    <s v="Tier A"/>
    <n v="0.02"/>
    <n v="0"/>
    <n v="0"/>
    <n v="0"/>
  </r>
  <r>
    <x v="4"/>
    <s v="MG Road"/>
    <x v="2"/>
    <n v="4"/>
    <n v="4093"/>
    <n v="8182"/>
    <n v="1"/>
    <n v="1970"/>
    <n v="2020"/>
    <s v="Independent House"/>
    <n v="2"/>
    <s v="South"/>
    <s v="Yes"/>
    <s v="Unfurnished"/>
    <n v="5"/>
    <n v="2"/>
    <s v="MG Road Enclave"/>
    <n v="3"/>
    <s v="Yes"/>
    <n v="37147000"/>
    <x v="2"/>
    <s v="BRK-02"/>
    <x v="0"/>
    <s v="Tier B"/>
    <n v="1.4999999999999999E-2"/>
    <n v="0"/>
    <n v="0"/>
    <n v="0"/>
  </r>
  <r>
    <x v="1"/>
    <s v="Vasant Kunj"/>
    <x v="1"/>
    <n v="4"/>
    <n v="322"/>
    <n v="3432"/>
    <n v="3"/>
    <n v="1972"/>
    <n v="1999"/>
    <s v="Builder Floor"/>
    <n v="1"/>
    <s v="North"/>
    <s v="No"/>
    <s v="Furnished"/>
    <n v="10"/>
    <n v="4"/>
    <s v="Vasant Kunj Villa"/>
    <n v="3"/>
    <s v="Yes"/>
    <n v="3820000"/>
    <x v="1"/>
    <s v="BRK-05"/>
    <x v="4"/>
    <s v="Tier B"/>
    <n v="1.4999999999999999E-2"/>
    <n v="0"/>
    <n v="0"/>
    <n v="0"/>
  </r>
  <r>
    <x v="1"/>
    <s v="Vasant Kunj"/>
    <x v="0"/>
    <n v="2"/>
    <n v="4873"/>
    <n v="9174"/>
    <n v="1"/>
    <n v="1966"/>
    <n v="1974"/>
    <s v="Builder Floor"/>
    <n v="0"/>
    <s v="South"/>
    <s v="No"/>
    <s v="Semi-Furnished"/>
    <n v="0"/>
    <n v="4"/>
    <s v="Vasant Kunj Residency"/>
    <n v="1"/>
    <s v="Yes"/>
    <n v="49025000"/>
    <x v="2"/>
    <s v="BRK-02"/>
    <x v="0"/>
    <s v="Tier B"/>
    <n v="1.4999999999999999E-2"/>
    <n v="0"/>
    <n v="0"/>
    <n v="0"/>
  </r>
  <r>
    <x v="0"/>
    <s v="Juhu"/>
    <x v="1"/>
    <n v="4"/>
    <n v="4114"/>
    <n v="8412"/>
    <n v="3"/>
    <n v="2014"/>
    <n v="2022"/>
    <s v="Independent House"/>
    <n v="2"/>
    <s v="South"/>
    <s v="No"/>
    <s v="Unfurnished"/>
    <n v="8"/>
    <n v="2"/>
    <s v="Juhu Residency"/>
    <n v="1"/>
    <s v="No"/>
    <n v="49813000"/>
    <x v="1"/>
    <s v="BRK-05"/>
    <x v="4"/>
    <s v="Tier B"/>
    <n v="1.4999999999999999E-2"/>
    <n v="0"/>
    <n v="0"/>
    <n v="0"/>
  </r>
  <r>
    <x v="0"/>
    <s v="Andheri"/>
    <x v="4"/>
    <n v="1"/>
    <n v="2578"/>
    <n v="5102"/>
    <n v="1"/>
    <n v="1999"/>
    <n v="2018"/>
    <s v="Builder Floor"/>
    <n v="2"/>
    <s v="North"/>
    <s v="No"/>
    <s v="Furnished"/>
    <n v="5"/>
    <n v="1"/>
    <s v="Andheri Residency"/>
    <n v="0"/>
    <s v="Yes"/>
    <n v="31211000"/>
    <x v="0"/>
    <s v="BRK-03"/>
    <x v="1"/>
    <s v="Tier A"/>
    <n v="0.02"/>
    <n v="624220"/>
    <n v="936330"/>
    <n v="312110"/>
  </r>
  <r>
    <x v="1"/>
    <s v="Lajpat Nagar"/>
    <x v="4"/>
    <n v="3"/>
    <n v="496"/>
    <n v="2061"/>
    <n v="2"/>
    <n v="1975"/>
    <n v="2004"/>
    <s v="Villa"/>
    <n v="1"/>
    <s v="North"/>
    <s v="Yes"/>
    <s v="Furnished"/>
    <n v="9"/>
    <n v="3"/>
    <s v="Lajpat Nagar Villa"/>
    <n v="0"/>
    <s v="Yes"/>
    <n v="5340000"/>
    <x v="1"/>
    <s v="BRK-05"/>
    <x v="4"/>
    <s v="Tier B"/>
    <n v="1.4999999999999999E-2"/>
    <n v="0"/>
    <n v="0"/>
    <n v="0"/>
  </r>
  <r>
    <x v="2"/>
    <s v="Baner"/>
    <x v="2"/>
    <n v="1"/>
    <n v="1489"/>
    <n v="8056"/>
    <n v="1"/>
    <n v="1969"/>
    <n v="2014"/>
    <s v="Apartment"/>
    <n v="0"/>
    <s v="South"/>
    <s v="Yes"/>
    <s v="Furnished"/>
    <n v="10"/>
    <n v="5"/>
    <s v="Baner Villa"/>
    <n v="3"/>
    <s v="No"/>
    <n v="12901500"/>
    <x v="1"/>
    <s v="BRK-05"/>
    <x v="4"/>
    <s v="Tier B"/>
    <n v="1.4999999999999999E-2"/>
    <n v="0"/>
    <n v="0"/>
    <n v="0"/>
  </r>
  <r>
    <x v="1"/>
    <s v="Dwarka"/>
    <x v="2"/>
    <n v="1"/>
    <n v="1249"/>
    <n v="3145"/>
    <n v="2"/>
    <n v="2001"/>
    <n v="2003"/>
    <s v="Apartment"/>
    <n v="1"/>
    <s v="North"/>
    <s v="Yes"/>
    <s v="Unfurnished"/>
    <n v="0"/>
    <n v="3"/>
    <s v="Dwarka Residency"/>
    <n v="2"/>
    <s v="No"/>
    <n v="12665000"/>
    <x v="1"/>
    <s v="BRK-04"/>
    <x v="3"/>
    <s v="Tier C"/>
    <n v="0.01"/>
    <n v="0"/>
    <n v="0"/>
    <n v="0"/>
  </r>
  <r>
    <x v="1"/>
    <s v="Rohini"/>
    <x v="1"/>
    <n v="2"/>
    <n v="603"/>
    <n v="5463"/>
    <n v="3"/>
    <n v="1974"/>
    <n v="2000"/>
    <s v="Independent House"/>
    <n v="2"/>
    <s v="South"/>
    <s v="Yes"/>
    <s v="Unfurnished"/>
    <n v="2"/>
    <n v="3"/>
    <s v="Rohini Enclave"/>
    <n v="0"/>
    <s v="Yes"/>
    <n v="6475000"/>
    <x v="0"/>
    <s v="BRK-01"/>
    <x v="2"/>
    <s v="Tier A"/>
    <n v="0.02"/>
    <n v="129500"/>
    <n v="194250"/>
    <n v="64750"/>
  </r>
  <r>
    <x v="4"/>
    <s v="Koramangala"/>
    <x v="2"/>
    <n v="1"/>
    <n v="2630"/>
    <n v="2866"/>
    <n v="3"/>
    <n v="2000"/>
    <n v="2019"/>
    <s v="Apartment"/>
    <n v="2"/>
    <s v="North"/>
    <s v="No"/>
    <s v="Furnished"/>
    <n v="2"/>
    <n v="4"/>
    <s v="Koramangala Enclave"/>
    <n v="3"/>
    <s v="Yes"/>
    <n v="23980000"/>
    <x v="1"/>
    <s v="BRK-02"/>
    <x v="0"/>
    <s v="Tier B"/>
    <n v="1.4999999999999999E-2"/>
    <n v="0"/>
    <n v="0"/>
    <n v="0"/>
  </r>
  <r>
    <x v="0"/>
    <s v="Powai"/>
    <x v="4"/>
    <n v="3"/>
    <n v="3166"/>
    <n v="9127"/>
    <n v="2"/>
    <n v="1958"/>
    <n v="0"/>
    <s v="Apartment"/>
    <n v="2"/>
    <s v="South"/>
    <s v="No"/>
    <s v="Furnished"/>
    <n v="1"/>
    <n v="1"/>
    <s v="Powai Villa"/>
    <n v="0"/>
    <s v="Yes"/>
    <n v="38347000"/>
    <x v="2"/>
    <s v="BRK-04"/>
    <x v="3"/>
    <s v="Tier C"/>
    <n v="0.01"/>
    <n v="0"/>
    <n v="0"/>
    <n v="0"/>
  </r>
  <r>
    <x v="4"/>
    <s v="Koramangala"/>
    <x v="3"/>
    <n v="3"/>
    <n v="4803"/>
    <n v="7528"/>
    <n v="3"/>
    <n v="1996"/>
    <n v="2007"/>
    <s v="Villa"/>
    <n v="1"/>
    <s v="South"/>
    <s v="Yes"/>
    <s v="Semi-Furnished"/>
    <n v="1"/>
    <n v="5"/>
    <s v="Koramangala Residency"/>
    <n v="0"/>
    <s v="Yes"/>
    <n v="43652000"/>
    <x v="0"/>
    <s v="BRK-03"/>
    <x v="1"/>
    <s v="Tier A"/>
    <n v="0.02"/>
    <n v="873040"/>
    <n v="1309560"/>
    <n v="436520"/>
  </r>
  <r>
    <x v="3"/>
    <s v="T Nagar"/>
    <x v="3"/>
    <n v="1"/>
    <n v="3264"/>
    <n v="8345"/>
    <n v="1"/>
    <n v="2011"/>
    <n v="2017"/>
    <s v="Independent House"/>
    <n v="2"/>
    <s v="North"/>
    <s v="Yes"/>
    <s v="Unfurnished"/>
    <n v="9"/>
    <n v="0"/>
    <s v="T Nagar Villa"/>
    <n v="0"/>
    <s v="No"/>
    <n v="26387000"/>
    <x v="1"/>
    <s v="BRK-03"/>
    <x v="1"/>
    <s v="Tier A"/>
    <n v="0.02"/>
    <n v="0"/>
    <n v="0"/>
    <n v="0"/>
  </r>
  <r>
    <x v="3"/>
    <s v="Perambur"/>
    <x v="2"/>
    <n v="4"/>
    <n v="2169"/>
    <n v="3283"/>
    <n v="1"/>
    <n v="1986"/>
    <n v="2018"/>
    <s v="Builder Floor"/>
    <n v="2"/>
    <s v="East"/>
    <s v="No"/>
    <s v="Furnished"/>
    <n v="10"/>
    <n v="5"/>
    <s v="Perambur Heights"/>
    <n v="1"/>
    <s v="No"/>
    <n v="17632000"/>
    <x v="1"/>
    <s v="BRK-05"/>
    <x v="4"/>
    <s v="Tier B"/>
    <n v="1.4999999999999999E-2"/>
    <n v="0"/>
    <n v="0"/>
    <n v="0"/>
  </r>
  <r>
    <x v="0"/>
    <s v="Bandra"/>
    <x v="2"/>
    <n v="1"/>
    <n v="438"/>
    <n v="6438"/>
    <n v="2"/>
    <n v="2013"/>
    <n v="2021"/>
    <s v="Independent House"/>
    <n v="2"/>
    <s v="West"/>
    <s v="No"/>
    <s v="Unfurnished"/>
    <n v="1"/>
    <n v="2"/>
    <s v="Bandra Villa"/>
    <n v="2"/>
    <s v="No"/>
    <n v="5406000"/>
    <x v="2"/>
    <s v="BRK-02"/>
    <x v="0"/>
    <s v="Tier B"/>
    <n v="1.4999999999999999E-2"/>
    <n v="0"/>
    <n v="0"/>
    <n v="0"/>
  </r>
  <r>
    <x v="4"/>
    <s v="MG Road"/>
    <x v="4"/>
    <n v="2"/>
    <n v="2358"/>
    <n v="6336"/>
    <n v="1"/>
    <n v="1967"/>
    <n v="2019"/>
    <s v="Villa"/>
    <n v="3"/>
    <s v="West"/>
    <s v="Yes"/>
    <s v="Furnished"/>
    <n v="0"/>
    <n v="4"/>
    <s v="MG Road Heights"/>
    <n v="0"/>
    <s v="Yes"/>
    <n v="21552000"/>
    <x v="1"/>
    <s v="BRK-05"/>
    <x v="4"/>
    <s v="Tier B"/>
    <n v="1.4999999999999999E-2"/>
    <n v="0"/>
    <n v="0"/>
    <n v="0"/>
  </r>
  <r>
    <x v="0"/>
    <s v="Bandra"/>
    <x v="2"/>
    <n v="4"/>
    <n v="4837"/>
    <n v="6769"/>
    <n v="1"/>
    <n v="2007"/>
    <n v="2018"/>
    <s v="Villa"/>
    <n v="0"/>
    <s v="West"/>
    <s v="Yes"/>
    <s v="Semi-Furnished"/>
    <n v="8"/>
    <n v="0"/>
    <s v="Bandra Heights"/>
    <n v="0"/>
    <s v="No"/>
    <n v="58259000"/>
    <x v="1"/>
    <s v="BRK-02"/>
    <x v="0"/>
    <s v="Tier B"/>
    <n v="1.4999999999999999E-2"/>
    <n v="0"/>
    <n v="0"/>
    <n v="0"/>
  </r>
  <r>
    <x v="3"/>
    <s v="T Nagar"/>
    <x v="4"/>
    <n v="1"/>
    <n v="1186"/>
    <n v="6851"/>
    <n v="3"/>
    <n v="1957"/>
    <n v="2015"/>
    <s v="Builder Floor"/>
    <n v="1"/>
    <s v="North"/>
    <s v="No"/>
    <s v="Semi-Furnished"/>
    <n v="1"/>
    <n v="1"/>
    <s v="T Nagar Heights"/>
    <n v="3"/>
    <s v="Yes"/>
    <n v="9773000"/>
    <x v="1"/>
    <s v="BRK-03"/>
    <x v="1"/>
    <s v="Tier A"/>
    <n v="0.02"/>
    <n v="0"/>
    <n v="0"/>
    <n v="0"/>
  </r>
  <r>
    <x v="4"/>
    <s v="Whitefield"/>
    <x v="2"/>
    <n v="3"/>
    <n v="3258"/>
    <n v="7655"/>
    <n v="2"/>
    <n v="2012"/>
    <n v="2015"/>
    <s v="Apartment"/>
    <n v="3"/>
    <s v="South"/>
    <s v="Yes"/>
    <s v="Unfurnished"/>
    <n v="3"/>
    <n v="0"/>
    <s v="Whitefield Heights"/>
    <n v="3"/>
    <s v="Yes"/>
    <n v="29622000"/>
    <x v="0"/>
    <s v="BRK-03"/>
    <x v="1"/>
    <s v="Tier A"/>
    <n v="0.02"/>
    <n v="592440"/>
    <n v="888660"/>
    <n v="296220"/>
  </r>
  <r>
    <x v="4"/>
    <s v="HSR Layout"/>
    <x v="1"/>
    <n v="3"/>
    <n v="3960"/>
    <n v="7499"/>
    <n v="3"/>
    <n v="2004"/>
    <n v="2022"/>
    <s v="Villa"/>
    <n v="3"/>
    <s v="North"/>
    <s v="Yes"/>
    <s v="Furnished"/>
    <n v="8"/>
    <n v="0"/>
    <s v="HSR Layout Enclave"/>
    <n v="1"/>
    <s v="Yes"/>
    <n v="36205000"/>
    <x v="0"/>
    <s v="BRK-02"/>
    <x v="0"/>
    <s v="Tier B"/>
    <n v="1.4999999999999999E-2"/>
    <n v="543075"/>
    <n v="1086150"/>
    <n v="543075"/>
  </r>
  <r>
    <x v="2"/>
    <s v="Baner"/>
    <x v="4"/>
    <n v="4"/>
    <n v="2382"/>
    <n v="9299"/>
    <n v="2"/>
    <n v="2000"/>
    <n v="2012"/>
    <s v="Apartment"/>
    <n v="0"/>
    <s v="East"/>
    <s v="Yes"/>
    <s v="Unfurnished"/>
    <n v="3"/>
    <n v="1"/>
    <s v="Baner Villa"/>
    <n v="0"/>
    <s v="Yes"/>
    <n v="20582000"/>
    <x v="1"/>
    <s v="BRK-02"/>
    <x v="0"/>
    <s v="Tier B"/>
    <n v="1.4999999999999999E-2"/>
    <n v="0"/>
    <n v="0"/>
    <n v="0"/>
  </r>
  <r>
    <x v="0"/>
    <s v="Juhu"/>
    <x v="3"/>
    <n v="4"/>
    <n v="3786"/>
    <n v="4656"/>
    <n v="2"/>
    <n v="1992"/>
    <n v="1992"/>
    <s v="Builder Floor"/>
    <n v="0"/>
    <s v="North"/>
    <s v="No"/>
    <s v="Unfurnished"/>
    <n v="7"/>
    <n v="5"/>
    <s v="Juhu Villa"/>
    <n v="0"/>
    <s v="No"/>
    <n v="45792000"/>
    <x v="1"/>
    <s v="BRK-02"/>
    <x v="0"/>
    <s v="Tier B"/>
    <n v="1.4999999999999999E-2"/>
    <n v="0"/>
    <n v="0"/>
    <n v="0"/>
  </r>
  <r>
    <x v="0"/>
    <s v="Andheri"/>
    <x v="0"/>
    <n v="2"/>
    <n v="4755"/>
    <n v="9327"/>
    <n v="1"/>
    <n v="2022"/>
    <n v="2023"/>
    <s v="Builder Floor"/>
    <n v="2"/>
    <s v="South"/>
    <s v="Yes"/>
    <s v="Semi-Furnished"/>
    <n v="2"/>
    <n v="0"/>
    <s v="Andheri Enclave"/>
    <n v="0"/>
    <s v="No"/>
    <n v="57315000"/>
    <x v="0"/>
    <s v="BRK-04"/>
    <x v="3"/>
    <s v="Tier C"/>
    <n v="0.01"/>
    <n v="573150"/>
    <n v="1719450"/>
    <n v="1146300"/>
  </r>
  <r>
    <x v="2"/>
    <s v="Baner"/>
    <x v="3"/>
    <n v="4"/>
    <n v="2132"/>
    <n v="7490"/>
    <n v="1"/>
    <n v="1975"/>
    <n v="2003"/>
    <s v="Independent House"/>
    <n v="0"/>
    <s v="West"/>
    <s v="No"/>
    <s v="Unfurnished"/>
    <n v="8"/>
    <n v="5"/>
    <s v="Baner Enclave"/>
    <n v="0"/>
    <s v="No"/>
    <n v="18462000"/>
    <x v="2"/>
    <s v="BRK-04"/>
    <x v="3"/>
    <s v="Tier C"/>
    <n v="0.01"/>
    <n v="0"/>
    <n v="0"/>
    <n v="0"/>
  </r>
  <r>
    <x v="3"/>
    <s v="T Nagar"/>
    <x v="4"/>
    <n v="2"/>
    <n v="4272"/>
    <n v="6670"/>
    <n v="1"/>
    <n v="2012"/>
    <n v="2018"/>
    <s v="Villa"/>
    <n v="1"/>
    <s v="South"/>
    <s v="Yes"/>
    <s v="Semi-Furnished"/>
    <n v="6"/>
    <n v="1"/>
    <s v="T Nagar Residency"/>
    <n v="2"/>
    <s v="Yes"/>
    <n v="34461000"/>
    <x v="2"/>
    <s v="BRK-04"/>
    <x v="3"/>
    <s v="Tier C"/>
    <n v="0.01"/>
    <n v="0"/>
    <n v="0"/>
    <n v="0"/>
  </r>
  <r>
    <x v="2"/>
    <s v="Baner"/>
    <x v="2"/>
    <n v="1"/>
    <n v="2463"/>
    <n v="3865"/>
    <n v="2"/>
    <n v="1967"/>
    <n v="1967"/>
    <s v="Apartment"/>
    <n v="3"/>
    <s v="North"/>
    <s v="No"/>
    <s v="Unfurnished"/>
    <n v="2"/>
    <n v="0"/>
    <s v="Baner Heights"/>
    <n v="3"/>
    <s v="Yes"/>
    <n v="21150500"/>
    <x v="1"/>
    <s v="BRK-01"/>
    <x v="2"/>
    <s v="Tier A"/>
    <n v="0.02"/>
    <n v="0"/>
    <n v="0"/>
    <n v="0"/>
  </r>
  <r>
    <x v="1"/>
    <s v="Dwarka"/>
    <x v="0"/>
    <n v="1"/>
    <n v="4770"/>
    <n v="5505"/>
    <n v="1"/>
    <n v="1997"/>
    <n v="2017"/>
    <s v="Independent House"/>
    <n v="1"/>
    <s v="North"/>
    <s v="Yes"/>
    <s v="Semi-Furnished"/>
    <n v="0"/>
    <n v="5"/>
    <s v="Dwarka Enclave"/>
    <n v="0"/>
    <s v="Yes"/>
    <n v="47975000"/>
    <x v="2"/>
    <s v="BRK-01"/>
    <x v="2"/>
    <s v="Tier A"/>
    <n v="0.02"/>
    <n v="0"/>
    <n v="0"/>
    <n v="0"/>
  </r>
  <r>
    <x v="2"/>
    <s v="Baner"/>
    <x v="0"/>
    <n v="3"/>
    <n v="4683"/>
    <n v="5865"/>
    <n v="1"/>
    <n v="1965"/>
    <n v="1992"/>
    <s v="Villa"/>
    <n v="1"/>
    <s v="West"/>
    <s v="No"/>
    <s v="Semi-Furnished"/>
    <n v="0"/>
    <n v="4"/>
    <s v="Baner Residency"/>
    <n v="0"/>
    <s v="Yes"/>
    <n v="40115500"/>
    <x v="1"/>
    <s v="BRK-05"/>
    <x v="4"/>
    <s v="Tier B"/>
    <n v="1.4999999999999999E-2"/>
    <n v="0"/>
    <n v="0"/>
    <n v="0"/>
  </r>
  <r>
    <x v="4"/>
    <s v="HSR Layout"/>
    <x v="2"/>
    <n v="4"/>
    <n v="4185"/>
    <n v="6858"/>
    <n v="2"/>
    <n v="1961"/>
    <n v="1983"/>
    <s v="Apartment"/>
    <n v="3"/>
    <s v="North"/>
    <s v="No"/>
    <s v="Unfurnished"/>
    <n v="6"/>
    <n v="0"/>
    <s v="HSR Layout Heights"/>
    <n v="1"/>
    <s v="No"/>
    <n v="37890000"/>
    <x v="1"/>
    <s v="BRK-04"/>
    <x v="3"/>
    <s v="Tier C"/>
    <n v="0.01"/>
    <n v="0"/>
    <n v="0"/>
    <n v="0"/>
  </r>
  <r>
    <x v="2"/>
    <s v="Viman Nagar"/>
    <x v="4"/>
    <n v="4"/>
    <n v="4884"/>
    <n v="9068"/>
    <n v="1"/>
    <n v="2009"/>
    <n v="2020"/>
    <s v="Independent House"/>
    <n v="0"/>
    <s v="East"/>
    <s v="Yes"/>
    <s v="Unfurnished"/>
    <n v="5"/>
    <n v="1"/>
    <s v="Viman Nagar Heights"/>
    <n v="2"/>
    <s v="Yes"/>
    <n v="41859000"/>
    <x v="2"/>
    <s v="BRK-02"/>
    <x v="0"/>
    <s v="Tier B"/>
    <n v="1.4999999999999999E-2"/>
    <n v="0"/>
    <n v="0"/>
    <n v="0"/>
  </r>
  <r>
    <x v="2"/>
    <s v="Baner"/>
    <x v="2"/>
    <n v="3"/>
    <n v="3799"/>
    <n v="4209"/>
    <n v="2"/>
    <n v="2020"/>
    <n v="2024"/>
    <s v="Apartment"/>
    <n v="1"/>
    <s v="West"/>
    <s v="No"/>
    <s v="Unfurnished"/>
    <n v="8"/>
    <n v="4"/>
    <s v="Baner Residency"/>
    <n v="2"/>
    <s v="No"/>
    <n v="32501500"/>
    <x v="0"/>
    <s v="BRK-01"/>
    <x v="2"/>
    <s v="Tier A"/>
    <n v="0.02"/>
    <n v="650030"/>
    <n v="975045"/>
    <n v="325015"/>
  </r>
  <r>
    <x v="4"/>
    <s v="Whitefield"/>
    <x v="3"/>
    <n v="4"/>
    <n v="1788"/>
    <n v="4237"/>
    <n v="3"/>
    <n v="1955"/>
    <n v="2007"/>
    <s v="Villa"/>
    <n v="3"/>
    <s v="West"/>
    <s v="Yes"/>
    <s v="Unfurnished"/>
    <n v="4"/>
    <n v="4"/>
    <s v="Whitefield Villa"/>
    <n v="0"/>
    <s v="No"/>
    <n v="16497000"/>
    <x v="2"/>
    <s v="BRK-02"/>
    <x v="0"/>
    <s v="Tier B"/>
    <n v="1.4999999999999999E-2"/>
    <n v="0"/>
    <n v="0"/>
    <n v="0"/>
  </r>
  <r>
    <x v="3"/>
    <s v="Perambur"/>
    <x v="0"/>
    <n v="2"/>
    <n v="830"/>
    <n v="8153"/>
    <n v="1"/>
    <n v="1969"/>
    <n v="2003"/>
    <s v="Villa"/>
    <n v="0"/>
    <s v="West"/>
    <s v="Yes"/>
    <s v="Furnished"/>
    <n v="5"/>
    <n v="4"/>
    <s v="Perambur Residency"/>
    <n v="3"/>
    <s v="No"/>
    <n v="7015000"/>
    <x v="1"/>
    <s v="BRK-02"/>
    <x v="0"/>
    <s v="Tier B"/>
    <n v="1.4999999999999999E-2"/>
    <n v="0"/>
    <n v="0"/>
    <n v="0"/>
  </r>
  <r>
    <x v="2"/>
    <s v="Aundh"/>
    <x v="4"/>
    <n v="1"/>
    <n v="4416"/>
    <n v="9167"/>
    <n v="1"/>
    <n v="1984"/>
    <n v="2017"/>
    <s v="Independent House"/>
    <n v="1"/>
    <s v="North"/>
    <s v="No"/>
    <s v="Furnished"/>
    <n v="4"/>
    <n v="3"/>
    <s v="Aundh Villa"/>
    <n v="1"/>
    <s v="No"/>
    <n v="37776000"/>
    <x v="1"/>
    <s v="BRK-01"/>
    <x v="2"/>
    <s v="Tier A"/>
    <n v="0.02"/>
    <n v="0"/>
    <n v="0"/>
    <n v="0"/>
  </r>
  <r>
    <x v="2"/>
    <s v="Aundh"/>
    <x v="2"/>
    <n v="4"/>
    <n v="480"/>
    <n v="1568"/>
    <n v="1"/>
    <n v="1988"/>
    <n v="1991"/>
    <s v="Apartment"/>
    <n v="0"/>
    <s v="South"/>
    <s v="No"/>
    <s v="Unfurnished"/>
    <n v="9"/>
    <n v="5"/>
    <s v="Aundh Residency"/>
    <n v="1"/>
    <s v="No"/>
    <n v="4285000"/>
    <x v="0"/>
    <s v="BRK-03"/>
    <x v="1"/>
    <s v="Tier A"/>
    <n v="0.02"/>
    <n v="85700"/>
    <n v="128550"/>
    <n v="42850"/>
  </r>
  <r>
    <x v="0"/>
    <s v="Bandra"/>
    <x v="4"/>
    <n v="4"/>
    <n v="3639"/>
    <n v="3692"/>
    <n v="2"/>
    <n v="1973"/>
    <n v="1987"/>
    <s v="Builder Floor"/>
    <n v="2"/>
    <s v="East"/>
    <s v="Yes"/>
    <s v="Semi-Furnished"/>
    <n v="5"/>
    <n v="5"/>
    <s v="Bandra Heights"/>
    <n v="1"/>
    <s v="No"/>
    <n v="43968000"/>
    <x v="2"/>
    <s v="BRK-02"/>
    <x v="0"/>
    <s v="Tier B"/>
    <n v="1.4999999999999999E-2"/>
    <n v="0"/>
    <n v="0"/>
    <n v="0"/>
  </r>
  <r>
    <x v="4"/>
    <s v="Indiranagar"/>
    <x v="3"/>
    <n v="2"/>
    <n v="2447"/>
    <n v="3517"/>
    <n v="3"/>
    <n v="1962"/>
    <n v="2015"/>
    <s v="Villa"/>
    <n v="0"/>
    <s v="South"/>
    <s v="No"/>
    <s v="Semi-Furnished"/>
    <n v="0"/>
    <n v="4"/>
    <s v="Indiranagar Villa"/>
    <n v="3"/>
    <s v="Yes"/>
    <n v="22438000"/>
    <x v="1"/>
    <s v="BRK-01"/>
    <x v="2"/>
    <s v="Tier A"/>
    <n v="0.02"/>
    <n v="0"/>
    <n v="0"/>
    <n v="0"/>
  </r>
  <r>
    <x v="3"/>
    <s v="Anna Nagar"/>
    <x v="2"/>
    <n v="2"/>
    <n v="2419"/>
    <n v="7339"/>
    <n v="3"/>
    <n v="2023"/>
    <n v="0"/>
    <s v="Builder Floor"/>
    <n v="3"/>
    <s v="West"/>
    <s v="Yes"/>
    <s v="Furnished"/>
    <n v="4"/>
    <n v="0"/>
    <s v="Anna Nagar Villa"/>
    <n v="2"/>
    <s v="No"/>
    <n v="19652000"/>
    <x v="0"/>
    <s v="BRK-05"/>
    <x v="4"/>
    <s v="Tier B"/>
    <n v="1.4999999999999999E-2"/>
    <n v="294780"/>
    <n v="589560"/>
    <n v="294780"/>
  </r>
  <r>
    <x v="2"/>
    <s v="Kothrud"/>
    <x v="4"/>
    <n v="3"/>
    <n v="1813"/>
    <n v="9392"/>
    <n v="2"/>
    <n v="1998"/>
    <n v="2005"/>
    <s v="Independent House"/>
    <n v="1"/>
    <s v="West"/>
    <s v="No"/>
    <s v="Semi-Furnished"/>
    <n v="8"/>
    <n v="3"/>
    <s v="Kothrud Enclave"/>
    <n v="0"/>
    <s v="No"/>
    <n v="15640500"/>
    <x v="1"/>
    <s v="BRK-03"/>
    <x v="1"/>
    <s v="Tier A"/>
    <n v="0.02"/>
    <n v="0"/>
    <n v="0"/>
    <n v="0"/>
  </r>
  <r>
    <x v="4"/>
    <s v="HSR Layout"/>
    <x v="0"/>
    <n v="3"/>
    <n v="703"/>
    <n v="2565"/>
    <n v="1"/>
    <n v="1967"/>
    <n v="2012"/>
    <s v="Apartment"/>
    <n v="0"/>
    <s v="West"/>
    <s v="No"/>
    <s v="Furnished"/>
    <n v="6"/>
    <n v="5"/>
    <s v="HSR Layout Heights"/>
    <n v="2"/>
    <s v="Yes"/>
    <n v="6742000"/>
    <x v="0"/>
    <s v="BRK-05"/>
    <x v="4"/>
    <s v="Tier B"/>
    <n v="1.4999999999999999E-2"/>
    <n v="101130"/>
    <n v="202260"/>
    <n v="101130"/>
  </r>
  <r>
    <x v="5"/>
    <m/>
    <x v="5"/>
    <m/>
    <m/>
    <m/>
    <m/>
    <m/>
    <m/>
    <m/>
    <m/>
    <m/>
    <m/>
    <m/>
    <m/>
    <m/>
    <m/>
    <m/>
    <m/>
    <m/>
    <x v="3"/>
    <m/>
    <x v="5"/>
    <m/>
    <m/>
    <m/>
    <n v="0"/>
    <n v="0"/>
  </r>
  <r>
    <x v="5"/>
    <m/>
    <x v="5"/>
    <m/>
    <m/>
    <m/>
    <m/>
    <m/>
    <m/>
    <m/>
    <m/>
    <m/>
    <m/>
    <m/>
    <m/>
    <m/>
    <m/>
    <m/>
    <m/>
    <m/>
    <x v="3"/>
    <m/>
    <x v="5"/>
    <m/>
    <m/>
    <m/>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495D75-2A59-43E8-8EE7-8297DC9D8CED}"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3:I7" firstHeaderRow="1" firstDataRow="1" firstDataCol="1"/>
  <pivotFields count="28">
    <pivotField showAll="0"/>
    <pivotField showAll="0"/>
    <pivotField showAll="0">
      <items count="7">
        <item x="2"/>
        <item h="1" x="4"/>
        <item h="1" x="0"/>
        <item h="1" x="3"/>
        <item h="1" x="1"/>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5">
        <item x="1"/>
        <item x="2"/>
        <item x="0"/>
        <item h="1" x="3"/>
        <item t="default"/>
      </items>
    </pivotField>
    <pivotField showAll="0"/>
    <pivotField showAll="0"/>
    <pivotField showAll="0"/>
    <pivotField showAll="0"/>
    <pivotField showAll="0"/>
    <pivotField showAll="0"/>
    <pivotField showAll="0"/>
  </pivotFields>
  <rowFields count="1">
    <field x="20"/>
  </rowFields>
  <rowItems count="4">
    <i>
      <x/>
    </i>
    <i>
      <x v="1"/>
    </i>
    <i>
      <x v="2"/>
    </i>
    <i t="grand">
      <x/>
    </i>
  </rowItems>
  <colItems count="1">
    <i/>
  </colItems>
  <dataFields count="1">
    <dataField name="Count of society" fld="16" subtotal="count"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0" count="1" selected="0">
            <x v="0"/>
          </reference>
        </references>
      </pivotArea>
    </chartFormat>
    <chartFormat chart="2" format="7">
      <pivotArea type="data" outline="0" fieldPosition="0">
        <references count="2">
          <reference field="4294967294" count="1" selected="0">
            <x v="0"/>
          </reference>
          <reference field="20" count="1" selected="0">
            <x v="1"/>
          </reference>
        </references>
      </pivotArea>
    </chartFormat>
    <chartFormat chart="2" format="8">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8C9BE5-1529-4751-ACB3-C2F8C02B3B3B}"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3:F9" firstHeaderRow="1" firstDataRow="1" firstDataCol="1"/>
  <pivotFields count="28">
    <pivotField showAll="0"/>
    <pivotField showAll="0"/>
    <pivotField showAll="0">
      <items count="7">
        <item x="2"/>
        <item h="1" x="4"/>
        <item h="1" x="0"/>
        <item h="1" x="3"/>
        <item h="1" x="1"/>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
        <item x="2"/>
        <item x="0"/>
        <item x="1"/>
        <item x="3"/>
        <item x="4"/>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s>
  <rowFields count="1">
    <field x="22"/>
  </rowFields>
  <rowItems count="6">
    <i>
      <x v="3"/>
    </i>
    <i>
      <x/>
    </i>
    <i>
      <x v="1"/>
    </i>
    <i>
      <x v="4"/>
    </i>
    <i>
      <x v="2"/>
    </i>
    <i t="grand">
      <x/>
    </i>
  </rowItems>
  <colItems count="1">
    <i/>
  </colItems>
  <dataFields count="1">
    <dataField name="Sum of Revenue_Earned" fld="2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6E8010-6909-4E99-8FF0-B4D94203A148}"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9" firstHeaderRow="0" firstDataRow="1" firstDataCol="1"/>
  <pivotFields count="28">
    <pivotField axis="axisRow" showAll="0">
      <items count="7">
        <item x="4"/>
        <item x="3"/>
        <item x="1"/>
        <item x="0"/>
        <item x="2"/>
        <item h="1" x="5"/>
        <item t="default"/>
      </items>
    </pivotField>
    <pivotField showAll="0"/>
    <pivotField showAll="0">
      <items count="7">
        <item x="2"/>
        <item h="1" x="4"/>
        <item h="1" x="0"/>
        <item h="1" x="3"/>
        <item h="1" x="1"/>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6">
    <i>
      <x/>
    </i>
    <i>
      <x v="1"/>
    </i>
    <i>
      <x v="2"/>
    </i>
    <i>
      <x v="3"/>
    </i>
    <i>
      <x v="4"/>
    </i>
    <i t="grand">
      <x/>
    </i>
  </rowItems>
  <colFields count="1">
    <field x="-2"/>
  </colFields>
  <colItems count="2">
    <i>
      <x/>
    </i>
    <i i="1">
      <x v="1"/>
    </i>
  </colItems>
  <dataFields count="2">
    <dataField name="Count of society" fld="16" subtotal="count" baseField="0" baseItem="0"/>
    <dataField name="Sum of Revenue_Earned" fld="27"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D6A87CC-9DCD-4D14-BF29-26B4D36E9A8D}" autoFormatId="16" applyNumberFormats="0" applyBorderFormats="0" applyFontFormats="0" applyPatternFormats="0" applyAlignmentFormats="0" applyWidthHeightFormats="0">
  <queryTableRefresh nextId="32" unboundColumnsRight="8">
    <queryTableFields count="28">
      <queryTableField id="1" name="city" tableColumnId="1"/>
      <queryTableField id="2" name="locality" tableColumnId="2"/>
      <queryTableField id="3" name="bedrooms" tableColumnId="3"/>
      <queryTableField id="4" name="bathrooms" tableColumnId="4"/>
      <queryTableField id="5" name="sqft_living" tableColumnId="5"/>
      <queryTableField id="6" name="sqft_lot" tableColumnId="6"/>
      <queryTableField id="7" name="floors" tableColumnId="7"/>
      <queryTableField id="8" name="year_built" tableColumnId="8"/>
      <queryTableField id="9" name="year_renovated" tableColumnId="9"/>
      <queryTableField id="10" name="property_type" tableColumnId="10"/>
      <queryTableField id="11" name="parking" tableColumnId="11"/>
      <queryTableField id="12" name="facing" tableColumnId="12"/>
      <queryTableField id="13" name="lift" tableColumnId="13"/>
      <queryTableField id="14" name="furnishing" tableColumnId="14"/>
      <queryTableField id="15" name="nearby_schools" tableColumnId="15"/>
      <queryTableField id="16" name="nearby_hospitals" tableColumnId="16"/>
      <queryTableField id="17" name="society" tableColumnId="17"/>
      <queryTableField id="18" name="balcony" tableColumnId="18"/>
      <queryTableField id="19" name="garden" tableColumnId="19"/>
      <queryTableField id="20" name="price" tableColumnId="20"/>
      <queryTableField id="21" dataBound="0" tableColumnId="21"/>
      <queryTableField id="25" dataBound="0" tableColumnId="25"/>
      <queryTableField id="26" dataBound="0" tableColumnId="26"/>
      <queryTableField id="27" dataBound="0" tableColumnId="27"/>
      <queryTableField id="28" dataBound="0" tableColumnId="28"/>
      <queryTableField id="29" dataBound="0" tableColumnId="29"/>
      <queryTableField id="30" dataBound="0" tableColumnId="30"/>
      <queryTableField id="31" dataBound="0" tableColumnId="3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drooms" xr10:uid="{CBA09CF8-3752-438B-BEFF-67AC1A2A4A6B}" sourceName="bedrooms">
  <pivotTables>
    <pivotTable tabId="4" name="PivotTable5"/>
    <pivotTable tabId="4" name="PivotTable1"/>
    <pivotTable tabId="4" name="PivotTable3"/>
  </pivotTables>
  <data>
    <tabular pivotCacheId="1102396991">
      <items count="6">
        <i x="2" s="1"/>
        <i x="4"/>
        <i x="0"/>
        <i x="3"/>
        <i x="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drooms" xr10:uid="{D255F926-B869-4F5F-B6D9-3C923B222636}" cache="Slicer_bedrooms" caption="bedrooms" style="SlicerStyleLight4"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7E9688-A0C1-444C-B0CB-C68AAFB6D543}" name="indian_house_prices" displayName="indian_house_prices" ref="A1:AB1003" tableType="queryTable" totalsRowShown="0">
  <autoFilter ref="A1:AB1003" xr:uid="{717E9688-A0C1-444C-B0CB-C68AAFB6D543}"/>
  <tableColumns count="28">
    <tableColumn id="1" xr3:uid="{D0A1B798-E770-448A-9F00-2F610DBCB4F9}" uniqueName="1" name="city" queryTableFieldId="1" dataDxfId="15"/>
    <tableColumn id="2" xr3:uid="{49D0CF3C-F44F-46D6-9800-7665328861D6}" uniqueName="2" name="locality" queryTableFieldId="2" dataDxfId="14"/>
    <tableColumn id="3" xr3:uid="{73D4BB7E-AA5A-49EB-8209-B9D2C6A337FB}" uniqueName="3" name="bedrooms" queryTableFieldId="3"/>
    <tableColumn id="4" xr3:uid="{050146DB-1044-4AEF-A621-BF394446E2AD}" uniqueName="4" name="bathrooms" queryTableFieldId="4"/>
    <tableColumn id="5" xr3:uid="{1591673F-6F8E-4077-BAC2-776869790F24}" uniqueName="5" name="sqft_living" queryTableFieldId="5"/>
    <tableColumn id="6" xr3:uid="{AC84285E-CE46-4159-8574-B1A36DF8F747}" uniqueName="6" name="sqft_lot" queryTableFieldId="6"/>
    <tableColumn id="7" xr3:uid="{85B7421E-0F0D-4F66-BDBC-C8A1B9167AA5}" uniqueName="7" name="floors" queryTableFieldId="7"/>
    <tableColumn id="8" xr3:uid="{5DB2FB97-C13F-4FF8-B43C-05D7A5C7E0D8}" uniqueName="8" name="year_built" queryTableFieldId="8"/>
    <tableColumn id="9" xr3:uid="{2B923630-B14C-4381-9B57-9469F56722DB}" uniqueName="9" name="year_renovated" queryTableFieldId="9"/>
    <tableColumn id="10" xr3:uid="{68035AD6-1AC4-4E15-8EB6-39392ADE7F03}" uniqueName="10" name="property_type" queryTableFieldId="10" dataDxfId="13"/>
    <tableColumn id="11" xr3:uid="{2A883537-1163-40C8-BC27-C7EDA3780725}" uniqueName="11" name="parking" queryTableFieldId="11"/>
    <tableColumn id="12" xr3:uid="{9424D076-B13A-4B85-92B9-ABE9EC7B55C9}" uniqueName="12" name="facing" queryTableFieldId="12" dataDxfId="12"/>
    <tableColumn id="13" xr3:uid="{9B8C80E3-2F24-485E-A3B9-11EA5D547FB0}" uniqueName="13" name="lift" queryTableFieldId="13" dataDxfId="11"/>
    <tableColumn id="14" xr3:uid="{CF6A7BB1-EE80-4180-AEE8-424B77FDDD29}" uniqueName="14" name="furnishing" queryTableFieldId="14" dataDxfId="10"/>
    <tableColumn id="15" xr3:uid="{D2AEFB44-35A8-4425-9F0C-E805228721D9}" uniqueName="15" name="nearby_schools" queryTableFieldId="15"/>
    <tableColumn id="16" xr3:uid="{406198EF-B4D6-4EEF-BC1F-AB5770CA977C}" uniqueName="16" name="nearby_hospitals" queryTableFieldId="16"/>
    <tableColumn id="17" xr3:uid="{C6E1A231-EBD1-4EFD-8C75-4B11799CA8B4}" uniqueName="17" name="society" queryTableFieldId="17" dataDxfId="9"/>
    <tableColumn id="18" xr3:uid="{7AA6811B-DD89-4800-BC78-3C764FD01AA8}" uniqueName="18" name="balcony" queryTableFieldId="18"/>
    <tableColumn id="19" xr3:uid="{04B1EECC-3EB7-42E5-B2CE-5C041C9F4571}" uniqueName="19" name="garden" queryTableFieldId="19" dataDxfId="8"/>
    <tableColumn id="20" xr3:uid="{1D6C6230-6F20-4196-A98A-9880CD4D8F16}" uniqueName="20" name="price" queryTableFieldId="20"/>
    <tableColumn id="21" xr3:uid="{CB35E194-FB1B-4588-AFEA-58D6AA93B924}" uniqueName="21" name="status" queryTableFieldId="21" dataDxfId="7"/>
    <tableColumn id="25" xr3:uid="{B6293662-D3F7-421D-BDAC-9B1FCD5E0B4A}" uniqueName="25" name="broker_id" queryTableFieldId="25" dataDxfId="6"/>
    <tableColumn id="26" xr3:uid="{BBC1AFF5-A371-4248-BFDB-1E50F22EAB3F}" uniqueName="26" name="broker_name" queryTableFieldId="26" dataDxfId="5">
      <calculatedColumnFormula>_xlfn.XLOOKUP(V2, Broker_Directory!A:A, Broker_Directory!B:B, "Unknown Broker")</calculatedColumnFormula>
    </tableColumn>
    <tableColumn id="27" xr3:uid="{4F08A597-6E1F-4C46-945B-0136F0E1DDC9}" uniqueName="27" name="commission_tier" queryTableFieldId="27" dataDxfId="4">
      <calculatedColumnFormula>VLOOKUP(V2,Broker_Directory!A:C,3,FALSE)</calculatedColumnFormula>
    </tableColumn>
    <tableColumn id="28" xr3:uid="{80F225DD-ABCC-48FA-8BF3-C7FB390A898F}" uniqueName="28" name="Commission_Rate" queryTableFieldId="28" dataDxfId="3">
      <calculatedColumnFormula>HLOOKUP(X2, Commission_Rates!A$1:C$2, 2, FALSE)</calculatedColumnFormula>
    </tableColumn>
    <tableColumn id="29" xr3:uid="{3EE2F77D-943F-46A9-BBF3-249B258C7785}" uniqueName="29" name="broker_payout" queryTableFieldId="29" dataDxfId="2">
      <calculatedColumnFormula>IF(U2="Sold",T2*Y2,0)</calculatedColumnFormula>
    </tableColumn>
    <tableColumn id="30" xr3:uid="{B24A99E8-3392-45F9-85B8-D0676D5B1A88}" uniqueName="30" name="Total_Fees_Collected" queryTableFieldId="30" dataDxfId="1">
      <calculatedColumnFormula>IF(U2="Sold", T2 * 0.03, 0)</calculatedColumnFormula>
    </tableColumn>
    <tableColumn id="31" xr3:uid="{16D77E06-04C9-4BA4-A41F-33E378CFAA13}" uniqueName="31" name="Revenue_Earned" queryTableFieldId="31" dataDxfId="0">
      <calculatedColumnFormula>AA2 - Z2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8F4BD-D817-4F11-B72D-F7B850C99AA9}">
  <dimension ref="A3:I9"/>
  <sheetViews>
    <sheetView workbookViewId="0">
      <selection activeCell="E9" sqref="E9"/>
    </sheetView>
  </sheetViews>
  <sheetFormatPr defaultRowHeight="14.4" x14ac:dyDescent="0.3"/>
  <cols>
    <col min="1" max="1" width="12.44140625" bestFit="1" customWidth="1"/>
    <col min="2" max="2" width="14.21875" bestFit="1" customWidth="1"/>
    <col min="3" max="3" width="20.77734375" bestFit="1" customWidth="1"/>
    <col min="5" max="5" width="12.44140625" bestFit="1" customWidth="1"/>
    <col min="6" max="6" width="20.77734375" bestFit="1" customWidth="1"/>
    <col min="8" max="8" width="12.44140625" bestFit="1" customWidth="1"/>
    <col min="9" max="9" width="14.21875" bestFit="1" customWidth="1"/>
  </cols>
  <sheetData>
    <row r="3" spans="1:9" x14ac:dyDescent="0.3">
      <c r="A3" s="5" t="s">
        <v>188</v>
      </c>
      <c r="B3" t="s">
        <v>191</v>
      </c>
      <c r="C3" t="s">
        <v>190</v>
      </c>
      <c r="E3" s="5" t="s">
        <v>188</v>
      </c>
      <c r="F3" t="s">
        <v>190</v>
      </c>
      <c r="H3" s="5" t="s">
        <v>188</v>
      </c>
      <c r="I3" t="s">
        <v>191</v>
      </c>
    </row>
    <row r="4" spans="1:9" x14ac:dyDescent="0.3">
      <c r="A4" s="6" t="s">
        <v>53</v>
      </c>
      <c r="B4" s="1">
        <v>36</v>
      </c>
      <c r="C4" s="1">
        <v>2440270</v>
      </c>
      <c r="E4" s="6" t="s">
        <v>177</v>
      </c>
      <c r="F4" s="1">
        <v>5537810</v>
      </c>
      <c r="H4" s="6" t="s">
        <v>182</v>
      </c>
      <c r="I4" s="1">
        <v>72</v>
      </c>
    </row>
    <row r="5" spans="1:9" x14ac:dyDescent="0.3">
      <c r="A5" s="6" t="s">
        <v>37</v>
      </c>
      <c r="B5" s="1">
        <v>37</v>
      </c>
      <c r="C5" s="1">
        <v>3220240</v>
      </c>
      <c r="E5" s="6" t="s">
        <v>169</v>
      </c>
      <c r="F5" s="1">
        <v>4398805</v>
      </c>
      <c r="H5" s="6" t="s">
        <v>183</v>
      </c>
      <c r="I5" s="1">
        <v>65</v>
      </c>
    </row>
    <row r="6" spans="1:9" x14ac:dyDescent="0.3">
      <c r="A6" s="6" t="s">
        <v>28</v>
      </c>
      <c r="B6" s="1">
        <v>36</v>
      </c>
      <c r="C6" s="1">
        <v>4359900</v>
      </c>
      <c r="E6" s="6" t="s">
        <v>172</v>
      </c>
      <c r="F6" s="1">
        <v>4325520</v>
      </c>
      <c r="H6" s="6" t="s">
        <v>184</v>
      </c>
      <c r="I6" s="1">
        <v>55</v>
      </c>
    </row>
    <row r="7" spans="1:9" x14ac:dyDescent="0.3">
      <c r="A7" s="6" t="s">
        <v>20</v>
      </c>
      <c r="B7" s="1">
        <v>36</v>
      </c>
      <c r="C7" s="1">
        <v>5797310</v>
      </c>
      <c r="E7" s="6" t="s">
        <v>180</v>
      </c>
      <c r="F7" s="1">
        <v>3099480</v>
      </c>
      <c r="H7" s="6" t="s">
        <v>189</v>
      </c>
      <c r="I7" s="1">
        <v>192</v>
      </c>
    </row>
    <row r="8" spans="1:9" x14ac:dyDescent="0.3">
      <c r="A8" s="6" t="s">
        <v>33</v>
      </c>
      <c r="B8" s="1">
        <v>47</v>
      </c>
      <c r="C8" s="1">
        <v>3389670</v>
      </c>
      <c r="E8" s="6" t="s">
        <v>175</v>
      </c>
      <c r="F8" s="1">
        <v>1845775</v>
      </c>
    </row>
    <row r="9" spans="1:9" x14ac:dyDescent="0.3">
      <c r="A9" s="6" t="s">
        <v>189</v>
      </c>
      <c r="B9" s="1">
        <v>192</v>
      </c>
      <c r="C9" s="1">
        <v>19207390</v>
      </c>
      <c r="E9" s="6" t="s">
        <v>189</v>
      </c>
      <c r="F9" s="1">
        <v>19207390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656DC-7F14-4358-9C22-53B89F5DFE57}">
  <dimension ref="H1:S12"/>
  <sheetViews>
    <sheetView tabSelected="1" workbookViewId="0">
      <selection activeCell="O24" sqref="O24"/>
    </sheetView>
  </sheetViews>
  <sheetFormatPr defaultRowHeight="14.4" x14ac:dyDescent="0.3"/>
  <cols>
    <col min="1" max="16384" width="8.88671875" style="7"/>
  </cols>
  <sheetData>
    <row r="1" spans="8:19" x14ac:dyDescent="0.3">
      <c r="I1" s="8"/>
      <c r="J1" s="8"/>
      <c r="K1" s="8"/>
      <c r="L1" s="8"/>
      <c r="M1" s="8"/>
      <c r="N1" s="8"/>
      <c r="O1" s="8"/>
      <c r="P1" s="8"/>
      <c r="Q1" s="8"/>
      <c r="R1" s="8"/>
      <c r="S1" s="9"/>
    </row>
    <row r="2" spans="8:19" x14ac:dyDescent="0.3">
      <c r="I2" s="9"/>
    </row>
    <row r="3" spans="8:19" x14ac:dyDescent="0.3">
      <c r="I3" s="9"/>
      <c r="J3" s="9"/>
    </row>
    <row r="4" spans="8:19" x14ac:dyDescent="0.3">
      <c r="I4" s="9"/>
    </row>
    <row r="5" spans="8:19" x14ac:dyDescent="0.3">
      <c r="H5" s="10"/>
      <c r="I5" s="9"/>
    </row>
    <row r="6" spans="8:19" x14ac:dyDescent="0.3">
      <c r="I6" s="9"/>
    </row>
    <row r="7" spans="8:19" x14ac:dyDescent="0.3">
      <c r="I7" s="9"/>
    </row>
    <row r="8" spans="8:19" x14ac:dyDescent="0.3">
      <c r="I8" s="9"/>
    </row>
    <row r="9" spans="8:19" x14ac:dyDescent="0.3">
      <c r="I9" s="9"/>
    </row>
    <row r="10" spans="8:19" x14ac:dyDescent="0.3">
      <c r="I10" s="9"/>
    </row>
    <row r="11" spans="8:19" x14ac:dyDescent="0.3">
      <c r="I11" s="9"/>
    </row>
    <row r="12" spans="8:19" x14ac:dyDescent="0.3">
      <c r="I12"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76270-59C4-4E57-B2C3-EC02BADF4C12}">
  <dimension ref="A1:AB1003"/>
  <sheetViews>
    <sheetView topLeftCell="I1" workbookViewId="0">
      <selection activeCell="AB3" sqref="AB3"/>
    </sheetView>
  </sheetViews>
  <sheetFormatPr defaultRowHeight="14.4" x14ac:dyDescent="0.3"/>
  <cols>
    <col min="1" max="1" width="9.109375" bestFit="1" customWidth="1"/>
    <col min="2" max="2" width="11.5546875" bestFit="1" customWidth="1"/>
    <col min="3" max="3" width="11.6640625" bestFit="1" customWidth="1"/>
    <col min="4" max="4" width="12.21875" bestFit="1" customWidth="1"/>
    <col min="5" max="5" width="11.6640625" bestFit="1" customWidth="1"/>
    <col min="6" max="6" width="9.44140625" bestFit="1" customWidth="1"/>
    <col min="7" max="7" width="7.88671875" bestFit="1" customWidth="1"/>
    <col min="8" max="8" width="11.44140625" bestFit="1" customWidth="1"/>
    <col min="9" max="9" width="16" bestFit="1" customWidth="1"/>
    <col min="10" max="10" width="16.6640625" bestFit="1" customWidth="1"/>
    <col min="11" max="11" width="9.44140625" bestFit="1" customWidth="1"/>
    <col min="12" max="12" width="8.21875" bestFit="1" customWidth="1"/>
    <col min="13" max="13" width="5.5546875" bestFit="1" customWidth="1"/>
    <col min="14" max="14" width="13.77734375" bestFit="1" customWidth="1"/>
    <col min="15" max="15" width="16.109375" bestFit="1" customWidth="1"/>
    <col min="16" max="16" width="17.44140625" bestFit="1" customWidth="1"/>
    <col min="17" max="17" width="20.33203125" bestFit="1" customWidth="1"/>
    <col min="18" max="18" width="9.77734375" bestFit="1" customWidth="1"/>
    <col min="20" max="20" width="9" bestFit="1" customWidth="1"/>
    <col min="26" max="26" width="13.44140625" style="1" bestFit="1" customWidth="1"/>
  </cols>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163</v>
      </c>
      <c r="V1" t="s">
        <v>164</v>
      </c>
      <c r="W1" t="s">
        <v>181</v>
      </c>
      <c r="X1" t="s">
        <v>185</v>
      </c>
      <c r="Y1" t="s">
        <v>186</v>
      </c>
      <c r="Z1" s="1" t="s">
        <v>192</v>
      </c>
      <c r="AA1" t="s">
        <v>193</v>
      </c>
      <c r="AB1" t="s">
        <v>187</v>
      </c>
    </row>
    <row r="2" spans="1:28" x14ac:dyDescent="0.3">
      <c r="A2" s="1" t="s">
        <v>20</v>
      </c>
      <c r="B2" s="1" t="s">
        <v>21</v>
      </c>
      <c r="C2">
        <v>3</v>
      </c>
      <c r="D2">
        <v>2</v>
      </c>
      <c r="E2">
        <v>2128</v>
      </c>
      <c r="F2">
        <v>3321</v>
      </c>
      <c r="G2">
        <v>3</v>
      </c>
      <c r="H2">
        <v>1963</v>
      </c>
      <c r="I2">
        <v>1973</v>
      </c>
      <c r="J2" s="1" t="s">
        <v>22</v>
      </c>
      <c r="K2">
        <v>0</v>
      </c>
      <c r="L2" s="1" t="s">
        <v>23</v>
      </c>
      <c r="M2" s="1" t="s">
        <v>24</v>
      </c>
      <c r="N2" s="1" t="s">
        <v>25</v>
      </c>
      <c r="O2">
        <v>3</v>
      </c>
      <c r="P2">
        <v>4</v>
      </c>
      <c r="Q2" s="1" t="s">
        <v>26</v>
      </c>
      <c r="R2">
        <v>1</v>
      </c>
      <c r="S2" s="1" t="s">
        <v>27</v>
      </c>
      <c r="T2">
        <v>25921000</v>
      </c>
      <c r="U2" t="s">
        <v>184</v>
      </c>
      <c r="V2" s="1" t="s">
        <v>171</v>
      </c>
      <c r="W2" s="1" t="s">
        <v>172</v>
      </c>
      <c r="X2" s="1" t="str">
        <f>VLOOKUP(V2,Broker_Directory!A:C,3,FALSE)</f>
        <v>Tier B</v>
      </c>
      <c r="Y2" s="1">
        <f>HLOOKUP(X2, Commission_Rates!A$1:C$2, 2, FALSE)</f>
        <v>1.4999999999999999E-2</v>
      </c>
      <c r="Z2" s="1">
        <f t="shared" ref="Z2:Z65" si="0">IF(U2="Sold",T2*Y2,0)</f>
        <v>388815</v>
      </c>
      <c r="AA2" s="1">
        <f t="shared" ref="AA2:AA65" si="1">IF(U2="Sold", T2 * 0.03, 0)</f>
        <v>777630</v>
      </c>
      <c r="AB2" s="1">
        <f t="shared" ref="AB2:AB65" si="2">AA2 - Z2</f>
        <v>388815</v>
      </c>
    </row>
    <row r="3" spans="1:28" x14ac:dyDescent="0.3">
      <c r="A3" s="1" t="s">
        <v>28</v>
      </c>
      <c r="B3" s="1" t="s">
        <v>29</v>
      </c>
      <c r="C3">
        <v>5</v>
      </c>
      <c r="D3">
        <v>3</v>
      </c>
      <c r="E3">
        <v>353</v>
      </c>
      <c r="F3">
        <v>3018</v>
      </c>
      <c r="G3">
        <v>3</v>
      </c>
      <c r="H3">
        <v>2004</v>
      </c>
      <c r="I3">
        <v>2013</v>
      </c>
      <c r="J3" s="1" t="s">
        <v>30</v>
      </c>
      <c r="K3">
        <v>1</v>
      </c>
      <c r="L3" s="1" t="s">
        <v>31</v>
      </c>
      <c r="M3" s="1" t="s">
        <v>27</v>
      </c>
      <c r="N3" s="1" t="s">
        <v>25</v>
      </c>
      <c r="O3">
        <v>1</v>
      </c>
      <c r="P3">
        <v>3</v>
      </c>
      <c r="Q3" s="1" t="s">
        <v>32</v>
      </c>
      <c r="R3">
        <v>2</v>
      </c>
      <c r="S3" s="1" t="s">
        <v>27</v>
      </c>
      <c r="T3">
        <v>4035000</v>
      </c>
      <c r="U3" t="s">
        <v>184</v>
      </c>
      <c r="V3" s="1" t="s">
        <v>171</v>
      </c>
      <c r="W3" s="1" t="s">
        <v>172</v>
      </c>
      <c r="X3" s="1" t="str">
        <f>VLOOKUP(V3,Broker_Directory!A:C,3,FALSE)</f>
        <v>Tier B</v>
      </c>
      <c r="Y3" s="1">
        <f>HLOOKUP(X3, Commission_Rates!A$1:C$2, 2, FALSE)</f>
        <v>1.4999999999999999E-2</v>
      </c>
      <c r="Z3" s="1">
        <f t="shared" si="0"/>
        <v>60525</v>
      </c>
      <c r="AA3" s="1">
        <f t="shared" si="1"/>
        <v>121050</v>
      </c>
      <c r="AB3" s="1">
        <f t="shared" si="2"/>
        <v>60525</v>
      </c>
    </row>
    <row r="4" spans="1:28" x14ac:dyDescent="0.3">
      <c r="A4" s="1" t="s">
        <v>33</v>
      </c>
      <c r="B4" s="1" t="s">
        <v>34</v>
      </c>
      <c r="C4">
        <v>1</v>
      </c>
      <c r="D4">
        <v>4</v>
      </c>
      <c r="E4">
        <v>4692</v>
      </c>
      <c r="F4">
        <v>5764</v>
      </c>
      <c r="G4">
        <v>2</v>
      </c>
      <c r="H4">
        <v>1960</v>
      </c>
      <c r="I4">
        <v>1996</v>
      </c>
      <c r="J4" s="1" t="s">
        <v>30</v>
      </c>
      <c r="K4">
        <v>1</v>
      </c>
      <c r="L4" s="1" t="s">
        <v>23</v>
      </c>
      <c r="M4" s="1" t="s">
        <v>24</v>
      </c>
      <c r="N4" s="1" t="s">
        <v>35</v>
      </c>
      <c r="O4">
        <v>3</v>
      </c>
      <c r="P4">
        <v>2</v>
      </c>
      <c r="Q4" s="1" t="s">
        <v>36</v>
      </c>
      <c r="R4">
        <v>1</v>
      </c>
      <c r="S4" s="1" t="s">
        <v>24</v>
      </c>
      <c r="T4">
        <v>40182000</v>
      </c>
      <c r="U4" t="s">
        <v>182</v>
      </c>
      <c r="V4" s="1" t="s">
        <v>174</v>
      </c>
      <c r="W4" s="1" t="s">
        <v>175</v>
      </c>
      <c r="X4" s="1" t="str">
        <f>VLOOKUP(V4,Broker_Directory!A:C,3,FALSE)</f>
        <v>Tier A</v>
      </c>
      <c r="Y4" s="1">
        <f>HLOOKUP(X4, Commission_Rates!A$1:C$2, 2, FALSE)</f>
        <v>0.02</v>
      </c>
      <c r="Z4" s="1">
        <f t="shared" si="0"/>
        <v>0</v>
      </c>
      <c r="AA4" s="1">
        <f t="shared" si="1"/>
        <v>0</v>
      </c>
      <c r="AB4" s="1">
        <f t="shared" si="2"/>
        <v>0</v>
      </c>
    </row>
    <row r="5" spans="1:28" x14ac:dyDescent="0.3">
      <c r="A5" s="1" t="s">
        <v>37</v>
      </c>
      <c r="B5" s="1" t="s">
        <v>38</v>
      </c>
      <c r="C5">
        <v>4</v>
      </c>
      <c r="D5">
        <v>3</v>
      </c>
      <c r="E5">
        <v>1632</v>
      </c>
      <c r="F5">
        <v>7747</v>
      </c>
      <c r="G5">
        <v>2</v>
      </c>
      <c r="H5">
        <v>1976</v>
      </c>
      <c r="I5">
        <v>2017</v>
      </c>
      <c r="J5" s="1" t="s">
        <v>30</v>
      </c>
      <c r="K5">
        <v>0</v>
      </c>
      <c r="L5" s="1" t="s">
        <v>31</v>
      </c>
      <c r="M5" s="1" t="s">
        <v>24</v>
      </c>
      <c r="N5" s="1" t="s">
        <v>25</v>
      </c>
      <c r="O5">
        <v>7</v>
      </c>
      <c r="P5">
        <v>3</v>
      </c>
      <c r="Q5" s="1" t="s">
        <v>39</v>
      </c>
      <c r="R5">
        <v>1</v>
      </c>
      <c r="S5" s="1" t="s">
        <v>27</v>
      </c>
      <c r="T5">
        <v>13501000</v>
      </c>
      <c r="U5" t="s">
        <v>182</v>
      </c>
      <c r="V5" s="1" t="s">
        <v>168</v>
      </c>
      <c r="W5" s="1" t="s">
        <v>169</v>
      </c>
      <c r="X5" s="1" t="str">
        <f>VLOOKUP(V5,Broker_Directory!A:C,3,FALSE)</f>
        <v>Tier A</v>
      </c>
      <c r="Y5" s="1">
        <f>HLOOKUP(X5, Commission_Rates!A$1:C$2, 2, FALSE)</f>
        <v>0.02</v>
      </c>
      <c r="Z5" s="1">
        <f t="shared" si="0"/>
        <v>0</v>
      </c>
      <c r="AA5" s="1">
        <f t="shared" si="1"/>
        <v>0</v>
      </c>
      <c r="AB5" s="1">
        <f t="shared" si="2"/>
        <v>0</v>
      </c>
    </row>
    <row r="6" spans="1:28" x14ac:dyDescent="0.3">
      <c r="A6" s="1" t="s">
        <v>20</v>
      </c>
      <c r="B6" s="1" t="s">
        <v>40</v>
      </c>
      <c r="C6">
        <v>1</v>
      </c>
      <c r="D6">
        <v>3</v>
      </c>
      <c r="E6">
        <v>3586</v>
      </c>
      <c r="F6">
        <v>5829</v>
      </c>
      <c r="G6">
        <v>1</v>
      </c>
      <c r="H6">
        <v>1977</v>
      </c>
      <c r="I6">
        <v>2012</v>
      </c>
      <c r="J6" s="1" t="s">
        <v>30</v>
      </c>
      <c r="K6">
        <v>1</v>
      </c>
      <c r="L6" s="1" t="s">
        <v>41</v>
      </c>
      <c r="M6" s="1" t="s">
        <v>27</v>
      </c>
      <c r="N6" s="1" t="s">
        <v>35</v>
      </c>
      <c r="O6">
        <v>7</v>
      </c>
      <c r="P6">
        <v>1</v>
      </c>
      <c r="Q6" s="1" t="s">
        <v>42</v>
      </c>
      <c r="R6">
        <v>1</v>
      </c>
      <c r="S6" s="1" t="s">
        <v>24</v>
      </c>
      <c r="T6">
        <v>43257000</v>
      </c>
      <c r="U6" t="s">
        <v>182</v>
      </c>
      <c r="V6" s="1" t="s">
        <v>176</v>
      </c>
      <c r="W6" s="1" t="s">
        <v>177</v>
      </c>
      <c r="X6" s="1" t="str">
        <f>VLOOKUP(V6,Broker_Directory!A:C,3,FALSE)</f>
        <v>Tier C</v>
      </c>
      <c r="Y6" s="1">
        <f>HLOOKUP(X6, Commission_Rates!A$1:C$2, 2, FALSE)</f>
        <v>0.01</v>
      </c>
      <c r="Z6" s="1">
        <f t="shared" si="0"/>
        <v>0</v>
      </c>
      <c r="AA6" s="1">
        <f t="shared" si="1"/>
        <v>0</v>
      </c>
      <c r="AB6" s="1">
        <f t="shared" si="2"/>
        <v>0</v>
      </c>
    </row>
    <row r="7" spans="1:28" x14ac:dyDescent="0.3">
      <c r="A7" s="1" t="s">
        <v>33</v>
      </c>
      <c r="B7" s="1" t="s">
        <v>43</v>
      </c>
      <c r="C7">
        <v>3</v>
      </c>
      <c r="D7">
        <v>4</v>
      </c>
      <c r="E7">
        <v>3571</v>
      </c>
      <c r="F7">
        <v>6586</v>
      </c>
      <c r="G7">
        <v>1</v>
      </c>
      <c r="H7">
        <v>1967</v>
      </c>
      <c r="I7">
        <v>1998</v>
      </c>
      <c r="J7" s="1" t="s">
        <v>22</v>
      </c>
      <c r="K7">
        <v>0</v>
      </c>
      <c r="L7" s="1" t="s">
        <v>23</v>
      </c>
      <c r="M7" s="1" t="s">
        <v>24</v>
      </c>
      <c r="N7" s="1" t="s">
        <v>25</v>
      </c>
      <c r="O7">
        <v>10</v>
      </c>
      <c r="P7">
        <v>1</v>
      </c>
      <c r="Q7" s="1" t="s">
        <v>44</v>
      </c>
      <c r="R7">
        <v>0</v>
      </c>
      <c r="S7" s="1" t="s">
        <v>27</v>
      </c>
      <c r="T7">
        <v>30743500</v>
      </c>
      <c r="U7" t="s">
        <v>182</v>
      </c>
      <c r="V7" s="1" t="s">
        <v>174</v>
      </c>
      <c r="W7" s="1" t="s">
        <v>175</v>
      </c>
      <c r="X7" s="1" t="str">
        <f>VLOOKUP(V7,Broker_Directory!A:C,3,FALSE)</f>
        <v>Tier A</v>
      </c>
      <c r="Y7" s="1">
        <f>HLOOKUP(X7, Commission_Rates!A$1:C$2, 2, FALSE)</f>
        <v>0.02</v>
      </c>
      <c r="Z7" s="1">
        <f t="shared" si="0"/>
        <v>0</v>
      </c>
      <c r="AA7" s="1">
        <f t="shared" si="1"/>
        <v>0</v>
      </c>
      <c r="AB7" s="1">
        <f t="shared" si="2"/>
        <v>0</v>
      </c>
    </row>
    <row r="8" spans="1:28" x14ac:dyDescent="0.3">
      <c r="A8" s="1" t="s">
        <v>37</v>
      </c>
      <c r="B8" s="1" t="s">
        <v>45</v>
      </c>
      <c r="C8">
        <v>4</v>
      </c>
      <c r="D8">
        <v>3</v>
      </c>
      <c r="E8">
        <v>4832</v>
      </c>
      <c r="F8">
        <v>4976</v>
      </c>
      <c r="G8">
        <v>3</v>
      </c>
      <c r="H8">
        <v>1964</v>
      </c>
      <c r="I8">
        <v>2006</v>
      </c>
      <c r="J8" s="1" t="s">
        <v>30</v>
      </c>
      <c r="K8">
        <v>2</v>
      </c>
      <c r="L8" s="1" t="s">
        <v>23</v>
      </c>
      <c r="M8" s="1" t="s">
        <v>27</v>
      </c>
      <c r="N8" s="1" t="s">
        <v>46</v>
      </c>
      <c r="O8">
        <v>2</v>
      </c>
      <c r="P8">
        <v>3</v>
      </c>
      <c r="Q8" s="1" t="s">
        <v>47</v>
      </c>
      <c r="R8">
        <v>2</v>
      </c>
      <c r="S8" s="1" t="s">
        <v>24</v>
      </c>
      <c r="T8">
        <v>39086000</v>
      </c>
      <c r="U8" t="s">
        <v>184</v>
      </c>
      <c r="V8" s="1" t="s">
        <v>174</v>
      </c>
      <c r="W8" s="1" t="s">
        <v>175</v>
      </c>
      <c r="X8" s="1" t="str">
        <f>VLOOKUP(V8,Broker_Directory!A:C,3,FALSE)</f>
        <v>Tier A</v>
      </c>
      <c r="Y8" s="1">
        <f>HLOOKUP(X8, Commission_Rates!A$1:C$2, 2, FALSE)</f>
        <v>0.02</v>
      </c>
      <c r="Z8" s="1">
        <f t="shared" si="0"/>
        <v>781720</v>
      </c>
      <c r="AA8" s="1">
        <f t="shared" si="1"/>
        <v>1172580</v>
      </c>
      <c r="AB8" s="1">
        <f t="shared" si="2"/>
        <v>390860</v>
      </c>
    </row>
    <row r="9" spans="1:28" x14ac:dyDescent="0.3">
      <c r="A9" s="1" t="s">
        <v>33</v>
      </c>
      <c r="B9" s="1" t="s">
        <v>48</v>
      </c>
      <c r="C9">
        <v>3</v>
      </c>
      <c r="D9">
        <v>2</v>
      </c>
      <c r="E9">
        <v>1552</v>
      </c>
      <c r="F9">
        <v>7728</v>
      </c>
      <c r="G9">
        <v>1</v>
      </c>
      <c r="H9">
        <v>2019</v>
      </c>
      <c r="I9">
        <v>0</v>
      </c>
      <c r="J9" s="1" t="s">
        <v>30</v>
      </c>
      <c r="K9">
        <v>3</v>
      </c>
      <c r="L9" s="1" t="s">
        <v>23</v>
      </c>
      <c r="M9" s="1" t="s">
        <v>24</v>
      </c>
      <c r="N9" s="1" t="s">
        <v>46</v>
      </c>
      <c r="O9">
        <v>4</v>
      </c>
      <c r="P9">
        <v>1</v>
      </c>
      <c r="Q9" s="1" t="s">
        <v>49</v>
      </c>
      <c r="R9">
        <v>1</v>
      </c>
      <c r="S9" s="1" t="s">
        <v>24</v>
      </c>
      <c r="T9">
        <v>13512000</v>
      </c>
      <c r="U9" t="s">
        <v>182</v>
      </c>
      <c r="V9" s="1" t="s">
        <v>179</v>
      </c>
      <c r="W9" s="1" t="s">
        <v>180</v>
      </c>
      <c r="X9" s="1" t="str">
        <f>VLOOKUP(V9,Broker_Directory!A:C,3,FALSE)</f>
        <v>Tier B</v>
      </c>
      <c r="Y9" s="1">
        <f>HLOOKUP(X9, Commission_Rates!A$1:C$2, 2, FALSE)</f>
        <v>1.4999999999999999E-2</v>
      </c>
      <c r="Z9" s="1">
        <f t="shared" si="0"/>
        <v>0</v>
      </c>
      <c r="AA9" s="1">
        <f t="shared" si="1"/>
        <v>0</v>
      </c>
      <c r="AB9" s="1">
        <f t="shared" si="2"/>
        <v>0</v>
      </c>
    </row>
    <row r="10" spans="1:28" x14ac:dyDescent="0.3">
      <c r="A10" s="1" t="s">
        <v>20</v>
      </c>
      <c r="B10" s="1" t="s">
        <v>50</v>
      </c>
      <c r="C10">
        <v>1</v>
      </c>
      <c r="D10">
        <v>2</v>
      </c>
      <c r="E10">
        <v>1351</v>
      </c>
      <c r="F10">
        <v>9188</v>
      </c>
      <c r="G10">
        <v>3</v>
      </c>
      <c r="H10">
        <v>1971</v>
      </c>
      <c r="I10">
        <v>1986</v>
      </c>
      <c r="J10" s="1" t="s">
        <v>22</v>
      </c>
      <c r="K10">
        <v>1</v>
      </c>
      <c r="L10" s="1" t="s">
        <v>31</v>
      </c>
      <c r="M10" s="1" t="s">
        <v>27</v>
      </c>
      <c r="N10" s="1" t="s">
        <v>46</v>
      </c>
      <c r="O10">
        <v>10</v>
      </c>
      <c r="P10">
        <v>5</v>
      </c>
      <c r="Q10" s="1" t="s">
        <v>51</v>
      </c>
      <c r="R10">
        <v>3</v>
      </c>
      <c r="S10" s="1" t="s">
        <v>27</v>
      </c>
      <c r="T10">
        <v>16427000</v>
      </c>
      <c r="U10" t="s">
        <v>183</v>
      </c>
      <c r="V10" s="1" t="s">
        <v>171</v>
      </c>
      <c r="W10" s="1" t="s">
        <v>172</v>
      </c>
      <c r="X10" s="1" t="str">
        <f>VLOOKUP(V10,Broker_Directory!A:C,3,FALSE)</f>
        <v>Tier B</v>
      </c>
      <c r="Y10" s="1">
        <f>HLOOKUP(X10, Commission_Rates!A$1:C$2, 2, FALSE)</f>
        <v>1.4999999999999999E-2</v>
      </c>
      <c r="Z10" s="1">
        <f t="shared" si="0"/>
        <v>0</v>
      </c>
      <c r="AA10" s="1">
        <f t="shared" si="1"/>
        <v>0</v>
      </c>
      <c r="AB10" s="1">
        <f t="shared" si="2"/>
        <v>0</v>
      </c>
    </row>
    <row r="11" spans="1:28" x14ac:dyDescent="0.3">
      <c r="A11" s="1" t="s">
        <v>20</v>
      </c>
      <c r="B11" s="1" t="s">
        <v>40</v>
      </c>
      <c r="C11">
        <v>2</v>
      </c>
      <c r="D11">
        <v>1</v>
      </c>
      <c r="E11">
        <v>3069</v>
      </c>
      <c r="F11">
        <v>3291</v>
      </c>
      <c r="G11">
        <v>3</v>
      </c>
      <c r="H11">
        <v>2020</v>
      </c>
      <c r="I11">
        <v>2020</v>
      </c>
      <c r="J11" s="1" t="s">
        <v>52</v>
      </c>
      <c r="K11">
        <v>0</v>
      </c>
      <c r="L11" s="1" t="s">
        <v>23</v>
      </c>
      <c r="M11" s="1" t="s">
        <v>24</v>
      </c>
      <c r="N11" s="1" t="s">
        <v>25</v>
      </c>
      <c r="O11">
        <v>1</v>
      </c>
      <c r="P11">
        <v>0</v>
      </c>
      <c r="Q11" s="1" t="s">
        <v>42</v>
      </c>
      <c r="R11">
        <v>0</v>
      </c>
      <c r="S11" s="1" t="s">
        <v>24</v>
      </c>
      <c r="T11">
        <v>37168000</v>
      </c>
      <c r="U11" t="s">
        <v>183</v>
      </c>
      <c r="V11" s="1" t="s">
        <v>168</v>
      </c>
      <c r="W11" s="1" t="s">
        <v>169</v>
      </c>
      <c r="X11" s="1" t="str">
        <f>VLOOKUP(V11,Broker_Directory!A:C,3,FALSE)</f>
        <v>Tier A</v>
      </c>
      <c r="Y11" s="1">
        <f>HLOOKUP(X11, Commission_Rates!A$1:C$2, 2, FALSE)</f>
        <v>0.02</v>
      </c>
      <c r="Z11" s="1">
        <f t="shared" si="0"/>
        <v>0</v>
      </c>
      <c r="AA11" s="1">
        <f t="shared" si="1"/>
        <v>0</v>
      </c>
      <c r="AB11" s="1">
        <f t="shared" si="2"/>
        <v>0</v>
      </c>
    </row>
    <row r="12" spans="1:28" x14ac:dyDescent="0.3">
      <c r="A12" s="1" t="s">
        <v>53</v>
      </c>
      <c r="B12" s="1" t="s">
        <v>54</v>
      </c>
      <c r="C12">
        <v>2</v>
      </c>
      <c r="D12">
        <v>2</v>
      </c>
      <c r="E12">
        <v>4977</v>
      </c>
      <c r="F12">
        <v>9747</v>
      </c>
      <c r="G12">
        <v>2</v>
      </c>
      <c r="H12">
        <v>1981</v>
      </c>
      <c r="I12">
        <v>2010</v>
      </c>
      <c r="J12" s="1" t="s">
        <v>22</v>
      </c>
      <c r="K12">
        <v>1</v>
      </c>
      <c r="L12" s="1" t="s">
        <v>23</v>
      </c>
      <c r="M12" s="1" t="s">
        <v>24</v>
      </c>
      <c r="N12" s="1" t="s">
        <v>35</v>
      </c>
      <c r="O12">
        <v>6</v>
      </c>
      <c r="P12">
        <v>2</v>
      </c>
      <c r="Q12" s="1" t="s">
        <v>55</v>
      </c>
      <c r="R12">
        <v>3</v>
      </c>
      <c r="S12" s="1" t="s">
        <v>27</v>
      </c>
      <c r="T12">
        <v>45063000</v>
      </c>
      <c r="U12" t="s">
        <v>184</v>
      </c>
      <c r="V12" s="1" t="s">
        <v>168</v>
      </c>
      <c r="W12" s="1" t="s">
        <v>169</v>
      </c>
      <c r="X12" s="1" t="str">
        <f>VLOOKUP(V12,Broker_Directory!A:C,3,FALSE)</f>
        <v>Tier A</v>
      </c>
      <c r="Y12" s="1">
        <f>HLOOKUP(X12, Commission_Rates!A$1:C$2, 2, FALSE)</f>
        <v>0.02</v>
      </c>
      <c r="Z12" s="1">
        <f t="shared" si="0"/>
        <v>901260</v>
      </c>
      <c r="AA12" s="1">
        <f t="shared" si="1"/>
        <v>1351890</v>
      </c>
      <c r="AB12" s="1">
        <f t="shared" si="2"/>
        <v>450630</v>
      </c>
    </row>
    <row r="13" spans="1:28" x14ac:dyDescent="0.3">
      <c r="A13" s="1" t="s">
        <v>20</v>
      </c>
      <c r="B13" s="1" t="s">
        <v>21</v>
      </c>
      <c r="C13">
        <v>1</v>
      </c>
      <c r="D13">
        <v>4</v>
      </c>
      <c r="E13">
        <v>3079</v>
      </c>
      <c r="F13">
        <v>9687</v>
      </c>
      <c r="G13">
        <v>1</v>
      </c>
      <c r="H13">
        <v>1981</v>
      </c>
      <c r="I13">
        <v>1992</v>
      </c>
      <c r="J13" s="1" t="s">
        <v>52</v>
      </c>
      <c r="K13">
        <v>3</v>
      </c>
      <c r="L13" s="1" t="s">
        <v>31</v>
      </c>
      <c r="M13" s="1" t="s">
        <v>27</v>
      </c>
      <c r="N13" s="1" t="s">
        <v>25</v>
      </c>
      <c r="O13">
        <v>4</v>
      </c>
      <c r="P13">
        <v>3</v>
      </c>
      <c r="Q13" s="1" t="s">
        <v>56</v>
      </c>
      <c r="R13">
        <v>0</v>
      </c>
      <c r="S13" s="1" t="s">
        <v>27</v>
      </c>
      <c r="T13">
        <v>37213000</v>
      </c>
      <c r="U13" t="s">
        <v>182</v>
      </c>
      <c r="V13" s="1" t="s">
        <v>174</v>
      </c>
      <c r="W13" s="1" t="s">
        <v>175</v>
      </c>
      <c r="X13" s="1" t="str">
        <f>VLOOKUP(V13,Broker_Directory!A:C,3,FALSE)</f>
        <v>Tier A</v>
      </c>
      <c r="Y13" s="1">
        <f>HLOOKUP(X13, Commission_Rates!A$1:C$2, 2, FALSE)</f>
        <v>0.02</v>
      </c>
      <c r="Z13" s="1">
        <f t="shared" si="0"/>
        <v>0</v>
      </c>
      <c r="AA13" s="1">
        <f t="shared" si="1"/>
        <v>0</v>
      </c>
      <c r="AB13" s="1">
        <f t="shared" si="2"/>
        <v>0</v>
      </c>
    </row>
    <row r="14" spans="1:28" x14ac:dyDescent="0.3">
      <c r="A14" s="1" t="s">
        <v>33</v>
      </c>
      <c r="B14" s="1" t="s">
        <v>48</v>
      </c>
      <c r="C14">
        <v>1</v>
      </c>
      <c r="D14">
        <v>1</v>
      </c>
      <c r="E14">
        <v>1064</v>
      </c>
      <c r="F14">
        <v>4986</v>
      </c>
      <c r="G14">
        <v>1</v>
      </c>
      <c r="H14">
        <v>2002</v>
      </c>
      <c r="I14">
        <v>2016</v>
      </c>
      <c r="J14" s="1" t="s">
        <v>22</v>
      </c>
      <c r="K14">
        <v>1</v>
      </c>
      <c r="L14" s="1" t="s">
        <v>41</v>
      </c>
      <c r="M14" s="1" t="s">
        <v>24</v>
      </c>
      <c r="N14" s="1" t="s">
        <v>25</v>
      </c>
      <c r="O14">
        <v>6</v>
      </c>
      <c r="P14">
        <v>0</v>
      </c>
      <c r="Q14" s="1" t="s">
        <v>57</v>
      </c>
      <c r="R14">
        <v>2</v>
      </c>
      <c r="S14" s="1" t="s">
        <v>27</v>
      </c>
      <c r="T14">
        <v>9274000</v>
      </c>
      <c r="U14" t="s">
        <v>183</v>
      </c>
      <c r="V14" s="1" t="s">
        <v>174</v>
      </c>
      <c r="W14" s="1" t="s">
        <v>175</v>
      </c>
      <c r="X14" s="1" t="str">
        <f>VLOOKUP(V14,Broker_Directory!A:C,3,FALSE)</f>
        <v>Tier A</v>
      </c>
      <c r="Y14" s="1">
        <f>HLOOKUP(X14, Commission_Rates!A$1:C$2, 2, FALSE)</f>
        <v>0.02</v>
      </c>
      <c r="Z14" s="1">
        <f t="shared" si="0"/>
        <v>0</v>
      </c>
      <c r="AA14" s="1">
        <f t="shared" si="1"/>
        <v>0</v>
      </c>
      <c r="AB14" s="1">
        <f t="shared" si="2"/>
        <v>0</v>
      </c>
    </row>
    <row r="15" spans="1:28" x14ac:dyDescent="0.3">
      <c r="A15" s="1" t="s">
        <v>53</v>
      </c>
      <c r="B15" s="1" t="s">
        <v>54</v>
      </c>
      <c r="C15">
        <v>5</v>
      </c>
      <c r="D15">
        <v>4</v>
      </c>
      <c r="E15">
        <v>1568</v>
      </c>
      <c r="F15">
        <v>4729</v>
      </c>
      <c r="G15">
        <v>2</v>
      </c>
      <c r="H15">
        <v>1977</v>
      </c>
      <c r="I15">
        <v>1979</v>
      </c>
      <c r="J15" s="1" t="s">
        <v>58</v>
      </c>
      <c r="K15">
        <v>2</v>
      </c>
      <c r="L15" s="1" t="s">
        <v>23</v>
      </c>
      <c r="M15" s="1" t="s">
        <v>24</v>
      </c>
      <c r="N15" s="1" t="s">
        <v>35</v>
      </c>
      <c r="O15">
        <v>7</v>
      </c>
      <c r="P15">
        <v>4</v>
      </c>
      <c r="Q15" s="1" t="s">
        <v>59</v>
      </c>
      <c r="R15">
        <v>0</v>
      </c>
      <c r="S15" s="1" t="s">
        <v>24</v>
      </c>
      <c r="T15">
        <v>14597000</v>
      </c>
      <c r="U15" t="s">
        <v>183</v>
      </c>
      <c r="V15" s="1" t="s">
        <v>176</v>
      </c>
      <c r="W15" s="1" t="s">
        <v>177</v>
      </c>
      <c r="X15" s="1" t="str">
        <f>VLOOKUP(V15,Broker_Directory!A:C,3,FALSE)</f>
        <v>Tier C</v>
      </c>
      <c r="Y15" s="1">
        <f>HLOOKUP(X15, Commission_Rates!A$1:C$2, 2, FALSE)</f>
        <v>0.01</v>
      </c>
      <c r="Z15" s="1">
        <f t="shared" si="0"/>
        <v>0</v>
      </c>
      <c r="AA15" s="1">
        <f t="shared" si="1"/>
        <v>0</v>
      </c>
      <c r="AB15" s="1">
        <f t="shared" si="2"/>
        <v>0</v>
      </c>
    </row>
    <row r="16" spans="1:28" x14ac:dyDescent="0.3">
      <c r="A16" s="1" t="s">
        <v>28</v>
      </c>
      <c r="B16" s="1" t="s">
        <v>60</v>
      </c>
      <c r="C16">
        <v>5</v>
      </c>
      <c r="D16">
        <v>1</v>
      </c>
      <c r="E16">
        <v>2226</v>
      </c>
      <c r="F16">
        <v>5583</v>
      </c>
      <c r="G16">
        <v>1</v>
      </c>
      <c r="H16">
        <v>2022</v>
      </c>
      <c r="I16">
        <v>2022</v>
      </c>
      <c r="J16" s="1" t="s">
        <v>58</v>
      </c>
      <c r="K16">
        <v>0</v>
      </c>
      <c r="L16" s="1" t="s">
        <v>41</v>
      </c>
      <c r="M16" s="1" t="s">
        <v>27</v>
      </c>
      <c r="N16" s="1" t="s">
        <v>46</v>
      </c>
      <c r="O16">
        <v>3</v>
      </c>
      <c r="P16">
        <v>5</v>
      </c>
      <c r="Q16" s="1" t="s">
        <v>61</v>
      </c>
      <c r="R16">
        <v>1</v>
      </c>
      <c r="S16" s="1" t="s">
        <v>27</v>
      </c>
      <c r="T16">
        <v>22575000</v>
      </c>
      <c r="U16" t="s">
        <v>182</v>
      </c>
      <c r="V16" s="1" t="s">
        <v>176</v>
      </c>
      <c r="W16" s="1" t="s">
        <v>177</v>
      </c>
      <c r="X16" s="1" t="str">
        <f>VLOOKUP(V16,Broker_Directory!A:C,3,FALSE)</f>
        <v>Tier C</v>
      </c>
      <c r="Y16" s="1">
        <f>HLOOKUP(X16, Commission_Rates!A$1:C$2, 2, FALSE)</f>
        <v>0.01</v>
      </c>
      <c r="Z16" s="1">
        <f t="shared" si="0"/>
        <v>0</v>
      </c>
      <c r="AA16" s="1">
        <f t="shared" si="1"/>
        <v>0</v>
      </c>
      <c r="AB16" s="1">
        <f t="shared" si="2"/>
        <v>0</v>
      </c>
    </row>
    <row r="17" spans="1:28" x14ac:dyDescent="0.3">
      <c r="A17" s="1" t="s">
        <v>37</v>
      </c>
      <c r="B17" s="1" t="s">
        <v>62</v>
      </c>
      <c r="C17">
        <v>3</v>
      </c>
      <c r="D17">
        <v>4</v>
      </c>
      <c r="E17">
        <v>2890</v>
      </c>
      <c r="F17">
        <v>9099</v>
      </c>
      <c r="G17">
        <v>1</v>
      </c>
      <c r="H17">
        <v>1951</v>
      </c>
      <c r="I17">
        <v>2008</v>
      </c>
      <c r="J17" s="1" t="s">
        <v>58</v>
      </c>
      <c r="K17">
        <v>0</v>
      </c>
      <c r="L17" s="1" t="s">
        <v>31</v>
      </c>
      <c r="M17" s="1" t="s">
        <v>27</v>
      </c>
      <c r="N17" s="1" t="s">
        <v>25</v>
      </c>
      <c r="O17">
        <v>5</v>
      </c>
      <c r="P17">
        <v>0</v>
      </c>
      <c r="Q17" s="1" t="s">
        <v>63</v>
      </c>
      <c r="R17">
        <v>2</v>
      </c>
      <c r="S17" s="1" t="s">
        <v>27</v>
      </c>
      <c r="T17">
        <v>23515000</v>
      </c>
      <c r="U17" t="s">
        <v>183</v>
      </c>
      <c r="V17" s="1" t="s">
        <v>168</v>
      </c>
      <c r="W17" s="1" t="s">
        <v>169</v>
      </c>
      <c r="X17" s="1" t="str">
        <f>VLOOKUP(V17,Broker_Directory!A:C,3,FALSE)</f>
        <v>Tier A</v>
      </c>
      <c r="Y17" s="1">
        <f>HLOOKUP(X17, Commission_Rates!A$1:C$2, 2, FALSE)</f>
        <v>0.02</v>
      </c>
      <c r="Z17" s="1">
        <f t="shared" si="0"/>
        <v>0</v>
      </c>
      <c r="AA17" s="1">
        <f t="shared" si="1"/>
        <v>0</v>
      </c>
      <c r="AB17" s="1">
        <f t="shared" si="2"/>
        <v>0</v>
      </c>
    </row>
    <row r="18" spans="1:28" x14ac:dyDescent="0.3">
      <c r="A18" s="1" t="s">
        <v>28</v>
      </c>
      <c r="B18" s="1" t="s">
        <v>29</v>
      </c>
      <c r="C18">
        <v>5</v>
      </c>
      <c r="D18">
        <v>3</v>
      </c>
      <c r="E18">
        <v>4633</v>
      </c>
      <c r="F18">
        <v>4747</v>
      </c>
      <c r="G18">
        <v>3</v>
      </c>
      <c r="H18">
        <v>2020</v>
      </c>
      <c r="I18">
        <v>2021</v>
      </c>
      <c r="J18" s="1" t="s">
        <v>58</v>
      </c>
      <c r="K18">
        <v>1</v>
      </c>
      <c r="L18" s="1" t="s">
        <v>64</v>
      </c>
      <c r="M18" s="1" t="s">
        <v>24</v>
      </c>
      <c r="N18" s="1" t="s">
        <v>25</v>
      </c>
      <c r="O18">
        <v>8</v>
      </c>
      <c r="P18">
        <v>1</v>
      </c>
      <c r="Q18" s="1" t="s">
        <v>65</v>
      </c>
      <c r="R18">
        <v>2</v>
      </c>
      <c r="S18" s="1" t="s">
        <v>24</v>
      </c>
      <c r="T18">
        <v>46910000</v>
      </c>
      <c r="U18" t="s">
        <v>183</v>
      </c>
      <c r="V18" s="1" t="s">
        <v>176</v>
      </c>
      <c r="W18" s="1" t="s">
        <v>177</v>
      </c>
      <c r="X18" s="1" t="str">
        <f>VLOOKUP(V18,Broker_Directory!A:C,3,FALSE)</f>
        <v>Tier C</v>
      </c>
      <c r="Y18" s="1">
        <f>HLOOKUP(X18, Commission_Rates!A$1:C$2, 2, FALSE)</f>
        <v>0.01</v>
      </c>
      <c r="Z18" s="1">
        <f t="shared" si="0"/>
        <v>0</v>
      </c>
      <c r="AA18" s="1">
        <f t="shared" si="1"/>
        <v>0</v>
      </c>
      <c r="AB18" s="1">
        <f t="shared" si="2"/>
        <v>0</v>
      </c>
    </row>
    <row r="19" spans="1:28" x14ac:dyDescent="0.3">
      <c r="A19" s="1" t="s">
        <v>53</v>
      </c>
      <c r="B19" s="1" t="s">
        <v>66</v>
      </c>
      <c r="C19">
        <v>3</v>
      </c>
      <c r="D19">
        <v>4</v>
      </c>
      <c r="E19">
        <v>2357</v>
      </c>
      <c r="F19">
        <v>9823</v>
      </c>
      <c r="G19">
        <v>1</v>
      </c>
      <c r="H19">
        <v>1961</v>
      </c>
      <c r="I19">
        <v>2014</v>
      </c>
      <c r="J19" s="1" t="s">
        <v>30</v>
      </c>
      <c r="K19">
        <v>0</v>
      </c>
      <c r="L19" s="1" t="s">
        <v>23</v>
      </c>
      <c r="M19" s="1" t="s">
        <v>27</v>
      </c>
      <c r="N19" s="1" t="s">
        <v>25</v>
      </c>
      <c r="O19">
        <v>10</v>
      </c>
      <c r="P19">
        <v>2</v>
      </c>
      <c r="Q19" s="1" t="s">
        <v>67</v>
      </c>
      <c r="R19">
        <v>3</v>
      </c>
      <c r="S19" s="1" t="s">
        <v>27</v>
      </c>
      <c r="T19">
        <v>21623000</v>
      </c>
      <c r="U19" t="s">
        <v>183</v>
      </c>
      <c r="V19" s="1" t="s">
        <v>174</v>
      </c>
      <c r="W19" s="1" t="s">
        <v>175</v>
      </c>
      <c r="X19" s="1" t="str">
        <f>VLOOKUP(V19,Broker_Directory!A:C,3,FALSE)</f>
        <v>Tier A</v>
      </c>
      <c r="Y19" s="1">
        <f>HLOOKUP(X19, Commission_Rates!A$1:C$2, 2, FALSE)</f>
        <v>0.02</v>
      </c>
      <c r="Z19" s="1">
        <f t="shared" si="0"/>
        <v>0</v>
      </c>
      <c r="AA19" s="1">
        <f t="shared" si="1"/>
        <v>0</v>
      </c>
      <c r="AB19" s="1">
        <f t="shared" si="2"/>
        <v>0</v>
      </c>
    </row>
    <row r="20" spans="1:28" x14ac:dyDescent="0.3">
      <c r="A20" s="1" t="s">
        <v>33</v>
      </c>
      <c r="B20" s="1" t="s">
        <v>48</v>
      </c>
      <c r="C20">
        <v>1</v>
      </c>
      <c r="D20">
        <v>1</v>
      </c>
      <c r="E20">
        <v>1521</v>
      </c>
      <c r="F20">
        <v>2161</v>
      </c>
      <c r="G20">
        <v>2</v>
      </c>
      <c r="H20">
        <v>2024</v>
      </c>
      <c r="I20">
        <v>2025</v>
      </c>
      <c r="J20" s="1" t="s">
        <v>52</v>
      </c>
      <c r="K20">
        <v>3</v>
      </c>
      <c r="L20" s="1" t="s">
        <v>31</v>
      </c>
      <c r="M20" s="1" t="s">
        <v>24</v>
      </c>
      <c r="N20" s="1" t="s">
        <v>46</v>
      </c>
      <c r="O20">
        <v>5</v>
      </c>
      <c r="P20">
        <v>0</v>
      </c>
      <c r="Q20" s="1" t="s">
        <v>68</v>
      </c>
      <c r="R20">
        <v>1</v>
      </c>
      <c r="S20" s="1" t="s">
        <v>24</v>
      </c>
      <c r="T20">
        <v>13138500</v>
      </c>
      <c r="U20" t="s">
        <v>182</v>
      </c>
      <c r="V20" s="1" t="s">
        <v>171</v>
      </c>
      <c r="W20" s="1" t="s">
        <v>172</v>
      </c>
      <c r="X20" s="1" t="str">
        <f>VLOOKUP(V20,Broker_Directory!A:C,3,FALSE)</f>
        <v>Tier B</v>
      </c>
      <c r="Y20" s="1">
        <f>HLOOKUP(X20, Commission_Rates!A$1:C$2, 2, FALSE)</f>
        <v>1.4999999999999999E-2</v>
      </c>
      <c r="Z20" s="1">
        <f t="shared" si="0"/>
        <v>0</v>
      </c>
      <c r="AA20" s="1">
        <f t="shared" si="1"/>
        <v>0</v>
      </c>
      <c r="AB20" s="1">
        <f t="shared" si="2"/>
        <v>0</v>
      </c>
    </row>
    <row r="21" spans="1:28" x14ac:dyDescent="0.3">
      <c r="A21" s="1" t="s">
        <v>20</v>
      </c>
      <c r="B21" s="1" t="s">
        <v>69</v>
      </c>
      <c r="C21">
        <v>5</v>
      </c>
      <c r="D21">
        <v>4</v>
      </c>
      <c r="E21">
        <v>1566</v>
      </c>
      <c r="F21">
        <v>5494</v>
      </c>
      <c r="G21">
        <v>1</v>
      </c>
      <c r="H21">
        <v>1972</v>
      </c>
      <c r="I21">
        <v>1997</v>
      </c>
      <c r="J21" s="1" t="s">
        <v>58</v>
      </c>
      <c r="K21">
        <v>1</v>
      </c>
      <c r="L21" s="1" t="s">
        <v>64</v>
      </c>
      <c r="M21" s="1" t="s">
        <v>27</v>
      </c>
      <c r="N21" s="1" t="s">
        <v>35</v>
      </c>
      <c r="O21">
        <v>3</v>
      </c>
      <c r="P21">
        <v>2</v>
      </c>
      <c r="Q21" s="1" t="s">
        <v>70</v>
      </c>
      <c r="R21">
        <v>0</v>
      </c>
      <c r="S21" s="1" t="s">
        <v>27</v>
      </c>
      <c r="T21">
        <v>19182000</v>
      </c>
      <c r="U21" t="s">
        <v>184</v>
      </c>
      <c r="V21" s="1" t="s">
        <v>174</v>
      </c>
      <c r="W21" s="1" t="s">
        <v>175</v>
      </c>
      <c r="X21" s="1" t="str">
        <f>VLOOKUP(V21,Broker_Directory!A:C,3,FALSE)</f>
        <v>Tier A</v>
      </c>
      <c r="Y21" s="1">
        <f>HLOOKUP(X21, Commission_Rates!A$1:C$2, 2, FALSE)</f>
        <v>0.02</v>
      </c>
      <c r="Z21" s="1">
        <f t="shared" si="0"/>
        <v>383640</v>
      </c>
      <c r="AA21" s="1">
        <f t="shared" si="1"/>
        <v>575460</v>
      </c>
      <c r="AB21" s="1">
        <f t="shared" si="2"/>
        <v>191820</v>
      </c>
    </row>
    <row r="22" spans="1:28" x14ac:dyDescent="0.3">
      <c r="A22" s="1" t="s">
        <v>20</v>
      </c>
      <c r="B22" s="1" t="s">
        <v>50</v>
      </c>
      <c r="C22">
        <v>2</v>
      </c>
      <c r="D22">
        <v>2</v>
      </c>
      <c r="E22">
        <v>4070</v>
      </c>
      <c r="F22">
        <v>6984</v>
      </c>
      <c r="G22">
        <v>2</v>
      </c>
      <c r="H22">
        <v>1979</v>
      </c>
      <c r="I22">
        <v>1992</v>
      </c>
      <c r="J22" s="1" t="s">
        <v>58</v>
      </c>
      <c r="K22">
        <v>1</v>
      </c>
      <c r="L22" s="1" t="s">
        <v>41</v>
      </c>
      <c r="M22" s="1" t="s">
        <v>27</v>
      </c>
      <c r="N22" s="1" t="s">
        <v>46</v>
      </c>
      <c r="O22">
        <v>1</v>
      </c>
      <c r="P22">
        <v>2</v>
      </c>
      <c r="Q22" s="1" t="s">
        <v>51</v>
      </c>
      <c r="R22">
        <v>3</v>
      </c>
      <c r="S22" s="1" t="s">
        <v>27</v>
      </c>
      <c r="T22">
        <v>49085000</v>
      </c>
      <c r="U22" t="s">
        <v>184</v>
      </c>
      <c r="V22" s="1" t="s">
        <v>179</v>
      </c>
      <c r="W22" s="1" t="s">
        <v>180</v>
      </c>
      <c r="X22" s="1" t="str">
        <f>VLOOKUP(V22,Broker_Directory!A:C,3,FALSE)</f>
        <v>Tier B</v>
      </c>
      <c r="Y22" s="1">
        <f>HLOOKUP(X22, Commission_Rates!A$1:C$2, 2, FALSE)</f>
        <v>1.4999999999999999E-2</v>
      </c>
      <c r="Z22" s="1">
        <f t="shared" si="0"/>
        <v>736275</v>
      </c>
      <c r="AA22" s="1">
        <f t="shared" si="1"/>
        <v>1472550</v>
      </c>
      <c r="AB22" s="1">
        <f t="shared" si="2"/>
        <v>736275</v>
      </c>
    </row>
    <row r="23" spans="1:28" x14ac:dyDescent="0.3">
      <c r="A23" s="1" t="s">
        <v>20</v>
      </c>
      <c r="B23" s="1" t="s">
        <v>21</v>
      </c>
      <c r="C23">
        <v>3</v>
      </c>
      <c r="D23">
        <v>2</v>
      </c>
      <c r="E23">
        <v>2474</v>
      </c>
      <c r="F23">
        <v>2837</v>
      </c>
      <c r="G23">
        <v>1</v>
      </c>
      <c r="H23">
        <v>2005</v>
      </c>
      <c r="I23">
        <v>2015</v>
      </c>
      <c r="J23" s="1" t="s">
        <v>30</v>
      </c>
      <c r="K23">
        <v>3</v>
      </c>
      <c r="L23" s="1" t="s">
        <v>23</v>
      </c>
      <c r="M23" s="1" t="s">
        <v>27</v>
      </c>
      <c r="N23" s="1" t="s">
        <v>35</v>
      </c>
      <c r="O23">
        <v>3</v>
      </c>
      <c r="P23">
        <v>2</v>
      </c>
      <c r="Q23" s="1" t="s">
        <v>26</v>
      </c>
      <c r="R23">
        <v>3</v>
      </c>
      <c r="S23" s="1" t="s">
        <v>24</v>
      </c>
      <c r="T23">
        <v>30013000</v>
      </c>
      <c r="U23" t="s">
        <v>183</v>
      </c>
      <c r="V23" s="1" t="s">
        <v>171</v>
      </c>
      <c r="W23" s="1" t="s">
        <v>172</v>
      </c>
      <c r="X23" s="1" t="str">
        <f>VLOOKUP(V23,Broker_Directory!A:C,3,FALSE)</f>
        <v>Tier B</v>
      </c>
      <c r="Y23" s="1">
        <f>HLOOKUP(X23, Commission_Rates!A$1:C$2, 2, FALSE)</f>
        <v>1.4999999999999999E-2</v>
      </c>
      <c r="Z23" s="1">
        <f t="shared" si="0"/>
        <v>0</v>
      </c>
      <c r="AA23" s="1">
        <f t="shared" si="1"/>
        <v>0</v>
      </c>
      <c r="AB23" s="1">
        <f t="shared" si="2"/>
        <v>0</v>
      </c>
    </row>
    <row r="24" spans="1:28" x14ac:dyDescent="0.3">
      <c r="A24" s="1" t="s">
        <v>33</v>
      </c>
      <c r="B24" s="1" t="s">
        <v>43</v>
      </c>
      <c r="C24">
        <v>2</v>
      </c>
      <c r="D24">
        <v>3</v>
      </c>
      <c r="E24">
        <v>3833</v>
      </c>
      <c r="F24">
        <v>4456</v>
      </c>
      <c r="G24">
        <v>3</v>
      </c>
      <c r="H24">
        <v>1992</v>
      </c>
      <c r="I24">
        <v>2011</v>
      </c>
      <c r="J24" s="1" t="s">
        <v>58</v>
      </c>
      <c r="K24">
        <v>2</v>
      </c>
      <c r="L24" s="1" t="s">
        <v>64</v>
      </c>
      <c r="M24" s="1" t="s">
        <v>27</v>
      </c>
      <c r="N24" s="1" t="s">
        <v>46</v>
      </c>
      <c r="O24">
        <v>6</v>
      </c>
      <c r="P24">
        <v>5</v>
      </c>
      <c r="Q24" s="1" t="s">
        <v>71</v>
      </c>
      <c r="R24">
        <v>1</v>
      </c>
      <c r="S24" s="1" t="s">
        <v>24</v>
      </c>
      <c r="T24">
        <v>32895500</v>
      </c>
      <c r="U24" t="s">
        <v>182</v>
      </c>
      <c r="V24" s="1" t="s">
        <v>171</v>
      </c>
      <c r="W24" s="1" t="s">
        <v>172</v>
      </c>
      <c r="X24" s="1" t="str">
        <f>VLOOKUP(V24,Broker_Directory!A:C,3,FALSE)</f>
        <v>Tier B</v>
      </c>
      <c r="Y24" s="1">
        <f>HLOOKUP(X24, Commission_Rates!A$1:C$2, 2, FALSE)</f>
        <v>1.4999999999999999E-2</v>
      </c>
      <c r="Z24" s="1">
        <f t="shared" si="0"/>
        <v>0</v>
      </c>
      <c r="AA24" s="1">
        <f t="shared" si="1"/>
        <v>0</v>
      </c>
      <c r="AB24" s="1">
        <f t="shared" si="2"/>
        <v>0</v>
      </c>
    </row>
    <row r="25" spans="1:28" x14ac:dyDescent="0.3">
      <c r="A25" s="1" t="s">
        <v>37</v>
      </c>
      <c r="B25" s="1" t="s">
        <v>72</v>
      </c>
      <c r="C25">
        <v>2</v>
      </c>
      <c r="D25">
        <v>3</v>
      </c>
      <c r="E25">
        <v>3626</v>
      </c>
      <c r="F25">
        <v>8164</v>
      </c>
      <c r="G25">
        <v>1</v>
      </c>
      <c r="H25">
        <v>1988</v>
      </c>
      <c r="I25">
        <v>2005</v>
      </c>
      <c r="J25" s="1" t="s">
        <v>52</v>
      </c>
      <c r="K25">
        <v>3</v>
      </c>
      <c r="L25" s="1" t="s">
        <v>64</v>
      </c>
      <c r="M25" s="1" t="s">
        <v>27</v>
      </c>
      <c r="N25" s="1" t="s">
        <v>46</v>
      </c>
      <c r="O25">
        <v>7</v>
      </c>
      <c r="P25">
        <v>5</v>
      </c>
      <c r="Q25" s="1" t="s">
        <v>73</v>
      </c>
      <c r="R25">
        <v>3</v>
      </c>
      <c r="S25" s="1" t="s">
        <v>24</v>
      </c>
      <c r="T25">
        <v>29313000</v>
      </c>
      <c r="U25" t="s">
        <v>184</v>
      </c>
      <c r="V25" s="1" t="s">
        <v>171</v>
      </c>
      <c r="W25" s="1" t="s">
        <v>172</v>
      </c>
      <c r="X25" s="1" t="str">
        <f>VLOOKUP(V25,Broker_Directory!A:C,3,FALSE)</f>
        <v>Tier B</v>
      </c>
      <c r="Y25" s="1">
        <f>HLOOKUP(X25, Commission_Rates!A$1:C$2, 2, FALSE)</f>
        <v>1.4999999999999999E-2</v>
      </c>
      <c r="Z25" s="1">
        <f t="shared" si="0"/>
        <v>439695</v>
      </c>
      <c r="AA25" s="1">
        <f t="shared" si="1"/>
        <v>879390</v>
      </c>
      <c r="AB25" s="1">
        <f t="shared" si="2"/>
        <v>439695</v>
      </c>
    </row>
    <row r="26" spans="1:28" x14ac:dyDescent="0.3">
      <c r="A26" s="1" t="s">
        <v>20</v>
      </c>
      <c r="B26" s="1" t="s">
        <v>69</v>
      </c>
      <c r="C26">
        <v>5</v>
      </c>
      <c r="D26">
        <v>3</v>
      </c>
      <c r="E26">
        <v>1065</v>
      </c>
      <c r="F26">
        <v>4963</v>
      </c>
      <c r="G26">
        <v>3</v>
      </c>
      <c r="H26">
        <v>1989</v>
      </c>
      <c r="I26">
        <v>2002</v>
      </c>
      <c r="J26" s="1" t="s">
        <v>52</v>
      </c>
      <c r="K26">
        <v>1</v>
      </c>
      <c r="L26" s="1" t="s">
        <v>23</v>
      </c>
      <c r="M26" s="1" t="s">
        <v>24</v>
      </c>
      <c r="N26" s="1" t="s">
        <v>25</v>
      </c>
      <c r="O26">
        <v>7</v>
      </c>
      <c r="P26">
        <v>4</v>
      </c>
      <c r="Q26" s="1" t="s">
        <v>74</v>
      </c>
      <c r="R26">
        <v>3</v>
      </c>
      <c r="S26" s="1" t="s">
        <v>27</v>
      </c>
      <c r="T26">
        <v>13325000</v>
      </c>
      <c r="U26" t="s">
        <v>184</v>
      </c>
      <c r="V26" s="1" t="s">
        <v>176</v>
      </c>
      <c r="W26" s="1" t="s">
        <v>177</v>
      </c>
      <c r="X26" s="1" t="str">
        <f>VLOOKUP(V26,Broker_Directory!A:C,3,FALSE)</f>
        <v>Tier C</v>
      </c>
      <c r="Y26" s="1">
        <f>HLOOKUP(X26, Commission_Rates!A$1:C$2, 2, FALSE)</f>
        <v>0.01</v>
      </c>
      <c r="Z26" s="1">
        <f t="shared" si="0"/>
        <v>133250</v>
      </c>
      <c r="AA26" s="1">
        <f t="shared" si="1"/>
        <v>399750</v>
      </c>
      <c r="AB26" s="1">
        <f t="shared" si="2"/>
        <v>266500</v>
      </c>
    </row>
    <row r="27" spans="1:28" x14ac:dyDescent="0.3">
      <c r="A27" s="1" t="s">
        <v>33</v>
      </c>
      <c r="B27" s="1" t="s">
        <v>75</v>
      </c>
      <c r="C27">
        <v>4</v>
      </c>
      <c r="D27">
        <v>4</v>
      </c>
      <c r="E27">
        <v>3573</v>
      </c>
      <c r="F27">
        <v>5621</v>
      </c>
      <c r="G27">
        <v>1</v>
      </c>
      <c r="H27">
        <v>1950</v>
      </c>
      <c r="I27">
        <v>1962</v>
      </c>
      <c r="J27" s="1" t="s">
        <v>22</v>
      </c>
      <c r="K27">
        <v>1</v>
      </c>
      <c r="L27" s="1" t="s">
        <v>31</v>
      </c>
      <c r="M27" s="1" t="s">
        <v>27</v>
      </c>
      <c r="N27" s="1" t="s">
        <v>25</v>
      </c>
      <c r="O27">
        <v>8</v>
      </c>
      <c r="P27">
        <v>1</v>
      </c>
      <c r="Q27" s="1" t="s">
        <v>76</v>
      </c>
      <c r="R27">
        <v>3</v>
      </c>
      <c r="S27" s="1" t="s">
        <v>24</v>
      </c>
      <c r="T27">
        <v>30880500</v>
      </c>
      <c r="U27" t="s">
        <v>184</v>
      </c>
      <c r="V27" s="1" t="s">
        <v>174</v>
      </c>
      <c r="W27" s="1" t="s">
        <v>175</v>
      </c>
      <c r="X27" s="1" t="str">
        <f>VLOOKUP(V27,Broker_Directory!A:C,3,FALSE)</f>
        <v>Tier A</v>
      </c>
      <c r="Y27" s="1">
        <f>HLOOKUP(X27, Commission_Rates!A$1:C$2, 2, FALSE)</f>
        <v>0.02</v>
      </c>
      <c r="Z27" s="1">
        <f t="shared" si="0"/>
        <v>617610</v>
      </c>
      <c r="AA27" s="1">
        <f t="shared" si="1"/>
        <v>926415</v>
      </c>
      <c r="AB27" s="1">
        <f t="shared" si="2"/>
        <v>308805</v>
      </c>
    </row>
    <row r="28" spans="1:28" x14ac:dyDescent="0.3">
      <c r="A28" s="1" t="s">
        <v>37</v>
      </c>
      <c r="B28" s="1" t="s">
        <v>45</v>
      </c>
      <c r="C28">
        <v>5</v>
      </c>
      <c r="D28">
        <v>3</v>
      </c>
      <c r="E28">
        <v>3925</v>
      </c>
      <c r="F28">
        <v>8993</v>
      </c>
      <c r="G28">
        <v>3</v>
      </c>
      <c r="H28">
        <v>2014</v>
      </c>
      <c r="I28">
        <v>2019</v>
      </c>
      <c r="J28" s="1" t="s">
        <v>22</v>
      </c>
      <c r="K28">
        <v>1</v>
      </c>
      <c r="L28" s="1" t="s">
        <v>41</v>
      </c>
      <c r="M28" s="1" t="s">
        <v>27</v>
      </c>
      <c r="N28" s="1" t="s">
        <v>46</v>
      </c>
      <c r="O28">
        <v>3</v>
      </c>
      <c r="P28">
        <v>5</v>
      </c>
      <c r="Q28" s="1" t="s">
        <v>77</v>
      </c>
      <c r="R28">
        <v>3</v>
      </c>
      <c r="S28" s="1" t="s">
        <v>24</v>
      </c>
      <c r="T28">
        <v>31895000</v>
      </c>
      <c r="U28" t="s">
        <v>183</v>
      </c>
      <c r="V28" s="1" t="s">
        <v>168</v>
      </c>
      <c r="W28" s="1" t="s">
        <v>169</v>
      </c>
      <c r="X28" s="1" t="str">
        <f>VLOOKUP(V28,Broker_Directory!A:C,3,FALSE)</f>
        <v>Tier A</v>
      </c>
      <c r="Y28" s="1">
        <f>HLOOKUP(X28, Commission_Rates!A$1:C$2, 2, FALSE)</f>
        <v>0.02</v>
      </c>
      <c r="Z28" s="1">
        <f t="shared" si="0"/>
        <v>0</v>
      </c>
      <c r="AA28" s="1">
        <f t="shared" si="1"/>
        <v>0</v>
      </c>
      <c r="AB28" s="1">
        <f t="shared" si="2"/>
        <v>0</v>
      </c>
    </row>
    <row r="29" spans="1:28" x14ac:dyDescent="0.3">
      <c r="A29" s="1" t="s">
        <v>53</v>
      </c>
      <c r="B29" s="1" t="s">
        <v>54</v>
      </c>
      <c r="C29">
        <v>1</v>
      </c>
      <c r="D29">
        <v>3</v>
      </c>
      <c r="E29">
        <v>2220</v>
      </c>
      <c r="F29">
        <v>4495</v>
      </c>
      <c r="G29">
        <v>2</v>
      </c>
      <c r="H29">
        <v>1990</v>
      </c>
      <c r="I29">
        <v>2023</v>
      </c>
      <c r="J29" s="1" t="s">
        <v>58</v>
      </c>
      <c r="K29">
        <v>1</v>
      </c>
      <c r="L29" s="1" t="s">
        <v>31</v>
      </c>
      <c r="M29" s="1" t="s">
        <v>24</v>
      </c>
      <c r="N29" s="1" t="s">
        <v>46</v>
      </c>
      <c r="O29">
        <v>2</v>
      </c>
      <c r="P29">
        <v>5</v>
      </c>
      <c r="Q29" s="1" t="s">
        <v>59</v>
      </c>
      <c r="R29">
        <v>0</v>
      </c>
      <c r="S29" s="1" t="s">
        <v>27</v>
      </c>
      <c r="T29">
        <v>20185000</v>
      </c>
      <c r="U29" t="s">
        <v>183</v>
      </c>
      <c r="V29" s="1" t="s">
        <v>174</v>
      </c>
      <c r="W29" s="1" t="s">
        <v>175</v>
      </c>
      <c r="X29" s="1" t="str">
        <f>VLOOKUP(V29,Broker_Directory!A:C,3,FALSE)</f>
        <v>Tier A</v>
      </c>
      <c r="Y29" s="1">
        <f>HLOOKUP(X29, Commission_Rates!A$1:C$2, 2, FALSE)</f>
        <v>0.02</v>
      </c>
      <c r="Z29" s="1">
        <f t="shared" si="0"/>
        <v>0</v>
      </c>
      <c r="AA29" s="1">
        <f t="shared" si="1"/>
        <v>0</v>
      </c>
      <c r="AB29" s="1">
        <f t="shared" si="2"/>
        <v>0</v>
      </c>
    </row>
    <row r="30" spans="1:28" x14ac:dyDescent="0.3">
      <c r="A30" s="1" t="s">
        <v>37</v>
      </c>
      <c r="B30" s="1" t="s">
        <v>38</v>
      </c>
      <c r="C30">
        <v>5</v>
      </c>
      <c r="D30">
        <v>4</v>
      </c>
      <c r="E30">
        <v>3706</v>
      </c>
      <c r="F30">
        <v>4266</v>
      </c>
      <c r="G30">
        <v>1</v>
      </c>
      <c r="H30">
        <v>2003</v>
      </c>
      <c r="I30">
        <v>2014</v>
      </c>
      <c r="J30" s="1" t="s">
        <v>58</v>
      </c>
      <c r="K30">
        <v>3</v>
      </c>
      <c r="L30" s="1" t="s">
        <v>41</v>
      </c>
      <c r="M30" s="1" t="s">
        <v>24</v>
      </c>
      <c r="N30" s="1" t="s">
        <v>46</v>
      </c>
      <c r="O30">
        <v>4</v>
      </c>
      <c r="P30">
        <v>3</v>
      </c>
      <c r="Q30" s="1" t="s">
        <v>78</v>
      </c>
      <c r="R30">
        <v>1</v>
      </c>
      <c r="S30" s="1" t="s">
        <v>27</v>
      </c>
      <c r="T30">
        <v>30078000</v>
      </c>
      <c r="U30" t="s">
        <v>184</v>
      </c>
      <c r="V30" s="1" t="s">
        <v>171</v>
      </c>
      <c r="W30" s="1" t="s">
        <v>172</v>
      </c>
      <c r="X30" s="1" t="str">
        <f>VLOOKUP(V30,Broker_Directory!A:C,3,FALSE)</f>
        <v>Tier B</v>
      </c>
      <c r="Y30" s="1">
        <f>HLOOKUP(X30, Commission_Rates!A$1:C$2, 2, FALSE)</f>
        <v>1.4999999999999999E-2</v>
      </c>
      <c r="Z30" s="1">
        <f t="shared" si="0"/>
        <v>451170</v>
      </c>
      <c r="AA30" s="1">
        <f t="shared" si="1"/>
        <v>902340</v>
      </c>
      <c r="AB30" s="1">
        <f t="shared" si="2"/>
        <v>451170</v>
      </c>
    </row>
    <row r="31" spans="1:28" x14ac:dyDescent="0.3">
      <c r="A31" s="1" t="s">
        <v>28</v>
      </c>
      <c r="B31" s="1" t="s">
        <v>79</v>
      </c>
      <c r="C31">
        <v>4</v>
      </c>
      <c r="D31">
        <v>4</v>
      </c>
      <c r="E31">
        <v>537</v>
      </c>
      <c r="F31">
        <v>6958</v>
      </c>
      <c r="G31">
        <v>2</v>
      </c>
      <c r="H31">
        <v>2001</v>
      </c>
      <c r="I31">
        <v>2023</v>
      </c>
      <c r="J31" s="1" t="s">
        <v>52</v>
      </c>
      <c r="K31">
        <v>3</v>
      </c>
      <c r="L31" s="1" t="s">
        <v>31</v>
      </c>
      <c r="M31" s="1" t="s">
        <v>24</v>
      </c>
      <c r="N31" s="1" t="s">
        <v>46</v>
      </c>
      <c r="O31">
        <v>9</v>
      </c>
      <c r="P31">
        <v>4</v>
      </c>
      <c r="Q31" s="1" t="s">
        <v>80</v>
      </c>
      <c r="R31">
        <v>0</v>
      </c>
      <c r="S31" s="1" t="s">
        <v>27</v>
      </c>
      <c r="T31">
        <v>5755000</v>
      </c>
      <c r="U31" t="s">
        <v>183</v>
      </c>
      <c r="V31" s="1" t="s">
        <v>171</v>
      </c>
      <c r="W31" s="1" t="s">
        <v>172</v>
      </c>
      <c r="X31" s="1" t="str">
        <f>VLOOKUP(V31,Broker_Directory!A:C,3,FALSE)</f>
        <v>Tier B</v>
      </c>
      <c r="Y31" s="1">
        <f>HLOOKUP(X31, Commission_Rates!A$1:C$2, 2, FALSE)</f>
        <v>1.4999999999999999E-2</v>
      </c>
      <c r="Z31" s="1">
        <f t="shared" si="0"/>
        <v>0</v>
      </c>
      <c r="AA31" s="1">
        <f t="shared" si="1"/>
        <v>0</v>
      </c>
      <c r="AB31" s="1">
        <f t="shared" si="2"/>
        <v>0</v>
      </c>
    </row>
    <row r="32" spans="1:28" x14ac:dyDescent="0.3">
      <c r="A32" s="1" t="s">
        <v>28</v>
      </c>
      <c r="B32" s="1" t="s">
        <v>29</v>
      </c>
      <c r="C32">
        <v>2</v>
      </c>
      <c r="D32">
        <v>1</v>
      </c>
      <c r="E32">
        <v>2431</v>
      </c>
      <c r="F32">
        <v>5586</v>
      </c>
      <c r="G32">
        <v>2</v>
      </c>
      <c r="H32">
        <v>1977</v>
      </c>
      <c r="I32">
        <v>2005</v>
      </c>
      <c r="J32" s="1" t="s">
        <v>30</v>
      </c>
      <c r="K32">
        <v>2</v>
      </c>
      <c r="L32" s="1" t="s">
        <v>41</v>
      </c>
      <c r="M32" s="1" t="s">
        <v>27</v>
      </c>
      <c r="N32" s="1" t="s">
        <v>46</v>
      </c>
      <c r="O32">
        <v>4</v>
      </c>
      <c r="P32">
        <v>0</v>
      </c>
      <c r="Q32" s="1" t="s">
        <v>81</v>
      </c>
      <c r="R32">
        <v>0</v>
      </c>
      <c r="S32" s="1" t="s">
        <v>24</v>
      </c>
      <c r="T32">
        <v>24530000</v>
      </c>
      <c r="U32" t="s">
        <v>184</v>
      </c>
      <c r="V32" s="1" t="s">
        <v>176</v>
      </c>
      <c r="W32" s="1" t="s">
        <v>177</v>
      </c>
      <c r="X32" s="1" t="str">
        <f>VLOOKUP(V32,Broker_Directory!A:C,3,FALSE)</f>
        <v>Tier C</v>
      </c>
      <c r="Y32" s="1">
        <f>HLOOKUP(X32, Commission_Rates!A$1:C$2, 2, FALSE)</f>
        <v>0.01</v>
      </c>
      <c r="Z32" s="1">
        <f t="shared" si="0"/>
        <v>245300</v>
      </c>
      <c r="AA32" s="1">
        <f t="shared" si="1"/>
        <v>735900</v>
      </c>
      <c r="AB32" s="1">
        <f t="shared" si="2"/>
        <v>490600</v>
      </c>
    </row>
    <row r="33" spans="1:28" x14ac:dyDescent="0.3">
      <c r="A33" s="1" t="s">
        <v>53</v>
      </c>
      <c r="B33" s="1" t="s">
        <v>66</v>
      </c>
      <c r="C33">
        <v>1</v>
      </c>
      <c r="D33">
        <v>1</v>
      </c>
      <c r="E33">
        <v>554</v>
      </c>
      <c r="F33">
        <v>4655</v>
      </c>
      <c r="G33">
        <v>1</v>
      </c>
      <c r="H33">
        <v>1952</v>
      </c>
      <c r="I33">
        <v>1970</v>
      </c>
      <c r="J33" s="1" t="s">
        <v>52</v>
      </c>
      <c r="K33">
        <v>1</v>
      </c>
      <c r="L33" s="1" t="s">
        <v>41</v>
      </c>
      <c r="M33" s="1" t="s">
        <v>24</v>
      </c>
      <c r="N33" s="1" t="s">
        <v>35</v>
      </c>
      <c r="O33">
        <v>3</v>
      </c>
      <c r="P33">
        <v>3</v>
      </c>
      <c r="Q33" s="1" t="s">
        <v>82</v>
      </c>
      <c r="R33">
        <v>2</v>
      </c>
      <c r="S33" s="1" t="s">
        <v>24</v>
      </c>
      <c r="T33">
        <v>5191000</v>
      </c>
      <c r="U33" t="s">
        <v>184</v>
      </c>
      <c r="V33" s="1" t="s">
        <v>168</v>
      </c>
      <c r="W33" s="1" t="s">
        <v>169</v>
      </c>
      <c r="X33" s="1" t="str">
        <f>VLOOKUP(V33,Broker_Directory!A:C,3,FALSE)</f>
        <v>Tier A</v>
      </c>
      <c r="Y33" s="1">
        <f>HLOOKUP(X33, Commission_Rates!A$1:C$2, 2, FALSE)</f>
        <v>0.02</v>
      </c>
      <c r="Z33" s="1">
        <f t="shared" si="0"/>
        <v>103820</v>
      </c>
      <c r="AA33" s="1">
        <f t="shared" si="1"/>
        <v>155730</v>
      </c>
      <c r="AB33" s="1">
        <f t="shared" si="2"/>
        <v>51910</v>
      </c>
    </row>
    <row r="34" spans="1:28" x14ac:dyDescent="0.3">
      <c r="A34" s="1" t="s">
        <v>33</v>
      </c>
      <c r="B34" s="1" t="s">
        <v>43</v>
      </c>
      <c r="C34">
        <v>1</v>
      </c>
      <c r="D34">
        <v>2</v>
      </c>
      <c r="E34">
        <v>2848</v>
      </c>
      <c r="F34">
        <v>3783</v>
      </c>
      <c r="G34">
        <v>3</v>
      </c>
      <c r="H34">
        <v>1953</v>
      </c>
      <c r="I34">
        <v>1991</v>
      </c>
      <c r="J34" s="1" t="s">
        <v>22</v>
      </c>
      <c r="K34">
        <v>3</v>
      </c>
      <c r="L34" s="1" t="s">
        <v>31</v>
      </c>
      <c r="M34" s="1" t="s">
        <v>24</v>
      </c>
      <c r="N34" s="1" t="s">
        <v>35</v>
      </c>
      <c r="O34">
        <v>10</v>
      </c>
      <c r="P34">
        <v>1</v>
      </c>
      <c r="Q34" s="1" t="s">
        <v>83</v>
      </c>
      <c r="R34">
        <v>2</v>
      </c>
      <c r="S34" s="1" t="s">
        <v>24</v>
      </c>
      <c r="T34">
        <v>24483000</v>
      </c>
      <c r="U34" t="s">
        <v>182</v>
      </c>
      <c r="V34" s="1" t="s">
        <v>174</v>
      </c>
      <c r="W34" s="1" t="s">
        <v>175</v>
      </c>
      <c r="X34" s="1" t="str">
        <f>VLOOKUP(V34,Broker_Directory!A:C,3,FALSE)</f>
        <v>Tier A</v>
      </c>
      <c r="Y34" s="1">
        <f>HLOOKUP(X34, Commission_Rates!A$1:C$2, 2, FALSE)</f>
        <v>0.02</v>
      </c>
      <c r="Z34" s="1">
        <f t="shared" si="0"/>
        <v>0</v>
      </c>
      <c r="AA34" s="1">
        <f t="shared" si="1"/>
        <v>0</v>
      </c>
      <c r="AB34" s="1">
        <f t="shared" si="2"/>
        <v>0</v>
      </c>
    </row>
    <row r="35" spans="1:28" x14ac:dyDescent="0.3">
      <c r="A35" s="1" t="s">
        <v>33</v>
      </c>
      <c r="B35" s="1" t="s">
        <v>48</v>
      </c>
      <c r="C35">
        <v>3</v>
      </c>
      <c r="D35">
        <v>4</v>
      </c>
      <c r="E35">
        <v>3335</v>
      </c>
      <c r="F35">
        <v>3949</v>
      </c>
      <c r="G35">
        <v>3</v>
      </c>
      <c r="H35">
        <v>1993</v>
      </c>
      <c r="I35">
        <v>0</v>
      </c>
      <c r="J35" s="1" t="s">
        <v>22</v>
      </c>
      <c r="K35">
        <v>3</v>
      </c>
      <c r="L35" s="1" t="s">
        <v>23</v>
      </c>
      <c r="M35" s="1" t="s">
        <v>27</v>
      </c>
      <c r="N35" s="1" t="s">
        <v>46</v>
      </c>
      <c r="O35">
        <v>10</v>
      </c>
      <c r="P35">
        <v>3</v>
      </c>
      <c r="Q35" s="1" t="s">
        <v>84</v>
      </c>
      <c r="R35">
        <v>3</v>
      </c>
      <c r="S35" s="1" t="s">
        <v>24</v>
      </c>
      <c r="T35">
        <v>28772500</v>
      </c>
      <c r="U35" t="s">
        <v>182</v>
      </c>
      <c r="V35" s="1" t="s">
        <v>176</v>
      </c>
      <c r="W35" s="1" t="s">
        <v>177</v>
      </c>
      <c r="X35" s="1" t="str">
        <f>VLOOKUP(V35,Broker_Directory!A:C,3,FALSE)</f>
        <v>Tier C</v>
      </c>
      <c r="Y35" s="1">
        <f>HLOOKUP(X35, Commission_Rates!A$1:C$2, 2, FALSE)</f>
        <v>0.01</v>
      </c>
      <c r="Z35" s="1">
        <f t="shared" si="0"/>
        <v>0</v>
      </c>
      <c r="AA35" s="1">
        <f t="shared" si="1"/>
        <v>0</v>
      </c>
      <c r="AB35" s="1">
        <f t="shared" si="2"/>
        <v>0</v>
      </c>
    </row>
    <row r="36" spans="1:28" x14ac:dyDescent="0.3">
      <c r="A36" s="1" t="s">
        <v>33</v>
      </c>
      <c r="B36" s="1" t="s">
        <v>34</v>
      </c>
      <c r="C36">
        <v>5</v>
      </c>
      <c r="D36">
        <v>4</v>
      </c>
      <c r="E36">
        <v>4108</v>
      </c>
      <c r="F36">
        <v>7726</v>
      </c>
      <c r="G36">
        <v>3</v>
      </c>
      <c r="H36">
        <v>2025</v>
      </c>
      <c r="I36">
        <v>2025</v>
      </c>
      <c r="J36" s="1" t="s">
        <v>30</v>
      </c>
      <c r="K36">
        <v>1</v>
      </c>
      <c r="L36" s="1" t="s">
        <v>23</v>
      </c>
      <c r="M36" s="1" t="s">
        <v>27</v>
      </c>
      <c r="N36" s="1" t="s">
        <v>46</v>
      </c>
      <c r="O36">
        <v>3</v>
      </c>
      <c r="P36">
        <v>3</v>
      </c>
      <c r="Q36" s="1" t="s">
        <v>85</v>
      </c>
      <c r="R36">
        <v>2</v>
      </c>
      <c r="S36" s="1" t="s">
        <v>24</v>
      </c>
      <c r="T36">
        <v>35428000</v>
      </c>
      <c r="U36" t="s">
        <v>183</v>
      </c>
      <c r="V36" s="1" t="s">
        <v>171</v>
      </c>
      <c r="W36" s="1" t="s">
        <v>172</v>
      </c>
      <c r="X36" s="1" t="str">
        <f>VLOOKUP(V36,Broker_Directory!A:C,3,FALSE)</f>
        <v>Tier B</v>
      </c>
      <c r="Y36" s="1">
        <f>HLOOKUP(X36, Commission_Rates!A$1:C$2, 2, FALSE)</f>
        <v>1.4999999999999999E-2</v>
      </c>
      <c r="Z36" s="1">
        <f t="shared" si="0"/>
        <v>0</v>
      </c>
      <c r="AA36" s="1">
        <f t="shared" si="1"/>
        <v>0</v>
      </c>
      <c r="AB36" s="1">
        <f t="shared" si="2"/>
        <v>0</v>
      </c>
    </row>
    <row r="37" spans="1:28" x14ac:dyDescent="0.3">
      <c r="A37" s="1" t="s">
        <v>37</v>
      </c>
      <c r="B37" s="1" t="s">
        <v>38</v>
      </c>
      <c r="C37">
        <v>2</v>
      </c>
      <c r="D37">
        <v>4</v>
      </c>
      <c r="E37">
        <v>2037</v>
      </c>
      <c r="F37">
        <v>4993</v>
      </c>
      <c r="G37">
        <v>2</v>
      </c>
      <c r="H37">
        <v>1993</v>
      </c>
      <c r="I37">
        <v>2009</v>
      </c>
      <c r="J37" s="1" t="s">
        <v>30</v>
      </c>
      <c r="K37">
        <v>0</v>
      </c>
      <c r="L37" s="1" t="s">
        <v>31</v>
      </c>
      <c r="M37" s="1" t="s">
        <v>24</v>
      </c>
      <c r="N37" s="1" t="s">
        <v>25</v>
      </c>
      <c r="O37">
        <v>6</v>
      </c>
      <c r="P37">
        <v>3</v>
      </c>
      <c r="Q37" s="1" t="s">
        <v>86</v>
      </c>
      <c r="R37">
        <v>3</v>
      </c>
      <c r="S37" s="1" t="s">
        <v>27</v>
      </c>
      <c r="T37">
        <v>16701000</v>
      </c>
      <c r="U37" t="s">
        <v>183</v>
      </c>
      <c r="V37" s="1" t="s">
        <v>179</v>
      </c>
      <c r="W37" s="1" t="s">
        <v>180</v>
      </c>
      <c r="X37" s="1" t="str">
        <f>VLOOKUP(V37,Broker_Directory!A:C,3,FALSE)</f>
        <v>Tier B</v>
      </c>
      <c r="Y37" s="1">
        <f>HLOOKUP(X37, Commission_Rates!A$1:C$2, 2, FALSE)</f>
        <v>1.4999999999999999E-2</v>
      </c>
      <c r="Z37" s="1">
        <f t="shared" si="0"/>
        <v>0</v>
      </c>
      <c r="AA37" s="1">
        <f t="shared" si="1"/>
        <v>0</v>
      </c>
      <c r="AB37" s="1">
        <f t="shared" si="2"/>
        <v>0</v>
      </c>
    </row>
    <row r="38" spans="1:28" x14ac:dyDescent="0.3">
      <c r="A38" s="1" t="s">
        <v>37</v>
      </c>
      <c r="B38" s="1" t="s">
        <v>87</v>
      </c>
      <c r="C38">
        <v>1</v>
      </c>
      <c r="D38">
        <v>3</v>
      </c>
      <c r="E38">
        <v>2115</v>
      </c>
      <c r="F38">
        <v>5477</v>
      </c>
      <c r="G38">
        <v>3</v>
      </c>
      <c r="H38">
        <v>1981</v>
      </c>
      <c r="I38">
        <v>1999</v>
      </c>
      <c r="J38" s="1" t="s">
        <v>30</v>
      </c>
      <c r="K38">
        <v>3</v>
      </c>
      <c r="L38" s="1" t="s">
        <v>64</v>
      </c>
      <c r="M38" s="1" t="s">
        <v>27</v>
      </c>
      <c r="N38" s="1" t="s">
        <v>35</v>
      </c>
      <c r="O38">
        <v>8</v>
      </c>
      <c r="P38">
        <v>2</v>
      </c>
      <c r="Q38" s="1" t="s">
        <v>88</v>
      </c>
      <c r="R38">
        <v>3</v>
      </c>
      <c r="S38" s="1" t="s">
        <v>27</v>
      </c>
      <c r="T38">
        <v>17165000</v>
      </c>
      <c r="U38" t="s">
        <v>184</v>
      </c>
      <c r="V38" s="1" t="s">
        <v>168</v>
      </c>
      <c r="W38" s="1" t="s">
        <v>169</v>
      </c>
      <c r="X38" s="1" t="str">
        <f>VLOOKUP(V38,Broker_Directory!A:C,3,FALSE)</f>
        <v>Tier A</v>
      </c>
      <c r="Y38" s="1">
        <f>HLOOKUP(X38, Commission_Rates!A$1:C$2, 2, FALSE)</f>
        <v>0.02</v>
      </c>
      <c r="Z38" s="1">
        <f t="shared" si="0"/>
        <v>343300</v>
      </c>
      <c r="AA38" s="1">
        <f t="shared" si="1"/>
        <v>514950</v>
      </c>
      <c r="AB38" s="1">
        <f t="shared" si="2"/>
        <v>171650</v>
      </c>
    </row>
    <row r="39" spans="1:28" x14ac:dyDescent="0.3">
      <c r="A39" s="1" t="s">
        <v>53</v>
      </c>
      <c r="B39" s="1" t="s">
        <v>89</v>
      </c>
      <c r="C39">
        <v>2</v>
      </c>
      <c r="D39">
        <v>1</v>
      </c>
      <c r="E39">
        <v>1877</v>
      </c>
      <c r="F39">
        <v>4511</v>
      </c>
      <c r="G39">
        <v>1</v>
      </c>
      <c r="H39">
        <v>2018</v>
      </c>
      <c r="I39">
        <v>2019</v>
      </c>
      <c r="J39" s="1" t="s">
        <v>52</v>
      </c>
      <c r="K39">
        <v>1</v>
      </c>
      <c r="L39" s="1" t="s">
        <v>41</v>
      </c>
      <c r="M39" s="1" t="s">
        <v>27</v>
      </c>
      <c r="N39" s="1" t="s">
        <v>35</v>
      </c>
      <c r="O39">
        <v>9</v>
      </c>
      <c r="P39">
        <v>4</v>
      </c>
      <c r="Q39" s="1" t="s">
        <v>90</v>
      </c>
      <c r="R39">
        <v>0</v>
      </c>
      <c r="S39" s="1" t="s">
        <v>24</v>
      </c>
      <c r="T39">
        <v>17093000</v>
      </c>
      <c r="U39" t="s">
        <v>183</v>
      </c>
      <c r="V39" s="1" t="s">
        <v>174</v>
      </c>
      <c r="W39" s="1" t="s">
        <v>175</v>
      </c>
      <c r="X39" s="1" t="str">
        <f>VLOOKUP(V39,Broker_Directory!A:C,3,FALSE)</f>
        <v>Tier A</v>
      </c>
      <c r="Y39" s="1">
        <f>HLOOKUP(X39, Commission_Rates!A$1:C$2, 2, FALSE)</f>
        <v>0.02</v>
      </c>
      <c r="Z39" s="1">
        <f t="shared" si="0"/>
        <v>0</v>
      </c>
      <c r="AA39" s="1">
        <f t="shared" si="1"/>
        <v>0</v>
      </c>
      <c r="AB39" s="1">
        <f t="shared" si="2"/>
        <v>0</v>
      </c>
    </row>
    <row r="40" spans="1:28" x14ac:dyDescent="0.3">
      <c r="A40" s="1" t="s">
        <v>53</v>
      </c>
      <c r="B40" s="1" t="s">
        <v>66</v>
      </c>
      <c r="C40">
        <v>3</v>
      </c>
      <c r="D40">
        <v>2</v>
      </c>
      <c r="E40">
        <v>2776</v>
      </c>
      <c r="F40">
        <v>2941</v>
      </c>
      <c r="G40">
        <v>3</v>
      </c>
      <c r="H40">
        <v>2018</v>
      </c>
      <c r="I40">
        <v>2019</v>
      </c>
      <c r="J40" s="1" t="s">
        <v>30</v>
      </c>
      <c r="K40">
        <v>0</v>
      </c>
      <c r="L40" s="1" t="s">
        <v>23</v>
      </c>
      <c r="M40" s="1" t="s">
        <v>27</v>
      </c>
      <c r="N40" s="1" t="s">
        <v>35</v>
      </c>
      <c r="O40">
        <v>2</v>
      </c>
      <c r="P40">
        <v>5</v>
      </c>
      <c r="Q40" s="1" t="s">
        <v>91</v>
      </c>
      <c r="R40">
        <v>0</v>
      </c>
      <c r="S40" s="1" t="s">
        <v>24</v>
      </c>
      <c r="T40">
        <v>25304000</v>
      </c>
      <c r="U40" t="s">
        <v>182</v>
      </c>
      <c r="V40" s="1" t="s">
        <v>176</v>
      </c>
      <c r="W40" s="1" t="s">
        <v>177</v>
      </c>
      <c r="X40" s="1" t="str">
        <f>VLOOKUP(V40,Broker_Directory!A:C,3,FALSE)</f>
        <v>Tier C</v>
      </c>
      <c r="Y40" s="1">
        <f>HLOOKUP(X40, Commission_Rates!A$1:C$2, 2, FALSE)</f>
        <v>0.01</v>
      </c>
      <c r="Z40" s="1">
        <f t="shared" si="0"/>
        <v>0</v>
      </c>
      <c r="AA40" s="1">
        <f t="shared" si="1"/>
        <v>0</v>
      </c>
      <c r="AB40" s="1">
        <f t="shared" si="2"/>
        <v>0</v>
      </c>
    </row>
    <row r="41" spans="1:28" x14ac:dyDescent="0.3">
      <c r="A41" s="1" t="s">
        <v>33</v>
      </c>
      <c r="B41" s="1" t="s">
        <v>34</v>
      </c>
      <c r="C41">
        <v>4</v>
      </c>
      <c r="D41">
        <v>4</v>
      </c>
      <c r="E41">
        <v>3908</v>
      </c>
      <c r="F41">
        <v>6749</v>
      </c>
      <c r="G41">
        <v>1</v>
      </c>
      <c r="H41">
        <v>1956</v>
      </c>
      <c r="I41">
        <v>1987</v>
      </c>
      <c r="J41" s="1" t="s">
        <v>22</v>
      </c>
      <c r="K41">
        <v>0</v>
      </c>
      <c r="L41" s="1" t="s">
        <v>23</v>
      </c>
      <c r="M41" s="1" t="s">
        <v>27</v>
      </c>
      <c r="N41" s="1" t="s">
        <v>46</v>
      </c>
      <c r="O41">
        <v>1</v>
      </c>
      <c r="P41">
        <v>4</v>
      </c>
      <c r="Q41" s="1" t="s">
        <v>36</v>
      </c>
      <c r="R41">
        <v>1</v>
      </c>
      <c r="S41" s="1" t="s">
        <v>24</v>
      </c>
      <c r="T41">
        <v>33623000</v>
      </c>
      <c r="U41" t="s">
        <v>184</v>
      </c>
      <c r="V41" s="1" t="s">
        <v>171</v>
      </c>
      <c r="W41" s="1" t="s">
        <v>172</v>
      </c>
      <c r="X41" s="1" t="str">
        <f>VLOOKUP(V41,Broker_Directory!A:C,3,FALSE)</f>
        <v>Tier B</v>
      </c>
      <c r="Y41" s="1">
        <f>HLOOKUP(X41, Commission_Rates!A$1:C$2, 2, FALSE)</f>
        <v>1.4999999999999999E-2</v>
      </c>
      <c r="Z41" s="1">
        <f t="shared" si="0"/>
        <v>504345</v>
      </c>
      <c r="AA41" s="1">
        <f t="shared" si="1"/>
        <v>1008690</v>
      </c>
      <c r="AB41" s="1">
        <f t="shared" si="2"/>
        <v>504345</v>
      </c>
    </row>
    <row r="42" spans="1:28" x14ac:dyDescent="0.3">
      <c r="A42" s="1" t="s">
        <v>33</v>
      </c>
      <c r="B42" s="1" t="s">
        <v>34</v>
      </c>
      <c r="C42">
        <v>1</v>
      </c>
      <c r="D42">
        <v>2</v>
      </c>
      <c r="E42">
        <v>1270</v>
      </c>
      <c r="F42">
        <v>8138</v>
      </c>
      <c r="G42">
        <v>3</v>
      </c>
      <c r="H42">
        <v>1978</v>
      </c>
      <c r="I42">
        <v>2010</v>
      </c>
      <c r="J42" s="1" t="s">
        <v>22</v>
      </c>
      <c r="K42">
        <v>3</v>
      </c>
      <c r="L42" s="1" t="s">
        <v>41</v>
      </c>
      <c r="M42" s="1" t="s">
        <v>27</v>
      </c>
      <c r="N42" s="1" t="s">
        <v>35</v>
      </c>
      <c r="O42">
        <v>6</v>
      </c>
      <c r="P42">
        <v>2</v>
      </c>
      <c r="Q42" s="1" t="s">
        <v>36</v>
      </c>
      <c r="R42">
        <v>0</v>
      </c>
      <c r="S42" s="1" t="s">
        <v>24</v>
      </c>
      <c r="T42">
        <v>11015000</v>
      </c>
      <c r="U42" t="s">
        <v>182</v>
      </c>
      <c r="V42" s="1" t="s">
        <v>176</v>
      </c>
      <c r="W42" s="1" t="s">
        <v>177</v>
      </c>
      <c r="X42" s="1" t="str">
        <f>VLOOKUP(V42,Broker_Directory!A:C,3,FALSE)</f>
        <v>Tier C</v>
      </c>
      <c r="Y42" s="1">
        <f>HLOOKUP(X42, Commission_Rates!A$1:C$2, 2, FALSE)</f>
        <v>0.01</v>
      </c>
      <c r="Z42" s="1">
        <f t="shared" si="0"/>
        <v>0</v>
      </c>
      <c r="AA42" s="1">
        <f t="shared" si="1"/>
        <v>0</v>
      </c>
      <c r="AB42" s="1">
        <f t="shared" si="2"/>
        <v>0</v>
      </c>
    </row>
    <row r="43" spans="1:28" x14ac:dyDescent="0.3">
      <c r="A43" s="1" t="s">
        <v>28</v>
      </c>
      <c r="B43" s="1" t="s">
        <v>79</v>
      </c>
      <c r="C43">
        <v>1</v>
      </c>
      <c r="D43">
        <v>2</v>
      </c>
      <c r="E43">
        <v>2264</v>
      </c>
      <c r="F43">
        <v>3737</v>
      </c>
      <c r="G43">
        <v>3</v>
      </c>
      <c r="H43">
        <v>1959</v>
      </c>
      <c r="I43">
        <v>1978</v>
      </c>
      <c r="J43" s="1" t="s">
        <v>58</v>
      </c>
      <c r="K43">
        <v>3</v>
      </c>
      <c r="L43" s="1" t="s">
        <v>41</v>
      </c>
      <c r="M43" s="1" t="s">
        <v>27</v>
      </c>
      <c r="N43" s="1" t="s">
        <v>46</v>
      </c>
      <c r="O43">
        <v>0</v>
      </c>
      <c r="P43">
        <v>1</v>
      </c>
      <c r="Q43" s="1" t="s">
        <v>92</v>
      </c>
      <c r="R43">
        <v>2</v>
      </c>
      <c r="S43" s="1" t="s">
        <v>27</v>
      </c>
      <c r="T43">
        <v>22840000</v>
      </c>
      <c r="U43" t="s">
        <v>184</v>
      </c>
      <c r="V43" s="1" t="s">
        <v>171</v>
      </c>
      <c r="W43" s="1" t="s">
        <v>172</v>
      </c>
      <c r="X43" s="1" t="str">
        <f>VLOOKUP(V43,Broker_Directory!A:C,3,FALSE)</f>
        <v>Tier B</v>
      </c>
      <c r="Y43" s="1">
        <f>HLOOKUP(X43, Commission_Rates!A$1:C$2, 2, FALSE)</f>
        <v>1.4999999999999999E-2</v>
      </c>
      <c r="Z43" s="1">
        <f t="shared" si="0"/>
        <v>342600</v>
      </c>
      <c r="AA43" s="1">
        <f t="shared" si="1"/>
        <v>685200</v>
      </c>
      <c r="AB43" s="1">
        <f t="shared" si="2"/>
        <v>342600</v>
      </c>
    </row>
    <row r="44" spans="1:28" x14ac:dyDescent="0.3">
      <c r="A44" s="1" t="s">
        <v>20</v>
      </c>
      <c r="B44" s="1" t="s">
        <v>40</v>
      </c>
      <c r="C44">
        <v>3</v>
      </c>
      <c r="D44">
        <v>2</v>
      </c>
      <c r="E44">
        <v>3782</v>
      </c>
      <c r="F44">
        <v>4772</v>
      </c>
      <c r="G44">
        <v>3</v>
      </c>
      <c r="H44">
        <v>1978</v>
      </c>
      <c r="I44">
        <v>2018</v>
      </c>
      <c r="J44" s="1" t="s">
        <v>52</v>
      </c>
      <c r="K44">
        <v>2</v>
      </c>
      <c r="L44" s="1" t="s">
        <v>31</v>
      </c>
      <c r="M44" s="1" t="s">
        <v>24</v>
      </c>
      <c r="N44" s="1" t="s">
        <v>25</v>
      </c>
      <c r="O44">
        <v>2</v>
      </c>
      <c r="P44">
        <v>2</v>
      </c>
      <c r="Q44" s="1" t="s">
        <v>42</v>
      </c>
      <c r="R44">
        <v>3</v>
      </c>
      <c r="S44" s="1" t="s">
        <v>24</v>
      </c>
      <c r="T44">
        <v>45849000</v>
      </c>
      <c r="U44" t="s">
        <v>183</v>
      </c>
      <c r="V44" s="1" t="s">
        <v>176</v>
      </c>
      <c r="W44" s="1" t="s">
        <v>177</v>
      </c>
      <c r="X44" s="1" t="str">
        <f>VLOOKUP(V44,Broker_Directory!A:C,3,FALSE)</f>
        <v>Tier C</v>
      </c>
      <c r="Y44" s="1">
        <f>HLOOKUP(X44, Commission_Rates!A$1:C$2, 2, FALSE)</f>
        <v>0.01</v>
      </c>
      <c r="Z44" s="1">
        <f t="shared" si="0"/>
        <v>0</v>
      </c>
      <c r="AA44" s="1">
        <f t="shared" si="1"/>
        <v>0</v>
      </c>
      <c r="AB44" s="1">
        <f t="shared" si="2"/>
        <v>0</v>
      </c>
    </row>
    <row r="45" spans="1:28" x14ac:dyDescent="0.3">
      <c r="A45" s="1" t="s">
        <v>37</v>
      </c>
      <c r="B45" s="1" t="s">
        <v>38</v>
      </c>
      <c r="C45">
        <v>4</v>
      </c>
      <c r="D45">
        <v>3</v>
      </c>
      <c r="E45">
        <v>4399</v>
      </c>
      <c r="F45">
        <v>8872</v>
      </c>
      <c r="G45">
        <v>2</v>
      </c>
      <c r="H45">
        <v>2006</v>
      </c>
      <c r="I45">
        <v>2007</v>
      </c>
      <c r="J45" s="1" t="s">
        <v>58</v>
      </c>
      <c r="K45">
        <v>3</v>
      </c>
      <c r="L45" s="1" t="s">
        <v>64</v>
      </c>
      <c r="M45" s="1" t="s">
        <v>27</v>
      </c>
      <c r="N45" s="1" t="s">
        <v>25</v>
      </c>
      <c r="O45">
        <v>1</v>
      </c>
      <c r="P45">
        <v>1</v>
      </c>
      <c r="Q45" s="1" t="s">
        <v>93</v>
      </c>
      <c r="R45">
        <v>2</v>
      </c>
      <c r="S45" s="1" t="s">
        <v>24</v>
      </c>
      <c r="T45">
        <v>35677000</v>
      </c>
      <c r="U45" t="s">
        <v>182</v>
      </c>
      <c r="V45" s="1" t="s">
        <v>171</v>
      </c>
      <c r="W45" s="1" t="s">
        <v>172</v>
      </c>
      <c r="X45" s="1" t="str">
        <f>VLOOKUP(V45,Broker_Directory!A:C,3,FALSE)</f>
        <v>Tier B</v>
      </c>
      <c r="Y45" s="1">
        <f>HLOOKUP(X45, Commission_Rates!A$1:C$2, 2, FALSE)</f>
        <v>1.4999999999999999E-2</v>
      </c>
      <c r="Z45" s="1">
        <f t="shared" si="0"/>
        <v>0</v>
      </c>
      <c r="AA45" s="1">
        <f t="shared" si="1"/>
        <v>0</v>
      </c>
      <c r="AB45" s="1">
        <f t="shared" si="2"/>
        <v>0</v>
      </c>
    </row>
    <row r="46" spans="1:28" x14ac:dyDescent="0.3">
      <c r="A46" s="1" t="s">
        <v>28</v>
      </c>
      <c r="B46" s="1" t="s">
        <v>29</v>
      </c>
      <c r="C46">
        <v>5</v>
      </c>
      <c r="D46">
        <v>4</v>
      </c>
      <c r="E46">
        <v>2578</v>
      </c>
      <c r="F46">
        <v>4114</v>
      </c>
      <c r="G46">
        <v>3</v>
      </c>
      <c r="H46">
        <v>2005</v>
      </c>
      <c r="I46">
        <v>2024</v>
      </c>
      <c r="J46" s="1" t="s">
        <v>22</v>
      </c>
      <c r="K46">
        <v>0</v>
      </c>
      <c r="L46" s="1" t="s">
        <v>41</v>
      </c>
      <c r="M46" s="1" t="s">
        <v>27</v>
      </c>
      <c r="N46" s="1" t="s">
        <v>46</v>
      </c>
      <c r="O46">
        <v>5</v>
      </c>
      <c r="P46">
        <v>2</v>
      </c>
      <c r="Q46" s="1" t="s">
        <v>32</v>
      </c>
      <c r="R46">
        <v>1</v>
      </c>
      <c r="S46" s="1" t="s">
        <v>27</v>
      </c>
      <c r="T46">
        <v>26225000</v>
      </c>
      <c r="U46" t="s">
        <v>182</v>
      </c>
      <c r="V46" s="1" t="s">
        <v>168</v>
      </c>
      <c r="W46" s="1" t="s">
        <v>169</v>
      </c>
      <c r="X46" s="1" t="str">
        <f>VLOOKUP(V46,Broker_Directory!A:C,3,FALSE)</f>
        <v>Tier A</v>
      </c>
      <c r="Y46" s="1">
        <f>HLOOKUP(X46, Commission_Rates!A$1:C$2, 2, FALSE)</f>
        <v>0.02</v>
      </c>
      <c r="Z46" s="1">
        <f t="shared" si="0"/>
        <v>0</v>
      </c>
      <c r="AA46" s="1">
        <f t="shared" si="1"/>
        <v>0</v>
      </c>
      <c r="AB46" s="1">
        <f t="shared" si="2"/>
        <v>0</v>
      </c>
    </row>
    <row r="47" spans="1:28" x14ac:dyDescent="0.3">
      <c r="A47" s="1" t="s">
        <v>37</v>
      </c>
      <c r="B47" s="1" t="s">
        <v>72</v>
      </c>
      <c r="C47">
        <v>3</v>
      </c>
      <c r="D47">
        <v>4</v>
      </c>
      <c r="E47">
        <v>4806</v>
      </c>
      <c r="F47">
        <v>5156</v>
      </c>
      <c r="G47">
        <v>2</v>
      </c>
      <c r="H47">
        <v>1961</v>
      </c>
      <c r="I47">
        <v>2000</v>
      </c>
      <c r="J47" s="1" t="s">
        <v>30</v>
      </c>
      <c r="K47">
        <v>2</v>
      </c>
      <c r="L47" s="1" t="s">
        <v>23</v>
      </c>
      <c r="M47" s="1" t="s">
        <v>27</v>
      </c>
      <c r="N47" s="1" t="s">
        <v>35</v>
      </c>
      <c r="O47">
        <v>0</v>
      </c>
      <c r="P47">
        <v>5</v>
      </c>
      <c r="Q47" s="1" t="s">
        <v>94</v>
      </c>
      <c r="R47">
        <v>3</v>
      </c>
      <c r="S47" s="1" t="s">
        <v>24</v>
      </c>
      <c r="T47">
        <v>38853000</v>
      </c>
      <c r="U47" t="s">
        <v>182</v>
      </c>
      <c r="V47" s="1" t="s">
        <v>176</v>
      </c>
      <c r="W47" s="1" t="s">
        <v>177</v>
      </c>
      <c r="X47" s="1" t="str">
        <f>VLOOKUP(V47,Broker_Directory!A:C,3,FALSE)</f>
        <v>Tier C</v>
      </c>
      <c r="Y47" s="1">
        <f>HLOOKUP(X47, Commission_Rates!A$1:C$2, 2, FALSE)</f>
        <v>0.01</v>
      </c>
      <c r="Z47" s="1">
        <f t="shared" si="0"/>
        <v>0</v>
      </c>
      <c r="AA47" s="1">
        <f t="shared" si="1"/>
        <v>0</v>
      </c>
      <c r="AB47" s="1">
        <f t="shared" si="2"/>
        <v>0</v>
      </c>
    </row>
    <row r="48" spans="1:28" x14ac:dyDescent="0.3">
      <c r="A48" s="1" t="s">
        <v>28</v>
      </c>
      <c r="B48" s="1" t="s">
        <v>95</v>
      </c>
      <c r="C48">
        <v>3</v>
      </c>
      <c r="D48">
        <v>4</v>
      </c>
      <c r="E48">
        <v>3921</v>
      </c>
      <c r="F48">
        <v>4393</v>
      </c>
      <c r="G48">
        <v>1</v>
      </c>
      <c r="H48">
        <v>1984</v>
      </c>
      <c r="I48">
        <v>2018</v>
      </c>
      <c r="J48" s="1" t="s">
        <v>52</v>
      </c>
      <c r="K48">
        <v>2</v>
      </c>
      <c r="L48" s="1" t="s">
        <v>41</v>
      </c>
      <c r="M48" s="1" t="s">
        <v>27</v>
      </c>
      <c r="N48" s="1" t="s">
        <v>25</v>
      </c>
      <c r="O48">
        <v>0</v>
      </c>
      <c r="P48">
        <v>5</v>
      </c>
      <c r="Q48" s="1" t="s">
        <v>96</v>
      </c>
      <c r="R48">
        <v>1</v>
      </c>
      <c r="S48" s="1" t="s">
        <v>27</v>
      </c>
      <c r="T48">
        <v>39590000</v>
      </c>
      <c r="U48" t="s">
        <v>182</v>
      </c>
      <c r="V48" s="1" t="s">
        <v>174</v>
      </c>
      <c r="W48" s="1" t="s">
        <v>175</v>
      </c>
      <c r="X48" s="1" t="str">
        <f>VLOOKUP(V48,Broker_Directory!A:C,3,FALSE)</f>
        <v>Tier A</v>
      </c>
      <c r="Y48" s="1">
        <f>HLOOKUP(X48, Commission_Rates!A$1:C$2, 2, FALSE)</f>
        <v>0.02</v>
      </c>
      <c r="Z48" s="1">
        <f t="shared" si="0"/>
        <v>0</v>
      </c>
      <c r="AA48" s="1">
        <f t="shared" si="1"/>
        <v>0</v>
      </c>
      <c r="AB48" s="1">
        <f t="shared" si="2"/>
        <v>0</v>
      </c>
    </row>
    <row r="49" spans="1:28" x14ac:dyDescent="0.3">
      <c r="A49" s="1" t="s">
        <v>33</v>
      </c>
      <c r="B49" s="1" t="s">
        <v>48</v>
      </c>
      <c r="C49">
        <v>5</v>
      </c>
      <c r="D49">
        <v>4</v>
      </c>
      <c r="E49">
        <v>1063</v>
      </c>
      <c r="F49">
        <v>4794</v>
      </c>
      <c r="G49">
        <v>1</v>
      </c>
      <c r="H49">
        <v>2009</v>
      </c>
      <c r="I49">
        <v>2011</v>
      </c>
      <c r="J49" s="1" t="s">
        <v>52</v>
      </c>
      <c r="K49">
        <v>3</v>
      </c>
      <c r="L49" s="1" t="s">
        <v>64</v>
      </c>
      <c r="M49" s="1" t="s">
        <v>27</v>
      </c>
      <c r="N49" s="1" t="s">
        <v>46</v>
      </c>
      <c r="O49">
        <v>7</v>
      </c>
      <c r="P49">
        <v>3</v>
      </c>
      <c r="Q49" s="1" t="s">
        <v>84</v>
      </c>
      <c r="R49">
        <v>3</v>
      </c>
      <c r="S49" s="1" t="s">
        <v>24</v>
      </c>
      <c r="T49">
        <v>9520500</v>
      </c>
      <c r="U49" t="s">
        <v>183</v>
      </c>
      <c r="V49" s="1" t="s">
        <v>179</v>
      </c>
      <c r="W49" s="1" t="s">
        <v>180</v>
      </c>
      <c r="X49" s="1" t="str">
        <f>VLOOKUP(V49,Broker_Directory!A:C,3,FALSE)</f>
        <v>Tier B</v>
      </c>
      <c r="Y49" s="1">
        <f>HLOOKUP(X49, Commission_Rates!A$1:C$2, 2, FALSE)</f>
        <v>1.4999999999999999E-2</v>
      </c>
      <c r="Z49" s="1">
        <f t="shared" si="0"/>
        <v>0</v>
      </c>
      <c r="AA49" s="1">
        <f t="shared" si="1"/>
        <v>0</v>
      </c>
      <c r="AB49" s="1">
        <f t="shared" si="2"/>
        <v>0</v>
      </c>
    </row>
    <row r="50" spans="1:28" x14ac:dyDescent="0.3">
      <c r="A50" s="1" t="s">
        <v>37</v>
      </c>
      <c r="B50" s="1" t="s">
        <v>62</v>
      </c>
      <c r="C50">
        <v>5</v>
      </c>
      <c r="D50">
        <v>2</v>
      </c>
      <c r="E50">
        <v>871</v>
      </c>
      <c r="F50">
        <v>5447</v>
      </c>
      <c r="G50">
        <v>2</v>
      </c>
      <c r="H50">
        <v>1993</v>
      </c>
      <c r="I50">
        <v>2024</v>
      </c>
      <c r="J50" s="1" t="s">
        <v>30</v>
      </c>
      <c r="K50">
        <v>0</v>
      </c>
      <c r="L50" s="1" t="s">
        <v>64</v>
      </c>
      <c r="M50" s="1" t="s">
        <v>27</v>
      </c>
      <c r="N50" s="1" t="s">
        <v>35</v>
      </c>
      <c r="O50">
        <v>9</v>
      </c>
      <c r="P50">
        <v>5</v>
      </c>
      <c r="Q50" s="1" t="s">
        <v>97</v>
      </c>
      <c r="R50">
        <v>1</v>
      </c>
      <c r="S50" s="1" t="s">
        <v>27</v>
      </c>
      <c r="T50">
        <v>7333000</v>
      </c>
      <c r="U50" t="s">
        <v>182</v>
      </c>
      <c r="V50" s="1" t="s">
        <v>174</v>
      </c>
      <c r="W50" s="1" t="s">
        <v>175</v>
      </c>
      <c r="X50" s="1" t="str">
        <f>VLOOKUP(V50,Broker_Directory!A:C,3,FALSE)</f>
        <v>Tier A</v>
      </c>
      <c r="Y50" s="1">
        <f>HLOOKUP(X50, Commission_Rates!A$1:C$2, 2, FALSE)</f>
        <v>0.02</v>
      </c>
      <c r="Z50" s="1">
        <f t="shared" si="0"/>
        <v>0</v>
      </c>
      <c r="AA50" s="1">
        <f t="shared" si="1"/>
        <v>0</v>
      </c>
      <c r="AB50" s="1">
        <f t="shared" si="2"/>
        <v>0</v>
      </c>
    </row>
    <row r="51" spans="1:28" x14ac:dyDescent="0.3">
      <c r="A51" s="1" t="s">
        <v>33</v>
      </c>
      <c r="B51" s="1" t="s">
        <v>98</v>
      </c>
      <c r="C51">
        <v>3</v>
      </c>
      <c r="D51">
        <v>3</v>
      </c>
      <c r="E51">
        <v>4821</v>
      </c>
      <c r="F51">
        <v>9322</v>
      </c>
      <c r="G51">
        <v>2</v>
      </c>
      <c r="H51">
        <v>2008</v>
      </c>
      <c r="I51">
        <v>2017</v>
      </c>
      <c r="J51" s="1" t="s">
        <v>52</v>
      </c>
      <c r="K51">
        <v>1</v>
      </c>
      <c r="L51" s="1" t="s">
        <v>41</v>
      </c>
      <c r="M51" s="1" t="s">
        <v>24</v>
      </c>
      <c r="N51" s="1" t="s">
        <v>46</v>
      </c>
      <c r="O51">
        <v>0</v>
      </c>
      <c r="P51">
        <v>2</v>
      </c>
      <c r="Q51" s="1" t="s">
        <v>99</v>
      </c>
      <c r="R51">
        <v>3</v>
      </c>
      <c r="S51" s="1" t="s">
        <v>27</v>
      </c>
      <c r="T51">
        <v>41328500</v>
      </c>
      <c r="U51" t="s">
        <v>182</v>
      </c>
      <c r="V51" s="1" t="s">
        <v>176</v>
      </c>
      <c r="W51" s="1" t="s">
        <v>177</v>
      </c>
      <c r="X51" s="1" t="str">
        <f>VLOOKUP(V51,Broker_Directory!A:C,3,FALSE)</f>
        <v>Tier C</v>
      </c>
      <c r="Y51" s="1">
        <f>HLOOKUP(X51, Commission_Rates!A$1:C$2, 2, FALSE)</f>
        <v>0.01</v>
      </c>
      <c r="Z51" s="1">
        <f t="shared" si="0"/>
        <v>0</v>
      </c>
      <c r="AA51" s="1">
        <f t="shared" si="1"/>
        <v>0</v>
      </c>
      <c r="AB51" s="1">
        <f t="shared" si="2"/>
        <v>0</v>
      </c>
    </row>
    <row r="52" spans="1:28" x14ac:dyDescent="0.3">
      <c r="A52" s="1" t="s">
        <v>28</v>
      </c>
      <c r="B52" s="1" t="s">
        <v>29</v>
      </c>
      <c r="C52">
        <v>1</v>
      </c>
      <c r="D52">
        <v>2</v>
      </c>
      <c r="E52">
        <v>4414</v>
      </c>
      <c r="F52">
        <v>9298</v>
      </c>
      <c r="G52">
        <v>2</v>
      </c>
      <c r="H52">
        <v>1962</v>
      </c>
      <c r="I52">
        <v>2017</v>
      </c>
      <c r="J52" s="1" t="s">
        <v>58</v>
      </c>
      <c r="K52">
        <v>3</v>
      </c>
      <c r="L52" s="1" t="s">
        <v>23</v>
      </c>
      <c r="M52" s="1" t="s">
        <v>24</v>
      </c>
      <c r="N52" s="1" t="s">
        <v>46</v>
      </c>
      <c r="O52">
        <v>10</v>
      </c>
      <c r="P52">
        <v>1</v>
      </c>
      <c r="Q52" s="1" t="s">
        <v>32</v>
      </c>
      <c r="R52">
        <v>3</v>
      </c>
      <c r="S52" s="1" t="s">
        <v>27</v>
      </c>
      <c r="T52">
        <v>44360000</v>
      </c>
      <c r="U52" t="s">
        <v>182</v>
      </c>
      <c r="V52" s="1" t="s">
        <v>168</v>
      </c>
      <c r="W52" s="1" t="s">
        <v>169</v>
      </c>
      <c r="X52" s="1" t="str">
        <f>VLOOKUP(V52,Broker_Directory!A:C,3,FALSE)</f>
        <v>Tier A</v>
      </c>
      <c r="Y52" s="1">
        <f>HLOOKUP(X52, Commission_Rates!A$1:C$2, 2, FALSE)</f>
        <v>0.02</v>
      </c>
      <c r="Z52" s="1">
        <f t="shared" si="0"/>
        <v>0</v>
      </c>
      <c r="AA52" s="1">
        <f t="shared" si="1"/>
        <v>0</v>
      </c>
      <c r="AB52" s="1">
        <f t="shared" si="2"/>
        <v>0</v>
      </c>
    </row>
    <row r="53" spans="1:28" x14ac:dyDescent="0.3">
      <c r="A53" s="1" t="s">
        <v>53</v>
      </c>
      <c r="B53" s="1" t="s">
        <v>100</v>
      </c>
      <c r="C53">
        <v>4</v>
      </c>
      <c r="D53">
        <v>1</v>
      </c>
      <c r="E53">
        <v>2991</v>
      </c>
      <c r="F53">
        <v>8565</v>
      </c>
      <c r="G53">
        <v>3</v>
      </c>
      <c r="H53">
        <v>1998</v>
      </c>
      <c r="I53">
        <v>2007</v>
      </c>
      <c r="J53" s="1" t="s">
        <v>22</v>
      </c>
      <c r="K53">
        <v>0</v>
      </c>
      <c r="L53" s="1" t="s">
        <v>23</v>
      </c>
      <c r="M53" s="1" t="s">
        <v>24</v>
      </c>
      <c r="N53" s="1" t="s">
        <v>35</v>
      </c>
      <c r="O53">
        <v>10</v>
      </c>
      <c r="P53">
        <v>2</v>
      </c>
      <c r="Q53" s="1" t="s">
        <v>101</v>
      </c>
      <c r="R53">
        <v>0</v>
      </c>
      <c r="S53" s="1" t="s">
        <v>27</v>
      </c>
      <c r="T53">
        <v>27234000</v>
      </c>
      <c r="U53" t="s">
        <v>184</v>
      </c>
      <c r="V53" s="1" t="s">
        <v>179</v>
      </c>
      <c r="W53" s="1" t="s">
        <v>180</v>
      </c>
      <c r="X53" s="1" t="str">
        <f>VLOOKUP(V53,Broker_Directory!A:C,3,FALSE)</f>
        <v>Tier B</v>
      </c>
      <c r="Y53" s="1">
        <f>HLOOKUP(X53, Commission_Rates!A$1:C$2, 2, FALSE)</f>
        <v>1.4999999999999999E-2</v>
      </c>
      <c r="Z53" s="1">
        <f t="shared" si="0"/>
        <v>408510</v>
      </c>
      <c r="AA53" s="1">
        <f t="shared" si="1"/>
        <v>817020</v>
      </c>
      <c r="AB53" s="1">
        <f t="shared" si="2"/>
        <v>408510</v>
      </c>
    </row>
    <row r="54" spans="1:28" x14ac:dyDescent="0.3">
      <c r="A54" s="1" t="s">
        <v>20</v>
      </c>
      <c r="B54" s="1" t="s">
        <v>21</v>
      </c>
      <c r="C54">
        <v>4</v>
      </c>
      <c r="D54">
        <v>2</v>
      </c>
      <c r="E54">
        <v>2753</v>
      </c>
      <c r="F54">
        <v>3040</v>
      </c>
      <c r="G54">
        <v>1</v>
      </c>
      <c r="H54">
        <v>1991</v>
      </c>
      <c r="I54">
        <v>1993</v>
      </c>
      <c r="J54" s="1" t="s">
        <v>30</v>
      </c>
      <c r="K54">
        <v>2</v>
      </c>
      <c r="L54" s="1" t="s">
        <v>64</v>
      </c>
      <c r="M54" s="1" t="s">
        <v>27</v>
      </c>
      <c r="N54" s="1" t="s">
        <v>25</v>
      </c>
      <c r="O54">
        <v>3</v>
      </c>
      <c r="P54">
        <v>4</v>
      </c>
      <c r="Q54" s="1" t="s">
        <v>102</v>
      </c>
      <c r="R54">
        <v>1</v>
      </c>
      <c r="S54" s="1" t="s">
        <v>24</v>
      </c>
      <c r="T54">
        <v>33456000</v>
      </c>
      <c r="U54" t="s">
        <v>184</v>
      </c>
      <c r="V54" s="1" t="s">
        <v>168</v>
      </c>
      <c r="W54" s="1" t="s">
        <v>169</v>
      </c>
      <c r="X54" s="1" t="str">
        <f>VLOOKUP(V54,Broker_Directory!A:C,3,FALSE)</f>
        <v>Tier A</v>
      </c>
      <c r="Y54" s="1">
        <f>HLOOKUP(X54, Commission_Rates!A$1:C$2, 2, FALSE)</f>
        <v>0.02</v>
      </c>
      <c r="Z54" s="1">
        <f t="shared" si="0"/>
        <v>669120</v>
      </c>
      <c r="AA54" s="1">
        <f t="shared" si="1"/>
        <v>1003680</v>
      </c>
      <c r="AB54" s="1">
        <f t="shared" si="2"/>
        <v>334560</v>
      </c>
    </row>
    <row r="55" spans="1:28" x14ac:dyDescent="0.3">
      <c r="A55" s="1" t="s">
        <v>28</v>
      </c>
      <c r="B55" s="1" t="s">
        <v>60</v>
      </c>
      <c r="C55">
        <v>5</v>
      </c>
      <c r="D55">
        <v>4</v>
      </c>
      <c r="E55">
        <v>2272</v>
      </c>
      <c r="F55">
        <v>6398</v>
      </c>
      <c r="G55">
        <v>3</v>
      </c>
      <c r="H55">
        <v>1968</v>
      </c>
      <c r="I55">
        <v>1981</v>
      </c>
      <c r="J55" s="1" t="s">
        <v>22</v>
      </c>
      <c r="K55">
        <v>2</v>
      </c>
      <c r="L55" s="1" t="s">
        <v>41</v>
      </c>
      <c r="M55" s="1" t="s">
        <v>27</v>
      </c>
      <c r="N55" s="1" t="s">
        <v>35</v>
      </c>
      <c r="O55">
        <v>0</v>
      </c>
      <c r="P55">
        <v>3</v>
      </c>
      <c r="Q55" s="1" t="s">
        <v>61</v>
      </c>
      <c r="R55">
        <v>1</v>
      </c>
      <c r="S55" s="1" t="s">
        <v>24</v>
      </c>
      <c r="T55">
        <v>23215000</v>
      </c>
      <c r="U55" t="s">
        <v>184</v>
      </c>
      <c r="V55" s="1" t="s">
        <v>179</v>
      </c>
      <c r="W55" s="1" t="s">
        <v>180</v>
      </c>
      <c r="X55" s="1" t="str">
        <f>VLOOKUP(V55,Broker_Directory!A:C,3,FALSE)</f>
        <v>Tier B</v>
      </c>
      <c r="Y55" s="1">
        <f>HLOOKUP(X55, Commission_Rates!A$1:C$2, 2, FALSE)</f>
        <v>1.4999999999999999E-2</v>
      </c>
      <c r="Z55" s="1">
        <f t="shared" si="0"/>
        <v>348225</v>
      </c>
      <c r="AA55" s="1">
        <f t="shared" si="1"/>
        <v>696450</v>
      </c>
      <c r="AB55" s="1">
        <f t="shared" si="2"/>
        <v>348225</v>
      </c>
    </row>
    <row r="56" spans="1:28" x14ac:dyDescent="0.3">
      <c r="A56" s="1" t="s">
        <v>37</v>
      </c>
      <c r="B56" s="1" t="s">
        <v>38</v>
      </c>
      <c r="C56">
        <v>5</v>
      </c>
      <c r="D56">
        <v>3</v>
      </c>
      <c r="E56">
        <v>3775</v>
      </c>
      <c r="F56">
        <v>9480</v>
      </c>
      <c r="G56">
        <v>2</v>
      </c>
      <c r="H56">
        <v>2008</v>
      </c>
      <c r="I56">
        <v>2016</v>
      </c>
      <c r="J56" s="1" t="s">
        <v>52</v>
      </c>
      <c r="K56">
        <v>3</v>
      </c>
      <c r="L56" s="1" t="s">
        <v>41</v>
      </c>
      <c r="M56" s="1" t="s">
        <v>24</v>
      </c>
      <c r="N56" s="1" t="s">
        <v>25</v>
      </c>
      <c r="O56">
        <v>6</v>
      </c>
      <c r="P56">
        <v>4</v>
      </c>
      <c r="Q56" s="1" t="s">
        <v>39</v>
      </c>
      <c r="R56">
        <v>2</v>
      </c>
      <c r="S56" s="1" t="s">
        <v>27</v>
      </c>
      <c r="T56">
        <v>30710000</v>
      </c>
      <c r="U56" t="s">
        <v>184</v>
      </c>
      <c r="V56" s="1" t="s">
        <v>179</v>
      </c>
      <c r="W56" s="1" t="s">
        <v>180</v>
      </c>
      <c r="X56" s="1" t="str">
        <f>VLOOKUP(V56,Broker_Directory!A:C,3,FALSE)</f>
        <v>Tier B</v>
      </c>
      <c r="Y56" s="1">
        <f>HLOOKUP(X56, Commission_Rates!A$1:C$2, 2, FALSE)</f>
        <v>1.4999999999999999E-2</v>
      </c>
      <c r="Z56" s="1">
        <f t="shared" si="0"/>
        <v>460650</v>
      </c>
      <c r="AA56" s="1">
        <f t="shared" si="1"/>
        <v>921300</v>
      </c>
      <c r="AB56" s="1">
        <f t="shared" si="2"/>
        <v>460650</v>
      </c>
    </row>
    <row r="57" spans="1:28" x14ac:dyDescent="0.3">
      <c r="A57" s="1" t="s">
        <v>20</v>
      </c>
      <c r="B57" s="1" t="s">
        <v>50</v>
      </c>
      <c r="C57">
        <v>3</v>
      </c>
      <c r="D57">
        <v>1</v>
      </c>
      <c r="E57">
        <v>4936</v>
      </c>
      <c r="F57">
        <v>5387</v>
      </c>
      <c r="G57">
        <v>3</v>
      </c>
      <c r="H57">
        <v>2013</v>
      </c>
      <c r="I57">
        <v>2025</v>
      </c>
      <c r="J57" s="1" t="s">
        <v>30</v>
      </c>
      <c r="K57">
        <v>1</v>
      </c>
      <c r="L57" s="1" t="s">
        <v>64</v>
      </c>
      <c r="M57" s="1" t="s">
        <v>24</v>
      </c>
      <c r="N57" s="1" t="s">
        <v>35</v>
      </c>
      <c r="O57">
        <v>3</v>
      </c>
      <c r="P57">
        <v>4</v>
      </c>
      <c r="Q57" s="1" t="s">
        <v>51</v>
      </c>
      <c r="R57">
        <v>1</v>
      </c>
      <c r="S57" s="1" t="s">
        <v>24</v>
      </c>
      <c r="T57">
        <v>59562000</v>
      </c>
      <c r="U57" t="s">
        <v>184</v>
      </c>
      <c r="V57" s="1" t="s">
        <v>171</v>
      </c>
      <c r="W57" s="1" t="s">
        <v>172</v>
      </c>
      <c r="X57" s="1" t="str">
        <f>VLOOKUP(V57,Broker_Directory!A:C,3,FALSE)</f>
        <v>Tier B</v>
      </c>
      <c r="Y57" s="1">
        <f>HLOOKUP(X57, Commission_Rates!A$1:C$2, 2, FALSE)</f>
        <v>1.4999999999999999E-2</v>
      </c>
      <c r="Z57" s="1">
        <f t="shared" si="0"/>
        <v>893430</v>
      </c>
      <c r="AA57" s="1">
        <f t="shared" si="1"/>
        <v>1786860</v>
      </c>
      <c r="AB57" s="1">
        <f t="shared" si="2"/>
        <v>893430</v>
      </c>
    </row>
    <row r="58" spans="1:28" x14ac:dyDescent="0.3">
      <c r="A58" s="1" t="s">
        <v>20</v>
      </c>
      <c r="B58" s="1" t="s">
        <v>69</v>
      </c>
      <c r="C58">
        <v>4</v>
      </c>
      <c r="D58">
        <v>1</v>
      </c>
      <c r="E58">
        <v>3288</v>
      </c>
      <c r="F58">
        <v>9337</v>
      </c>
      <c r="G58">
        <v>1</v>
      </c>
      <c r="H58">
        <v>1961</v>
      </c>
      <c r="I58">
        <v>1997</v>
      </c>
      <c r="J58" s="1" t="s">
        <v>30</v>
      </c>
      <c r="K58">
        <v>3</v>
      </c>
      <c r="L58" s="1" t="s">
        <v>31</v>
      </c>
      <c r="M58" s="1" t="s">
        <v>24</v>
      </c>
      <c r="N58" s="1" t="s">
        <v>25</v>
      </c>
      <c r="O58">
        <v>8</v>
      </c>
      <c r="P58">
        <v>2</v>
      </c>
      <c r="Q58" s="1" t="s">
        <v>103</v>
      </c>
      <c r="R58">
        <v>1</v>
      </c>
      <c r="S58" s="1" t="s">
        <v>27</v>
      </c>
      <c r="T58">
        <v>39821000</v>
      </c>
      <c r="U58" t="s">
        <v>182</v>
      </c>
      <c r="V58" s="1" t="s">
        <v>174</v>
      </c>
      <c r="W58" s="1" t="s">
        <v>175</v>
      </c>
      <c r="X58" s="1" t="str">
        <f>VLOOKUP(V58,Broker_Directory!A:C,3,FALSE)</f>
        <v>Tier A</v>
      </c>
      <c r="Y58" s="1">
        <f>HLOOKUP(X58, Commission_Rates!A$1:C$2, 2, FALSE)</f>
        <v>0.02</v>
      </c>
      <c r="Z58" s="1">
        <f t="shared" si="0"/>
        <v>0</v>
      </c>
      <c r="AA58" s="1">
        <f t="shared" si="1"/>
        <v>0</v>
      </c>
      <c r="AB58" s="1">
        <f t="shared" si="2"/>
        <v>0</v>
      </c>
    </row>
    <row r="59" spans="1:28" x14ac:dyDescent="0.3">
      <c r="A59" s="1" t="s">
        <v>37</v>
      </c>
      <c r="B59" s="1" t="s">
        <v>38</v>
      </c>
      <c r="C59">
        <v>3</v>
      </c>
      <c r="D59">
        <v>1</v>
      </c>
      <c r="E59">
        <v>4136</v>
      </c>
      <c r="F59">
        <v>4802</v>
      </c>
      <c r="G59">
        <v>1</v>
      </c>
      <c r="H59">
        <v>1978</v>
      </c>
      <c r="I59">
        <v>2020</v>
      </c>
      <c r="J59" s="1" t="s">
        <v>22</v>
      </c>
      <c r="K59">
        <v>2</v>
      </c>
      <c r="L59" s="1" t="s">
        <v>23</v>
      </c>
      <c r="M59" s="1" t="s">
        <v>27</v>
      </c>
      <c r="N59" s="1" t="s">
        <v>25</v>
      </c>
      <c r="O59">
        <v>4</v>
      </c>
      <c r="P59">
        <v>4</v>
      </c>
      <c r="Q59" s="1" t="s">
        <v>93</v>
      </c>
      <c r="R59">
        <v>3</v>
      </c>
      <c r="S59" s="1" t="s">
        <v>27</v>
      </c>
      <c r="T59">
        <v>33408000</v>
      </c>
      <c r="U59" t="s">
        <v>184</v>
      </c>
      <c r="V59" s="1" t="s">
        <v>176</v>
      </c>
      <c r="W59" s="1" t="s">
        <v>177</v>
      </c>
      <c r="X59" s="1" t="str">
        <f>VLOOKUP(V59,Broker_Directory!A:C,3,FALSE)</f>
        <v>Tier C</v>
      </c>
      <c r="Y59" s="1">
        <f>HLOOKUP(X59, Commission_Rates!A$1:C$2, 2, FALSE)</f>
        <v>0.01</v>
      </c>
      <c r="Z59" s="1">
        <f t="shared" si="0"/>
        <v>334080</v>
      </c>
      <c r="AA59" s="1">
        <f t="shared" si="1"/>
        <v>1002240</v>
      </c>
      <c r="AB59" s="1">
        <f t="shared" si="2"/>
        <v>668160</v>
      </c>
    </row>
    <row r="60" spans="1:28" x14ac:dyDescent="0.3">
      <c r="A60" s="1" t="s">
        <v>53</v>
      </c>
      <c r="B60" s="1" t="s">
        <v>100</v>
      </c>
      <c r="C60">
        <v>4</v>
      </c>
      <c r="D60">
        <v>3</v>
      </c>
      <c r="E60">
        <v>1187</v>
      </c>
      <c r="F60">
        <v>5067</v>
      </c>
      <c r="G60">
        <v>2</v>
      </c>
      <c r="H60">
        <v>1953</v>
      </c>
      <c r="I60">
        <v>2023</v>
      </c>
      <c r="J60" s="1" t="s">
        <v>30</v>
      </c>
      <c r="K60">
        <v>1</v>
      </c>
      <c r="L60" s="1" t="s">
        <v>23</v>
      </c>
      <c r="M60" s="1" t="s">
        <v>27</v>
      </c>
      <c r="N60" s="1" t="s">
        <v>35</v>
      </c>
      <c r="O60">
        <v>4</v>
      </c>
      <c r="P60">
        <v>5</v>
      </c>
      <c r="Q60" s="1" t="s">
        <v>104</v>
      </c>
      <c r="R60">
        <v>0</v>
      </c>
      <c r="S60" s="1" t="s">
        <v>24</v>
      </c>
      <c r="T60">
        <v>11063000</v>
      </c>
      <c r="U60" t="s">
        <v>184</v>
      </c>
      <c r="V60" s="1" t="s">
        <v>174</v>
      </c>
      <c r="W60" s="1" t="s">
        <v>175</v>
      </c>
      <c r="X60" s="1" t="str">
        <f>VLOOKUP(V60,Broker_Directory!A:C,3,FALSE)</f>
        <v>Tier A</v>
      </c>
      <c r="Y60" s="1">
        <f>HLOOKUP(X60, Commission_Rates!A$1:C$2, 2, FALSE)</f>
        <v>0.02</v>
      </c>
      <c r="Z60" s="1">
        <f t="shared" si="0"/>
        <v>221260</v>
      </c>
      <c r="AA60" s="1">
        <f t="shared" si="1"/>
        <v>331890</v>
      </c>
      <c r="AB60" s="1">
        <f t="shared" si="2"/>
        <v>110630</v>
      </c>
    </row>
    <row r="61" spans="1:28" x14ac:dyDescent="0.3">
      <c r="A61" s="1" t="s">
        <v>20</v>
      </c>
      <c r="B61" s="1" t="s">
        <v>21</v>
      </c>
      <c r="C61">
        <v>3</v>
      </c>
      <c r="D61">
        <v>4</v>
      </c>
      <c r="E61">
        <v>1251</v>
      </c>
      <c r="F61">
        <v>2893</v>
      </c>
      <c r="G61">
        <v>1</v>
      </c>
      <c r="H61">
        <v>2018</v>
      </c>
      <c r="I61">
        <v>2019</v>
      </c>
      <c r="J61" s="1" t="s">
        <v>22</v>
      </c>
      <c r="K61">
        <v>3</v>
      </c>
      <c r="L61" s="1" t="s">
        <v>64</v>
      </c>
      <c r="M61" s="1" t="s">
        <v>27</v>
      </c>
      <c r="N61" s="1" t="s">
        <v>35</v>
      </c>
      <c r="O61">
        <v>2</v>
      </c>
      <c r="P61">
        <v>3</v>
      </c>
      <c r="Q61" s="1" t="s">
        <v>26</v>
      </c>
      <c r="R61">
        <v>3</v>
      </c>
      <c r="S61" s="1" t="s">
        <v>27</v>
      </c>
      <c r="T61">
        <v>15347000</v>
      </c>
      <c r="U61" t="s">
        <v>183</v>
      </c>
      <c r="V61" s="1" t="s">
        <v>174</v>
      </c>
      <c r="W61" s="1" t="s">
        <v>175</v>
      </c>
      <c r="X61" s="1" t="str">
        <f>VLOOKUP(V61,Broker_Directory!A:C,3,FALSE)</f>
        <v>Tier A</v>
      </c>
      <c r="Y61" s="1">
        <f>HLOOKUP(X61, Commission_Rates!A$1:C$2, 2, FALSE)</f>
        <v>0.02</v>
      </c>
      <c r="Z61" s="1">
        <f t="shared" si="0"/>
        <v>0</v>
      </c>
      <c r="AA61" s="1">
        <f t="shared" si="1"/>
        <v>0</v>
      </c>
      <c r="AB61" s="1">
        <f t="shared" si="2"/>
        <v>0</v>
      </c>
    </row>
    <row r="62" spans="1:28" x14ac:dyDescent="0.3">
      <c r="A62" s="1" t="s">
        <v>53</v>
      </c>
      <c r="B62" s="1" t="s">
        <v>105</v>
      </c>
      <c r="C62">
        <v>3</v>
      </c>
      <c r="D62">
        <v>2</v>
      </c>
      <c r="E62">
        <v>3932</v>
      </c>
      <c r="F62">
        <v>7624</v>
      </c>
      <c r="G62">
        <v>1</v>
      </c>
      <c r="H62">
        <v>1996</v>
      </c>
      <c r="I62">
        <v>1998</v>
      </c>
      <c r="J62" s="1" t="s">
        <v>30</v>
      </c>
      <c r="K62">
        <v>2</v>
      </c>
      <c r="L62" s="1" t="s">
        <v>23</v>
      </c>
      <c r="M62" s="1" t="s">
        <v>27</v>
      </c>
      <c r="N62" s="1" t="s">
        <v>46</v>
      </c>
      <c r="O62">
        <v>3</v>
      </c>
      <c r="P62">
        <v>0</v>
      </c>
      <c r="Q62" s="1" t="s">
        <v>106</v>
      </c>
      <c r="R62">
        <v>0</v>
      </c>
      <c r="S62" s="1" t="s">
        <v>24</v>
      </c>
      <c r="T62">
        <v>35668000</v>
      </c>
      <c r="U62" t="s">
        <v>183</v>
      </c>
      <c r="V62" s="1" t="s">
        <v>176</v>
      </c>
      <c r="W62" s="1" t="s">
        <v>177</v>
      </c>
      <c r="X62" s="1" t="str">
        <f>VLOOKUP(V62,Broker_Directory!A:C,3,FALSE)</f>
        <v>Tier C</v>
      </c>
      <c r="Y62" s="1">
        <f>HLOOKUP(X62, Commission_Rates!A$1:C$2, 2, FALSE)</f>
        <v>0.01</v>
      </c>
      <c r="Z62" s="1">
        <f t="shared" si="0"/>
        <v>0</v>
      </c>
      <c r="AA62" s="1">
        <f t="shared" si="1"/>
        <v>0</v>
      </c>
      <c r="AB62" s="1">
        <f t="shared" si="2"/>
        <v>0</v>
      </c>
    </row>
    <row r="63" spans="1:28" x14ac:dyDescent="0.3">
      <c r="A63" s="1" t="s">
        <v>33</v>
      </c>
      <c r="B63" s="1" t="s">
        <v>48</v>
      </c>
      <c r="C63">
        <v>1</v>
      </c>
      <c r="D63">
        <v>3</v>
      </c>
      <c r="E63">
        <v>2295</v>
      </c>
      <c r="F63">
        <v>3376</v>
      </c>
      <c r="G63">
        <v>3</v>
      </c>
      <c r="H63">
        <v>1976</v>
      </c>
      <c r="I63">
        <v>1979</v>
      </c>
      <c r="J63" s="1" t="s">
        <v>52</v>
      </c>
      <c r="K63">
        <v>1</v>
      </c>
      <c r="L63" s="1" t="s">
        <v>31</v>
      </c>
      <c r="M63" s="1" t="s">
        <v>27</v>
      </c>
      <c r="N63" s="1" t="s">
        <v>25</v>
      </c>
      <c r="O63">
        <v>9</v>
      </c>
      <c r="P63">
        <v>0</v>
      </c>
      <c r="Q63" s="1" t="s">
        <v>68</v>
      </c>
      <c r="R63">
        <v>1</v>
      </c>
      <c r="S63" s="1" t="s">
        <v>24</v>
      </c>
      <c r="T63">
        <v>19847500</v>
      </c>
      <c r="U63" t="s">
        <v>182</v>
      </c>
      <c r="V63" s="1" t="s">
        <v>171</v>
      </c>
      <c r="W63" s="1" t="s">
        <v>172</v>
      </c>
      <c r="X63" s="1" t="str">
        <f>VLOOKUP(V63,Broker_Directory!A:C,3,FALSE)</f>
        <v>Tier B</v>
      </c>
      <c r="Y63" s="1">
        <f>HLOOKUP(X63, Commission_Rates!A$1:C$2, 2, FALSE)</f>
        <v>1.4999999999999999E-2</v>
      </c>
      <c r="Z63" s="1">
        <f t="shared" si="0"/>
        <v>0</v>
      </c>
      <c r="AA63" s="1">
        <f t="shared" si="1"/>
        <v>0</v>
      </c>
      <c r="AB63" s="1">
        <f t="shared" si="2"/>
        <v>0</v>
      </c>
    </row>
    <row r="64" spans="1:28" x14ac:dyDescent="0.3">
      <c r="A64" s="1" t="s">
        <v>33</v>
      </c>
      <c r="B64" s="1" t="s">
        <v>34</v>
      </c>
      <c r="C64">
        <v>2</v>
      </c>
      <c r="D64">
        <v>1</v>
      </c>
      <c r="E64">
        <v>511</v>
      </c>
      <c r="F64">
        <v>2720</v>
      </c>
      <c r="G64">
        <v>1</v>
      </c>
      <c r="H64">
        <v>1995</v>
      </c>
      <c r="I64">
        <v>2009</v>
      </c>
      <c r="J64" s="1" t="s">
        <v>30</v>
      </c>
      <c r="K64">
        <v>0</v>
      </c>
      <c r="L64" s="1" t="s">
        <v>31</v>
      </c>
      <c r="M64" s="1" t="s">
        <v>27</v>
      </c>
      <c r="N64" s="1" t="s">
        <v>25</v>
      </c>
      <c r="O64">
        <v>2</v>
      </c>
      <c r="P64">
        <v>5</v>
      </c>
      <c r="Q64" s="1" t="s">
        <v>85</v>
      </c>
      <c r="R64">
        <v>0</v>
      </c>
      <c r="S64" s="1" t="s">
        <v>24</v>
      </c>
      <c r="T64">
        <v>4618500</v>
      </c>
      <c r="U64" t="s">
        <v>183</v>
      </c>
      <c r="V64" s="1" t="s">
        <v>168</v>
      </c>
      <c r="W64" s="1" t="s">
        <v>169</v>
      </c>
      <c r="X64" s="1" t="str">
        <f>VLOOKUP(V64,Broker_Directory!A:C,3,FALSE)</f>
        <v>Tier A</v>
      </c>
      <c r="Y64" s="1">
        <f>HLOOKUP(X64, Commission_Rates!A$1:C$2, 2, FALSE)</f>
        <v>0.02</v>
      </c>
      <c r="Z64" s="1">
        <f t="shared" si="0"/>
        <v>0</v>
      </c>
      <c r="AA64" s="1">
        <f t="shared" si="1"/>
        <v>0</v>
      </c>
      <c r="AB64" s="1">
        <f t="shared" si="2"/>
        <v>0</v>
      </c>
    </row>
    <row r="65" spans="1:28" x14ac:dyDescent="0.3">
      <c r="A65" s="1" t="s">
        <v>37</v>
      </c>
      <c r="B65" s="1" t="s">
        <v>72</v>
      </c>
      <c r="C65">
        <v>3</v>
      </c>
      <c r="D65">
        <v>1</v>
      </c>
      <c r="E65">
        <v>4002</v>
      </c>
      <c r="F65">
        <v>8179</v>
      </c>
      <c r="G65">
        <v>1</v>
      </c>
      <c r="H65">
        <v>1955</v>
      </c>
      <c r="I65">
        <v>2020</v>
      </c>
      <c r="J65" s="1" t="s">
        <v>30</v>
      </c>
      <c r="K65">
        <v>3</v>
      </c>
      <c r="L65" s="1" t="s">
        <v>23</v>
      </c>
      <c r="M65" s="1" t="s">
        <v>24</v>
      </c>
      <c r="N65" s="1" t="s">
        <v>46</v>
      </c>
      <c r="O65">
        <v>6</v>
      </c>
      <c r="P65">
        <v>3</v>
      </c>
      <c r="Q65" s="1" t="s">
        <v>107</v>
      </c>
      <c r="R65">
        <v>3</v>
      </c>
      <c r="S65" s="1" t="s">
        <v>27</v>
      </c>
      <c r="T65">
        <v>32286000</v>
      </c>
      <c r="U65" t="s">
        <v>184</v>
      </c>
      <c r="V65" s="1" t="s">
        <v>174</v>
      </c>
      <c r="W65" s="1" t="s">
        <v>175</v>
      </c>
      <c r="X65" s="1" t="str">
        <f>VLOOKUP(V65,Broker_Directory!A:C,3,FALSE)</f>
        <v>Tier A</v>
      </c>
      <c r="Y65" s="1">
        <f>HLOOKUP(X65, Commission_Rates!A$1:C$2, 2, FALSE)</f>
        <v>0.02</v>
      </c>
      <c r="Z65" s="1">
        <f t="shared" si="0"/>
        <v>645720</v>
      </c>
      <c r="AA65" s="1">
        <f t="shared" si="1"/>
        <v>968580</v>
      </c>
      <c r="AB65" s="1">
        <f t="shared" si="2"/>
        <v>322860</v>
      </c>
    </row>
    <row r="66" spans="1:28" x14ac:dyDescent="0.3">
      <c r="A66" s="1" t="s">
        <v>20</v>
      </c>
      <c r="B66" s="1" t="s">
        <v>21</v>
      </c>
      <c r="C66">
        <v>3</v>
      </c>
      <c r="D66">
        <v>2</v>
      </c>
      <c r="E66">
        <v>838</v>
      </c>
      <c r="F66">
        <v>2955</v>
      </c>
      <c r="G66">
        <v>2</v>
      </c>
      <c r="H66">
        <v>2024</v>
      </c>
      <c r="I66">
        <v>2025</v>
      </c>
      <c r="J66" s="1" t="s">
        <v>30</v>
      </c>
      <c r="K66">
        <v>3</v>
      </c>
      <c r="L66" s="1" t="s">
        <v>64</v>
      </c>
      <c r="M66" s="1" t="s">
        <v>27</v>
      </c>
      <c r="N66" s="1" t="s">
        <v>35</v>
      </c>
      <c r="O66">
        <v>9</v>
      </c>
      <c r="P66">
        <v>3</v>
      </c>
      <c r="Q66" s="1" t="s">
        <v>26</v>
      </c>
      <c r="R66">
        <v>0</v>
      </c>
      <c r="S66" s="1" t="s">
        <v>24</v>
      </c>
      <c r="T66">
        <v>10356000</v>
      </c>
      <c r="U66" t="s">
        <v>184</v>
      </c>
      <c r="V66" s="1" t="s">
        <v>174</v>
      </c>
      <c r="W66" s="1" t="s">
        <v>175</v>
      </c>
      <c r="X66" s="1" t="str">
        <f>VLOOKUP(V66,Broker_Directory!A:C,3,FALSE)</f>
        <v>Tier A</v>
      </c>
      <c r="Y66" s="1">
        <f>HLOOKUP(X66, Commission_Rates!A$1:C$2, 2, FALSE)</f>
        <v>0.02</v>
      </c>
      <c r="Z66" s="1">
        <f t="shared" ref="Z66:Z129" si="3">IF(U66="Sold",T66*Y66,0)</f>
        <v>207120</v>
      </c>
      <c r="AA66" s="1">
        <f t="shared" ref="AA66:AA129" si="4">IF(U66="Sold", T66 * 0.03, 0)</f>
        <v>310680</v>
      </c>
      <c r="AB66" s="1">
        <f t="shared" ref="AB66:AB129" si="5">AA66 - Z66</f>
        <v>103560</v>
      </c>
    </row>
    <row r="67" spans="1:28" x14ac:dyDescent="0.3">
      <c r="A67" s="1" t="s">
        <v>37</v>
      </c>
      <c r="B67" s="1" t="s">
        <v>72</v>
      </c>
      <c r="C67">
        <v>2</v>
      </c>
      <c r="D67">
        <v>4</v>
      </c>
      <c r="E67">
        <v>3076</v>
      </c>
      <c r="F67">
        <v>9904</v>
      </c>
      <c r="G67">
        <v>2</v>
      </c>
      <c r="H67">
        <v>2001</v>
      </c>
      <c r="I67">
        <v>2013</v>
      </c>
      <c r="J67" s="1" t="s">
        <v>58</v>
      </c>
      <c r="K67">
        <v>2</v>
      </c>
      <c r="L67" s="1" t="s">
        <v>41</v>
      </c>
      <c r="M67" s="1" t="s">
        <v>27</v>
      </c>
      <c r="N67" s="1" t="s">
        <v>35</v>
      </c>
      <c r="O67">
        <v>4</v>
      </c>
      <c r="P67">
        <v>2</v>
      </c>
      <c r="Q67" s="1" t="s">
        <v>73</v>
      </c>
      <c r="R67">
        <v>3</v>
      </c>
      <c r="S67" s="1" t="s">
        <v>24</v>
      </c>
      <c r="T67">
        <v>24963000</v>
      </c>
      <c r="U67" t="s">
        <v>184</v>
      </c>
      <c r="V67" s="1" t="s">
        <v>179</v>
      </c>
      <c r="W67" s="1" t="s">
        <v>180</v>
      </c>
      <c r="X67" s="1" t="str">
        <f>VLOOKUP(V67,Broker_Directory!A:C,3,FALSE)</f>
        <v>Tier B</v>
      </c>
      <c r="Y67" s="1">
        <f>HLOOKUP(X67, Commission_Rates!A$1:C$2, 2, FALSE)</f>
        <v>1.4999999999999999E-2</v>
      </c>
      <c r="Z67" s="1">
        <f t="shared" si="3"/>
        <v>374445</v>
      </c>
      <c r="AA67" s="1">
        <f t="shared" si="4"/>
        <v>748890</v>
      </c>
      <c r="AB67" s="1">
        <f t="shared" si="5"/>
        <v>374445</v>
      </c>
    </row>
    <row r="68" spans="1:28" x14ac:dyDescent="0.3">
      <c r="A68" s="1" t="s">
        <v>20</v>
      </c>
      <c r="B68" s="1" t="s">
        <v>21</v>
      </c>
      <c r="C68">
        <v>1</v>
      </c>
      <c r="D68">
        <v>4</v>
      </c>
      <c r="E68">
        <v>1091</v>
      </c>
      <c r="F68">
        <v>7246</v>
      </c>
      <c r="G68">
        <v>1</v>
      </c>
      <c r="H68">
        <v>2021</v>
      </c>
      <c r="I68">
        <v>0</v>
      </c>
      <c r="J68" s="1" t="s">
        <v>30</v>
      </c>
      <c r="K68">
        <v>0</v>
      </c>
      <c r="L68" s="1" t="s">
        <v>41</v>
      </c>
      <c r="M68" s="1" t="s">
        <v>27</v>
      </c>
      <c r="N68" s="1" t="s">
        <v>35</v>
      </c>
      <c r="O68">
        <v>6</v>
      </c>
      <c r="P68">
        <v>5</v>
      </c>
      <c r="Q68" s="1" t="s">
        <v>26</v>
      </c>
      <c r="R68">
        <v>2</v>
      </c>
      <c r="S68" s="1" t="s">
        <v>27</v>
      </c>
      <c r="T68">
        <v>13312000</v>
      </c>
      <c r="U68" t="s">
        <v>183</v>
      </c>
      <c r="V68" s="1" t="s">
        <v>168</v>
      </c>
      <c r="W68" s="1" t="s">
        <v>169</v>
      </c>
      <c r="X68" s="1" t="str">
        <f>VLOOKUP(V68,Broker_Directory!A:C,3,FALSE)</f>
        <v>Tier A</v>
      </c>
      <c r="Y68" s="1">
        <f>HLOOKUP(X68, Commission_Rates!A$1:C$2, 2, FALSE)</f>
        <v>0.02</v>
      </c>
      <c r="Z68" s="1">
        <f t="shared" si="3"/>
        <v>0</v>
      </c>
      <c r="AA68" s="1">
        <f t="shared" si="4"/>
        <v>0</v>
      </c>
      <c r="AB68" s="1">
        <f t="shared" si="5"/>
        <v>0</v>
      </c>
    </row>
    <row r="69" spans="1:28" x14ac:dyDescent="0.3">
      <c r="A69" s="1" t="s">
        <v>53</v>
      </c>
      <c r="B69" s="1" t="s">
        <v>105</v>
      </c>
      <c r="C69">
        <v>5</v>
      </c>
      <c r="D69">
        <v>2</v>
      </c>
      <c r="E69">
        <v>1567</v>
      </c>
      <c r="F69">
        <v>9517</v>
      </c>
      <c r="G69">
        <v>1</v>
      </c>
      <c r="H69">
        <v>1963</v>
      </c>
      <c r="I69">
        <v>2006</v>
      </c>
      <c r="J69" s="1" t="s">
        <v>30</v>
      </c>
      <c r="K69">
        <v>0</v>
      </c>
      <c r="L69" s="1" t="s">
        <v>64</v>
      </c>
      <c r="M69" s="1" t="s">
        <v>24</v>
      </c>
      <c r="N69" s="1" t="s">
        <v>46</v>
      </c>
      <c r="O69">
        <v>8</v>
      </c>
      <c r="P69">
        <v>4</v>
      </c>
      <c r="Q69" s="1" t="s">
        <v>108</v>
      </c>
      <c r="R69">
        <v>2</v>
      </c>
      <c r="S69" s="1" t="s">
        <v>24</v>
      </c>
      <c r="T69">
        <v>14538000</v>
      </c>
      <c r="U69" t="s">
        <v>182</v>
      </c>
      <c r="V69" s="1" t="s">
        <v>174</v>
      </c>
      <c r="W69" s="1" t="s">
        <v>175</v>
      </c>
      <c r="X69" s="1" t="str">
        <f>VLOOKUP(V69,Broker_Directory!A:C,3,FALSE)</f>
        <v>Tier A</v>
      </c>
      <c r="Y69" s="1">
        <f>HLOOKUP(X69, Commission_Rates!A$1:C$2, 2, FALSE)</f>
        <v>0.02</v>
      </c>
      <c r="Z69" s="1">
        <f t="shared" si="3"/>
        <v>0</v>
      </c>
      <c r="AA69" s="1">
        <f t="shared" si="4"/>
        <v>0</v>
      </c>
      <c r="AB69" s="1">
        <f t="shared" si="5"/>
        <v>0</v>
      </c>
    </row>
    <row r="70" spans="1:28" x14ac:dyDescent="0.3">
      <c r="A70" s="1" t="s">
        <v>28</v>
      </c>
      <c r="B70" s="1" t="s">
        <v>79</v>
      </c>
      <c r="C70">
        <v>3</v>
      </c>
      <c r="D70">
        <v>3</v>
      </c>
      <c r="E70">
        <v>3175</v>
      </c>
      <c r="F70">
        <v>3275</v>
      </c>
      <c r="G70">
        <v>1</v>
      </c>
      <c r="H70">
        <v>1968</v>
      </c>
      <c r="I70">
        <v>2003</v>
      </c>
      <c r="J70" s="1" t="s">
        <v>22</v>
      </c>
      <c r="K70">
        <v>0</v>
      </c>
      <c r="L70" s="1" t="s">
        <v>31</v>
      </c>
      <c r="M70" s="1" t="s">
        <v>24</v>
      </c>
      <c r="N70" s="1" t="s">
        <v>25</v>
      </c>
      <c r="O70">
        <v>8</v>
      </c>
      <c r="P70">
        <v>1</v>
      </c>
      <c r="Q70" s="1" t="s">
        <v>109</v>
      </c>
      <c r="R70">
        <v>3</v>
      </c>
      <c r="S70" s="1" t="s">
        <v>27</v>
      </c>
      <c r="T70">
        <v>32155000</v>
      </c>
      <c r="U70" t="s">
        <v>183</v>
      </c>
      <c r="V70" s="1" t="s">
        <v>168</v>
      </c>
      <c r="W70" s="1" t="s">
        <v>169</v>
      </c>
      <c r="X70" s="1" t="str">
        <f>VLOOKUP(V70,Broker_Directory!A:C,3,FALSE)</f>
        <v>Tier A</v>
      </c>
      <c r="Y70" s="1">
        <f>HLOOKUP(X70, Commission_Rates!A$1:C$2, 2, FALSE)</f>
        <v>0.02</v>
      </c>
      <c r="Z70" s="1">
        <f t="shared" si="3"/>
        <v>0</v>
      </c>
      <c r="AA70" s="1">
        <f t="shared" si="4"/>
        <v>0</v>
      </c>
      <c r="AB70" s="1">
        <f t="shared" si="5"/>
        <v>0</v>
      </c>
    </row>
    <row r="71" spans="1:28" x14ac:dyDescent="0.3">
      <c r="A71" s="1" t="s">
        <v>53</v>
      </c>
      <c r="B71" s="1" t="s">
        <v>66</v>
      </c>
      <c r="C71">
        <v>3</v>
      </c>
      <c r="D71">
        <v>3</v>
      </c>
      <c r="E71">
        <v>2957</v>
      </c>
      <c r="F71">
        <v>9370</v>
      </c>
      <c r="G71">
        <v>3</v>
      </c>
      <c r="H71">
        <v>1960</v>
      </c>
      <c r="I71">
        <v>1965</v>
      </c>
      <c r="J71" s="1" t="s">
        <v>52</v>
      </c>
      <c r="K71">
        <v>1</v>
      </c>
      <c r="L71" s="1" t="s">
        <v>23</v>
      </c>
      <c r="M71" s="1" t="s">
        <v>24</v>
      </c>
      <c r="N71" s="1" t="s">
        <v>46</v>
      </c>
      <c r="O71">
        <v>7</v>
      </c>
      <c r="P71">
        <v>5</v>
      </c>
      <c r="Q71" s="1" t="s">
        <v>91</v>
      </c>
      <c r="R71">
        <v>3</v>
      </c>
      <c r="S71" s="1" t="s">
        <v>27</v>
      </c>
      <c r="T71">
        <v>26983000</v>
      </c>
      <c r="U71" t="s">
        <v>184</v>
      </c>
      <c r="V71" s="1" t="s">
        <v>171</v>
      </c>
      <c r="W71" s="1" t="s">
        <v>172</v>
      </c>
      <c r="X71" s="1" t="str">
        <f>VLOOKUP(V71,Broker_Directory!A:C,3,FALSE)</f>
        <v>Tier B</v>
      </c>
      <c r="Y71" s="1">
        <f>HLOOKUP(X71, Commission_Rates!A$1:C$2, 2, FALSE)</f>
        <v>1.4999999999999999E-2</v>
      </c>
      <c r="Z71" s="1">
        <f t="shared" si="3"/>
        <v>404745</v>
      </c>
      <c r="AA71" s="1">
        <f t="shared" si="4"/>
        <v>809490</v>
      </c>
      <c r="AB71" s="1">
        <f t="shared" si="5"/>
        <v>404745</v>
      </c>
    </row>
    <row r="72" spans="1:28" x14ac:dyDescent="0.3">
      <c r="A72" s="1" t="s">
        <v>37</v>
      </c>
      <c r="B72" s="1" t="s">
        <v>38</v>
      </c>
      <c r="C72">
        <v>2</v>
      </c>
      <c r="D72">
        <v>1</v>
      </c>
      <c r="E72">
        <v>3127</v>
      </c>
      <c r="F72">
        <v>6698</v>
      </c>
      <c r="G72">
        <v>1</v>
      </c>
      <c r="H72">
        <v>1986</v>
      </c>
      <c r="I72">
        <v>2022</v>
      </c>
      <c r="J72" s="1" t="s">
        <v>22</v>
      </c>
      <c r="K72">
        <v>2</v>
      </c>
      <c r="L72" s="1" t="s">
        <v>23</v>
      </c>
      <c r="M72" s="1" t="s">
        <v>24</v>
      </c>
      <c r="N72" s="1" t="s">
        <v>46</v>
      </c>
      <c r="O72">
        <v>9</v>
      </c>
      <c r="P72">
        <v>0</v>
      </c>
      <c r="Q72" s="1" t="s">
        <v>93</v>
      </c>
      <c r="R72">
        <v>1</v>
      </c>
      <c r="S72" s="1" t="s">
        <v>27</v>
      </c>
      <c r="T72">
        <v>25206000</v>
      </c>
      <c r="U72" t="s">
        <v>182</v>
      </c>
      <c r="V72" s="1" t="s">
        <v>168</v>
      </c>
      <c r="W72" s="1" t="s">
        <v>169</v>
      </c>
      <c r="X72" s="1" t="str">
        <f>VLOOKUP(V72,Broker_Directory!A:C,3,FALSE)</f>
        <v>Tier A</v>
      </c>
      <c r="Y72" s="1">
        <f>HLOOKUP(X72, Commission_Rates!A$1:C$2, 2, FALSE)</f>
        <v>0.02</v>
      </c>
      <c r="Z72" s="1">
        <f t="shared" si="3"/>
        <v>0</v>
      </c>
      <c r="AA72" s="1">
        <f t="shared" si="4"/>
        <v>0</v>
      </c>
      <c r="AB72" s="1">
        <f t="shared" si="5"/>
        <v>0</v>
      </c>
    </row>
    <row r="73" spans="1:28" x14ac:dyDescent="0.3">
      <c r="A73" s="1" t="s">
        <v>28</v>
      </c>
      <c r="B73" s="1" t="s">
        <v>110</v>
      </c>
      <c r="C73">
        <v>3</v>
      </c>
      <c r="D73">
        <v>3</v>
      </c>
      <c r="E73">
        <v>2987</v>
      </c>
      <c r="F73">
        <v>4019</v>
      </c>
      <c r="G73">
        <v>1</v>
      </c>
      <c r="H73">
        <v>2013</v>
      </c>
      <c r="I73">
        <v>2023</v>
      </c>
      <c r="J73" s="1" t="s">
        <v>22</v>
      </c>
      <c r="K73">
        <v>1</v>
      </c>
      <c r="L73" s="1" t="s">
        <v>31</v>
      </c>
      <c r="M73" s="1" t="s">
        <v>27</v>
      </c>
      <c r="N73" s="1" t="s">
        <v>35</v>
      </c>
      <c r="O73">
        <v>3</v>
      </c>
      <c r="P73">
        <v>4</v>
      </c>
      <c r="Q73" s="1" t="s">
        <v>111</v>
      </c>
      <c r="R73">
        <v>0</v>
      </c>
      <c r="S73" s="1" t="s">
        <v>27</v>
      </c>
      <c r="T73">
        <v>30130000</v>
      </c>
      <c r="U73" t="s">
        <v>182</v>
      </c>
      <c r="V73" s="1" t="s">
        <v>179</v>
      </c>
      <c r="W73" s="1" t="s">
        <v>180</v>
      </c>
      <c r="X73" s="1" t="str">
        <f>VLOOKUP(V73,Broker_Directory!A:C,3,FALSE)</f>
        <v>Tier B</v>
      </c>
      <c r="Y73" s="1">
        <f>HLOOKUP(X73, Commission_Rates!A$1:C$2, 2, FALSE)</f>
        <v>1.4999999999999999E-2</v>
      </c>
      <c r="Z73" s="1">
        <f t="shared" si="3"/>
        <v>0</v>
      </c>
      <c r="AA73" s="1">
        <f t="shared" si="4"/>
        <v>0</v>
      </c>
      <c r="AB73" s="1">
        <f t="shared" si="5"/>
        <v>0</v>
      </c>
    </row>
    <row r="74" spans="1:28" x14ac:dyDescent="0.3">
      <c r="A74" s="1" t="s">
        <v>20</v>
      </c>
      <c r="B74" s="1" t="s">
        <v>50</v>
      </c>
      <c r="C74">
        <v>1</v>
      </c>
      <c r="D74">
        <v>4</v>
      </c>
      <c r="E74">
        <v>937</v>
      </c>
      <c r="F74">
        <v>6116</v>
      </c>
      <c r="G74">
        <v>3</v>
      </c>
      <c r="H74">
        <v>2004</v>
      </c>
      <c r="I74">
        <v>2021</v>
      </c>
      <c r="J74" s="1" t="s">
        <v>22</v>
      </c>
      <c r="K74">
        <v>3</v>
      </c>
      <c r="L74" s="1" t="s">
        <v>64</v>
      </c>
      <c r="M74" s="1" t="s">
        <v>24</v>
      </c>
      <c r="N74" s="1" t="s">
        <v>46</v>
      </c>
      <c r="O74">
        <v>0</v>
      </c>
      <c r="P74">
        <v>2</v>
      </c>
      <c r="Q74" s="1" t="s">
        <v>112</v>
      </c>
      <c r="R74">
        <v>3</v>
      </c>
      <c r="S74" s="1" t="s">
        <v>27</v>
      </c>
      <c r="T74">
        <v>11544000</v>
      </c>
      <c r="U74" t="s">
        <v>182</v>
      </c>
      <c r="V74" s="1" t="s">
        <v>174</v>
      </c>
      <c r="W74" s="1" t="s">
        <v>175</v>
      </c>
      <c r="X74" s="1" t="str">
        <f>VLOOKUP(V74,Broker_Directory!A:C,3,FALSE)</f>
        <v>Tier A</v>
      </c>
      <c r="Y74" s="1">
        <f>HLOOKUP(X74, Commission_Rates!A$1:C$2, 2, FALSE)</f>
        <v>0.02</v>
      </c>
      <c r="Z74" s="1">
        <f t="shared" si="3"/>
        <v>0</v>
      </c>
      <c r="AA74" s="1">
        <f t="shared" si="4"/>
        <v>0</v>
      </c>
      <c r="AB74" s="1">
        <f t="shared" si="5"/>
        <v>0</v>
      </c>
    </row>
    <row r="75" spans="1:28" x14ac:dyDescent="0.3">
      <c r="A75" s="1" t="s">
        <v>20</v>
      </c>
      <c r="B75" s="1" t="s">
        <v>50</v>
      </c>
      <c r="C75">
        <v>1</v>
      </c>
      <c r="D75">
        <v>2</v>
      </c>
      <c r="E75">
        <v>3869</v>
      </c>
      <c r="F75">
        <v>8743</v>
      </c>
      <c r="G75">
        <v>2</v>
      </c>
      <c r="H75">
        <v>2017</v>
      </c>
      <c r="I75">
        <v>2017</v>
      </c>
      <c r="J75" s="1" t="s">
        <v>22</v>
      </c>
      <c r="K75">
        <v>2</v>
      </c>
      <c r="L75" s="1" t="s">
        <v>64</v>
      </c>
      <c r="M75" s="1" t="s">
        <v>24</v>
      </c>
      <c r="N75" s="1" t="s">
        <v>46</v>
      </c>
      <c r="O75">
        <v>2</v>
      </c>
      <c r="P75">
        <v>0</v>
      </c>
      <c r="Q75" s="1" t="s">
        <v>113</v>
      </c>
      <c r="R75">
        <v>1</v>
      </c>
      <c r="S75" s="1" t="s">
        <v>27</v>
      </c>
      <c r="T75">
        <v>46618000</v>
      </c>
      <c r="U75" t="s">
        <v>182</v>
      </c>
      <c r="V75" s="1" t="s">
        <v>179</v>
      </c>
      <c r="W75" s="1" t="s">
        <v>180</v>
      </c>
      <c r="X75" s="1" t="str">
        <f>VLOOKUP(V75,Broker_Directory!A:C,3,FALSE)</f>
        <v>Tier B</v>
      </c>
      <c r="Y75" s="1">
        <f>HLOOKUP(X75, Commission_Rates!A$1:C$2, 2, FALSE)</f>
        <v>1.4999999999999999E-2</v>
      </c>
      <c r="Z75" s="1">
        <f t="shared" si="3"/>
        <v>0</v>
      </c>
      <c r="AA75" s="1">
        <f t="shared" si="4"/>
        <v>0</v>
      </c>
      <c r="AB75" s="1">
        <f t="shared" si="5"/>
        <v>0</v>
      </c>
    </row>
    <row r="76" spans="1:28" x14ac:dyDescent="0.3">
      <c r="A76" s="1" t="s">
        <v>53</v>
      </c>
      <c r="B76" s="1" t="s">
        <v>66</v>
      </c>
      <c r="C76">
        <v>2</v>
      </c>
      <c r="D76">
        <v>1</v>
      </c>
      <c r="E76">
        <v>1499</v>
      </c>
      <c r="F76">
        <v>5742</v>
      </c>
      <c r="G76">
        <v>1</v>
      </c>
      <c r="H76">
        <v>1972</v>
      </c>
      <c r="I76">
        <v>2009</v>
      </c>
      <c r="J76" s="1" t="s">
        <v>52</v>
      </c>
      <c r="K76">
        <v>0</v>
      </c>
      <c r="L76" s="1" t="s">
        <v>31</v>
      </c>
      <c r="M76" s="1" t="s">
        <v>27</v>
      </c>
      <c r="N76" s="1" t="s">
        <v>46</v>
      </c>
      <c r="O76">
        <v>9</v>
      </c>
      <c r="P76">
        <v>4</v>
      </c>
      <c r="Q76" s="1" t="s">
        <v>91</v>
      </c>
      <c r="R76">
        <v>2</v>
      </c>
      <c r="S76" s="1" t="s">
        <v>27</v>
      </c>
      <c r="T76">
        <v>13671000</v>
      </c>
      <c r="U76" t="s">
        <v>182</v>
      </c>
      <c r="V76" s="1" t="s">
        <v>171</v>
      </c>
      <c r="W76" s="1" t="s">
        <v>172</v>
      </c>
      <c r="X76" s="1" t="str">
        <f>VLOOKUP(V76,Broker_Directory!A:C,3,FALSE)</f>
        <v>Tier B</v>
      </c>
      <c r="Y76" s="1">
        <f>HLOOKUP(X76, Commission_Rates!A$1:C$2, 2, FALSE)</f>
        <v>1.4999999999999999E-2</v>
      </c>
      <c r="Z76" s="1">
        <f t="shared" si="3"/>
        <v>0</v>
      </c>
      <c r="AA76" s="1">
        <f t="shared" si="4"/>
        <v>0</v>
      </c>
      <c r="AB76" s="1">
        <f t="shared" si="5"/>
        <v>0</v>
      </c>
    </row>
    <row r="77" spans="1:28" x14ac:dyDescent="0.3">
      <c r="A77" s="1" t="s">
        <v>28</v>
      </c>
      <c r="B77" s="1" t="s">
        <v>29</v>
      </c>
      <c r="C77">
        <v>1</v>
      </c>
      <c r="D77">
        <v>4</v>
      </c>
      <c r="E77">
        <v>3922</v>
      </c>
      <c r="F77">
        <v>9144</v>
      </c>
      <c r="G77">
        <v>2</v>
      </c>
      <c r="H77">
        <v>1985</v>
      </c>
      <c r="I77">
        <v>2021</v>
      </c>
      <c r="J77" s="1" t="s">
        <v>58</v>
      </c>
      <c r="K77">
        <v>2</v>
      </c>
      <c r="L77" s="1" t="s">
        <v>23</v>
      </c>
      <c r="M77" s="1" t="s">
        <v>27</v>
      </c>
      <c r="N77" s="1" t="s">
        <v>46</v>
      </c>
      <c r="O77">
        <v>7</v>
      </c>
      <c r="P77">
        <v>0</v>
      </c>
      <c r="Q77" s="1" t="s">
        <v>32</v>
      </c>
      <c r="R77">
        <v>2</v>
      </c>
      <c r="S77" s="1" t="s">
        <v>27</v>
      </c>
      <c r="T77">
        <v>39460000</v>
      </c>
      <c r="U77" t="s">
        <v>182</v>
      </c>
      <c r="V77" s="1" t="s">
        <v>179</v>
      </c>
      <c r="W77" s="1" t="s">
        <v>180</v>
      </c>
      <c r="X77" s="1" t="str">
        <f>VLOOKUP(V77,Broker_Directory!A:C,3,FALSE)</f>
        <v>Tier B</v>
      </c>
      <c r="Y77" s="1">
        <f>HLOOKUP(X77, Commission_Rates!A$1:C$2, 2, FALSE)</f>
        <v>1.4999999999999999E-2</v>
      </c>
      <c r="Z77" s="1">
        <f t="shared" si="3"/>
        <v>0</v>
      </c>
      <c r="AA77" s="1">
        <f t="shared" si="4"/>
        <v>0</v>
      </c>
      <c r="AB77" s="1">
        <f t="shared" si="5"/>
        <v>0</v>
      </c>
    </row>
    <row r="78" spans="1:28" x14ac:dyDescent="0.3">
      <c r="A78" s="1" t="s">
        <v>20</v>
      </c>
      <c r="B78" s="1" t="s">
        <v>21</v>
      </c>
      <c r="C78">
        <v>5</v>
      </c>
      <c r="D78">
        <v>4</v>
      </c>
      <c r="E78">
        <v>4090</v>
      </c>
      <c r="F78">
        <v>8894</v>
      </c>
      <c r="G78">
        <v>3</v>
      </c>
      <c r="H78">
        <v>1955</v>
      </c>
      <c r="I78">
        <v>2011</v>
      </c>
      <c r="J78" s="1" t="s">
        <v>52</v>
      </c>
      <c r="K78">
        <v>2</v>
      </c>
      <c r="L78" s="1" t="s">
        <v>41</v>
      </c>
      <c r="M78" s="1" t="s">
        <v>24</v>
      </c>
      <c r="N78" s="1" t="s">
        <v>25</v>
      </c>
      <c r="O78">
        <v>7</v>
      </c>
      <c r="P78">
        <v>0</v>
      </c>
      <c r="Q78" s="1" t="s">
        <v>114</v>
      </c>
      <c r="R78">
        <v>0</v>
      </c>
      <c r="S78" s="1" t="s">
        <v>24</v>
      </c>
      <c r="T78">
        <v>49660000</v>
      </c>
      <c r="U78" t="s">
        <v>182</v>
      </c>
      <c r="V78" s="1" t="s">
        <v>168</v>
      </c>
      <c r="W78" s="1" t="s">
        <v>169</v>
      </c>
      <c r="X78" s="1" t="str">
        <f>VLOOKUP(V78,Broker_Directory!A:C,3,FALSE)</f>
        <v>Tier A</v>
      </c>
      <c r="Y78" s="1">
        <f>HLOOKUP(X78, Commission_Rates!A$1:C$2, 2, FALSE)</f>
        <v>0.02</v>
      </c>
      <c r="Z78" s="1">
        <f t="shared" si="3"/>
        <v>0</v>
      </c>
      <c r="AA78" s="1">
        <f t="shared" si="4"/>
        <v>0</v>
      </c>
      <c r="AB78" s="1">
        <f t="shared" si="5"/>
        <v>0</v>
      </c>
    </row>
    <row r="79" spans="1:28" x14ac:dyDescent="0.3">
      <c r="A79" s="1" t="s">
        <v>20</v>
      </c>
      <c r="B79" s="1" t="s">
        <v>40</v>
      </c>
      <c r="C79">
        <v>4</v>
      </c>
      <c r="D79">
        <v>4</v>
      </c>
      <c r="E79">
        <v>4593</v>
      </c>
      <c r="F79">
        <v>8925</v>
      </c>
      <c r="G79">
        <v>3</v>
      </c>
      <c r="H79">
        <v>1970</v>
      </c>
      <c r="I79">
        <v>1992</v>
      </c>
      <c r="J79" s="1" t="s">
        <v>30</v>
      </c>
      <c r="K79">
        <v>2</v>
      </c>
      <c r="L79" s="1" t="s">
        <v>41</v>
      </c>
      <c r="M79" s="1" t="s">
        <v>27</v>
      </c>
      <c r="N79" s="1" t="s">
        <v>46</v>
      </c>
      <c r="O79">
        <v>10</v>
      </c>
      <c r="P79">
        <v>4</v>
      </c>
      <c r="Q79" s="1" t="s">
        <v>115</v>
      </c>
      <c r="R79">
        <v>2</v>
      </c>
      <c r="S79" s="1" t="s">
        <v>24</v>
      </c>
      <c r="T79">
        <v>55576000</v>
      </c>
      <c r="U79" t="s">
        <v>184</v>
      </c>
      <c r="V79" s="1" t="s">
        <v>174</v>
      </c>
      <c r="W79" s="1" t="s">
        <v>175</v>
      </c>
      <c r="X79" s="1" t="str">
        <f>VLOOKUP(V79,Broker_Directory!A:C,3,FALSE)</f>
        <v>Tier A</v>
      </c>
      <c r="Y79" s="1">
        <f>HLOOKUP(X79, Commission_Rates!A$1:C$2, 2, FALSE)</f>
        <v>0.02</v>
      </c>
      <c r="Z79" s="1">
        <f t="shared" si="3"/>
        <v>1111520</v>
      </c>
      <c r="AA79" s="1">
        <f t="shared" si="4"/>
        <v>1667280</v>
      </c>
      <c r="AB79" s="1">
        <f t="shared" si="5"/>
        <v>555760</v>
      </c>
    </row>
    <row r="80" spans="1:28" x14ac:dyDescent="0.3">
      <c r="A80" s="1" t="s">
        <v>53</v>
      </c>
      <c r="B80" s="1" t="s">
        <v>105</v>
      </c>
      <c r="C80">
        <v>5</v>
      </c>
      <c r="D80">
        <v>4</v>
      </c>
      <c r="E80">
        <v>2627</v>
      </c>
      <c r="F80">
        <v>4741</v>
      </c>
      <c r="G80">
        <v>3</v>
      </c>
      <c r="H80">
        <v>1969</v>
      </c>
      <c r="I80">
        <v>1989</v>
      </c>
      <c r="J80" s="1" t="s">
        <v>58</v>
      </c>
      <c r="K80">
        <v>1</v>
      </c>
      <c r="L80" s="1" t="s">
        <v>64</v>
      </c>
      <c r="M80" s="1" t="s">
        <v>27</v>
      </c>
      <c r="N80" s="1" t="s">
        <v>35</v>
      </c>
      <c r="O80">
        <v>10</v>
      </c>
      <c r="P80">
        <v>3</v>
      </c>
      <c r="Q80" s="1" t="s">
        <v>116</v>
      </c>
      <c r="R80">
        <v>0</v>
      </c>
      <c r="S80" s="1" t="s">
        <v>27</v>
      </c>
      <c r="T80">
        <v>24073000</v>
      </c>
      <c r="U80" t="s">
        <v>184</v>
      </c>
      <c r="V80" s="1" t="s">
        <v>171</v>
      </c>
      <c r="W80" s="1" t="s">
        <v>172</v>
      </c>
      <c r="X80" s="1" t="str">
        <f>VLOOKUP(V80,Broker_Directory!A:C,3,FALSE)</f>
        <v>Tier B</v>
      </c>
      <c r="Y80" s="1">
        <f>HLOOKUP(X80, Commission_Rates!A$1:C$2, 2, FALSE)</f>
        <v>1.4999999999999999E-2</v>
      </c>
      <c r="Z80" s="1">
        <f t="shared" si="3"/>
        <v>361095</v>
      </c>
      <c r="AA80" s="1">
        <f t="shared" si="4"/>
        <v>722190</v>
      </c>
      <c r="AB80" s="1">
        <f t="shared" si="5"/>
        <v>361095</v>
      </c>
    </row>
    <row r="81" spans="1:28" x14ac:dyDescent="0.3">
      <c r="A81" s="1" t="s">
        <v>33</v>
      </c>
      <c r="B81" s="1" t="s">
        <v>98</v>
      </c>
      <c r="C81">
        <v>3</v>
      </c>
      <c r="D81">
        <v>2</v>
      </c>
      <c r="E81">
        <v>4612</v>
      </c>
      <c r="F81">
        <v>5427</v>
      </c>
      <c r="G81">
        <v>3</v>
      </c>
      <c r="H81">
        <v>2004</v>
      </c>
      <c r="I81">
        <v>2019</v>
      </c>
      <c r="J81" s="1" t="s">
        <v>30</v>
      </c>
      <c r="K81">
        <v>0</v>
      </c>
      <c r="L81" s="1" t="s">
        <v>64</v>
      </c>
      <c r="M81" s="1" t="s">
        <v>27</v>
      </c>
      <c r="N81" s="1" t="s">
        <v>25</v>
      </c>
      <c r="O81">
        <v>3</v>
      </c>
      <c r="P81">
        <v>2</v>
      </c>
      <c r="Q81" s="1" t="s">
        <v>99</v>
      </c>
      <c r="R81">
        <v>1</v>
      </c>
      <c r="S81" s="1" t="s">
        <v>24</v>
      </c>
      <c r="T81">
        <v>39612000</v>
      </c>
      <c r="U81" t="s">
        <v>184</v>
      </c>
      <c r="V81" s="1" t="s">
        <v>176</v>
      </c>
      <c r="W81" s="1" t="s">
        <v>177</v>
      </c>
      <c r="X81" s="1" t="str">
        <f>VLOOKUP(V81,Broker_Directory!A:C,3,FALSE)</f>
        <v>Tier C</v>
      </c>
      <c r="Y81" s="1">
        <f>HLOOKUP(X81, Commission_Rates!A$1:C$2, 2, FALSE)</f>
        <v>0.01</v>
      </c>
      <c r="Z81" s="1">
        <f t="shared" si="3"/>
        <v>396120</v>
      </c>
      <c r="AA81" s="1">
        <f t="shared" si="4"/>
        <v>1188360</v>
      </c>
      <c r="AB81" s="1">
        <f t="shared" si="5"/>
        <v>792240</v>
      </c>
    </row>
    <row r="82" spans="1:28" x14ac:dyDescent="0.3">
      <c r="A82" s="1" t="s">
        <v>28</v>
      </c>
      <c r="B82" s="1" t="s">
        <v>110</v>
      </c>
      <c r="C82">
        <v>1</v>
      </c>
      <c r="D82">
        <v>3</v>
      </c>
      <c r="E82">
        <v>1128</v>
      </c>
      <c r="F82">
        <v>9495</v>
      </c>
      <c r="G82">
        <v>3</v>
      </c>
      <c r="H82">
        <v>2017</v>
      </c>
      <c r="I82">
        <v>0</v>
      </c>
      <c r="J82" s="1" t="s">
        <v>30</v>
      </c>
      <c r="K82">
        <v>1</v>
      </c>
      <c r="L82" s="1" t="s">
        <v>41</v>
      </c>
      <c r="M82" s="1" t="s">
        <v>24</v>
      </c>
      <c r="N82" s="1" t="s">
        <v>25</v>
      </c>
      <c r="O82">
        <v>2</v>
      </c>
      <c r="P82">
        <v>5</v>
      </c>
      <c r="Q82" s="1" t="s">
        <v>117</v>
      </c>
      <c r="R82">
        <v>3</v>
      </c>
      <c r="S82" s="1" t="s">
        <v>24</v>
      </c>
      <c r="T82">
        <v>11675000</v>
      </c>
      <c r="U82" t="s">
        <v>184</v>
      </c>
      <c r="V82" s="1" t="s">
        <v>179</v>
      </c>
      <c r="W82" s="1" t="s">
        <v>180</v>
      </c>
      <c r="X82" s="1" t="str">
        <f>VLOOKUP(V82,Broker_Directory!A:C,3,FALSE)</f>
        <v>Tier B</v>
      </c>
      <c r="Y82" s="1">
        <f>HLOOKUP(X82, Commission_Rates!A$1:C$2, 2, FALSE)</f>
        <v>1.4999999999999999E-2</v>
      </c>
      <c r="Z82" s="1">
        <f t="shared" si="3"/>
        <v>175125</v>
      </c>
      <c r="AA82" s="1">
        <f t="shared" si="4"/>
        <v>350250</v>
      </c>
      <c r="AB82" s="1">
        <f t="shared" si="5"/>
        <v>175125</v>
      </c>
    </row>
    <row r="83" spans="1:28" x14ac:dyDescent="0.3">
      <c r="A83" s="1" t="s">
        <v>37</v>
      </c>
      <c r="B83" s="1" t="s">
        <v>38</v>
      </c>
      <c r="C83">
        <v>2</v>
      </c>
      <c r="D83">
        <v>4</v>
      </c>
      <c r="E83">
        <v>2634</v>
      </c>
      <c r="F83">
        <v>8847</v>
      </c>
      <c r="G83">
        <v>3</v>
      </c>
      <c r="H83">
        <v>2007</v>
      </c>
      <c r="I83">
        <v>2013</v>
      </c>
      <c r="J83" s="1" t="s">
        <v>52</v>
      </c>
      <c r="K83">
        <v>2</v>
      </c>
      <c r="L83" s="1" t="s">
        <v>41</v>
      </c>
      <c r="M83" s="1" t="s">
        <v>24</v>
      </c>
      <c r="N83" s="1" t="s">
        <v>46</v>
      </c>
      <c r="O83">
        <v>10</v>
      </c>
      <c r="P83">
        <v>4</v>
      </c>
      <c r="Q83" s="1" t="s">
        <v>78</v>
      </c>
      <c r="R83">
        <v>3</v>
      </c>
      <c r="S83" s="1" t="s">
        <v>27</v>
      </c>
      <c r="T83">
        <v>21422000</v>
      </c>
      <c r="U83" t="s">
        <v>184</v>
      </c>
      <c r="V83" s="1" t="s">
        <v>176</v>
      </c>
      <c r="W83" s="1" t="s">
        <v>177</v>
      </c>
      <c r="X83" s="1" t="str">
        <f>VLOOKUP(V83,Broker_Directory!A:C,3,FALSE)</f>
        <v>Tier C</v>
      </c>
      <c r="Y83" s="1">
        <f>HLOOKUP(X83, Commission_Rates!A$1:C$2, 2, FALSE)</f>
        <v>0.01</v>
      </c>
      <c r="Z83" s="1">
        <f t="shared" si="3"/>
        <v>214220</v>
      </c>
      <c r="AA83" s="1">
        <f t="shared" si="4"/>
        <v>642660</v>
      </c>
      <c r="AB83" s="1">
        <f t="shared" si="5"/>
        <v>428440</v>
      </c>
    </row>
    <row r="84" spans="1:28" x14ac:dyDescent="0.3">
      <c r="A84" s="1" t="s">
        <v>37</v>
      </c>
      <c r="B84" s="1" t="s">
        <v>45</v>
      </c>
      <c r="C84">
        <v>5</v>
      </c>
      <c r="D84">
        <v>4</v>
      </c>
      <c r="E84">
        <v>1627</v>
      </c>
      <c r="F84">
        <v>4948</v>
      </c>
      <c r="G84">
        <v>3</v>
      </c>
      <c r="H84">
        <v>1967</v>
      </c>
      <c r="I84">
        <v>2021</v>
      </c>
      <c r="J84" s="1" t="s">
        <v>30</v>
      </c>
      <c r="K84">
        <v>0</v>
      </c>
      <c r="L84" s="1" t="s">
        <v>41</v>
      </c>
      <c r="M84" s="1" t="s">
        <v>27</v>
      </c>
      <c r="N84" s="1" t="s">
        <v>35</v>
      </c>
      <c r="O84">
        <v>1</v>
      </c>
      <c r="P84">
        <v>5</v>
      </c>
      <c r="Q84" s="1" t="s">
        <v>47</v>
      </c>
      <c r="R84">
        <v>2</v>
      </c>
      <c r="S84" s="1" t="s">
        <v>24</v>
      </c>
      <c r="T84">
        <v>13526000</v>
      </c>
      <c r="U84" t="s">
        <v>183</v>
      </c>
      <c r="V84" s="1" t="s">
        <v>171</v>
      </c>
      <c r="W84" s="1" t="s">
        <v>172</v>
      </c>
      <c r="X84" s="1" t="str">
        <f>VLOOKUP(V84,Broker_Directory!A:C,3,FALSE)</f>
        <v>Tier B</v>
      </c>
      <c r="Y84" s="1">
        <f>HLOOKUP(X84, Commission_Rates!A$1:C$2, 2, FALSE)</f>
        <v>1.4999999999999999E-2</v>
      </c>
      <c r="Z84" s="1">
        <f t="shared" si="3"/>
        <v>0</v>
      </c>
      <c r="AA84" s="1">
        <f t="shared" si="4"/>
        <v>0</v>
      </c>
      <c r="AB84" s="1">
        <f t="shared" si="5"/>
        <v>0</v>
      </c>
    </row>
    <row r="85" spans="1:28" x14ac:dyDescent="0.3">
      <c r="A85" s="1" t="s">
        <v>28</v>
      </c>
      <c r="B85" s="1" t="s">
        <v>79</v>
      </c>
      <c r="C85">
        <v>4</v>
      </c>
      <c r="D85">
        <v>2</v>
      </c>
      <c r="E85">
        <v>3883</v>
      </c>
      <c r="F85">
        <v>4684</v>
      </c>
      <c r="G85">
        <v>1</v>
      </c>
      <c r="H85">
        <v>2007</v>
      </c>
      <c r="I85">
        <v>2017</v>
      </c>
      <c r="J85" s="1" t="s">
        <v>58</v>
      </c>
      <c r="K85">
        <v>3</v>
      </c>
      <c r="L85" s="1" t="s">
        <v>23</v>
      </c>
      <c r="M85" s="1" t="s">
        <v>27</v>
      </c>
      <c r="N85" s="1" t="s">
        <v>35</v>
      </c>
      <c r="O85">
        <v>5</v>
      </c>
      <c r="P85">
        <v>1</v>
      </c>
      <c r="Q85" s="1" t="s">
        <v>109</v>
      </c>
      <c r="R85">
        <v>0</v>
      </c>
      <c r="S85" s="1" t="s">
        <v>27</v>
      </c>
      <c r="T85">
        <v>39110000</v>
      </c>
      <c r="U85" t="s">
        <v>184</v>
      </c>
      <c r="V85" s="1" t="s">
        <v>176</v>
      </c>
      <c r="W85" s="1" t="s">
        <v>177</v>
      </c>
      <c r="X85" s="1" t="str">
        <f>VLOOKUP(V85,Broker_Directory!A:C,3,FALSE)</f>
        <v>Tier C</v>
      </c>
      <c r="Y85" s="1">
        <f>HLOOKUP(X85, Commission_Rates!A$1:C$2, 2, FALSE)</f>
        <v>0.01</v>
      </c>
      <c r="Z85" s="1">
        <f t="shared" si="3"/>
        <v>391100</v>
      </c>
      <c r="AA85" s="1">
        <f t="shared" si="4"/>
        <v>1173300</v>
      </c>
      <c r="AB85" s="1">
        <f t="shared" si="5"/>
        <v>782200</v>
      </c>
    </row>
    <row r="86" spans="1:28" x14ac:dyDescent="0.3">
      <c r="A86" s="1" t="s">
        <v>28</v>
      </c>
      <c r="B86" s="1" t="s">
        <v>60</v>
      </c>
      <c r="C86">
        <v>3</v>
      </c>
      <c r="D86">
        <v>1</v>
      </c>
      <c r="E86">
        <v>3046</v>
      </c>
      <c r="F86">
        <v>9578</v>
      </c>
      <c r="G86">
        <v>1</v>
      </c>
      <c r="H86">
        <v>1967</v>
      </c>
      <c r="I86">
        <v>1968</v>
      </c>
      <c r="J86" s="1" t="s">
        <v>30</v>
      </c>
      <c r="K86">
        <v>3</v>
      </c>
      <c r="L86" s="1" t="s">
        <v>31</v>
      </c>
      <c r="M86" s="1" t="s">
        <v>27</v>
      </c>
      <c r="N86" s="1" t="s">
        <v>46</v>
      </c>
      <c r="O86">
        <v>9</v>
      </c>
      <c r="P86">
        <v>0</v>
      </c>
      <c r="Q86" s="1" t="s">
        <v>118</v>
      </c>
      <c r="R86">
        <v>0</v>
      </c>
      <c r="S86" s="1" t="s">
        <v>27</v>
      </c>
      <c r="T86">
        <v>30660000</v>
      </c>
      <c r="U86" t="s">
        <v>182</v>
      </c>
      <c r="V86" s="1" t="s">
        <v>171</v>
      </c>
      <c r="W86" s="1" t="s">
        <v>172</v>
      </c>
      <c r="X86" s="1" t="str">
        <f>VLOOKUP(V86,Broker_Directory!A:C,3,FALSE)</f>
        <v>Tier B</v>
      </c>
      <c r="Y86" s="1">
        <f>HLOOKUP(X86, Commission_Rates!A$1:C$2, 2, FALSE)</f>
        <v>1.4999999999999999E-2</v>
      </c>
      <c r="Z86" s="1">
        <f t="shared" si="3"/>
        <v>0</v>
      </c>
      <c r="AA86" s="1">
        <f t="shared" si="4"/>
        <v>0</v>
      </c>
      <c r="AB86" s="1">
        <f t="shared" si="5"/>
        <v>0</v>
      </c>
    </row>
    <row r="87" spans="1:28" x14ac:dyDescent="0.3">
      <c r="A87" s="1" t="s">
        <v>28</v>
      </c>
      <c r="B87" s="1" t="s">
        <v>110</v>
      </c>
      <c r="C87">
        <v>5</v>
      </c>
      <c r="D87">
        <v>4</v>
      </c>
      <c r="E87">
        <v>1210</v>
      </c>
      <c r="F87">
        <v>5980</v>
      </c>
      <c r="G87">
        <v>1</v>
      </c>
      <c r="H87">
        <v>1988</v>
      </c>
      <c r="I87">
        <v>1994</v>
      </c>
      <c r="J87" s="1" t="s">
        <v>58</v>
      </c>
      <c r="K87">
        <v>1</v>
      </c>
      <c r="L87" s="1" t="s">
        <v>41</v>
      </c>
      <c r="M87" s="1" t="s">
        <v>27</v>
      </c>
      <c r="N87" s="1" t="s">
        <v>25</v>
      </c>
      <c r="O87">
        <v>1</v>
      </c>
      <c r="P87">
        <v>3</v>
      </c>
      <c r="Q87" s="1" t="s">
        <v>119</v>
      </c>
      <c r="R87">
        <v>1</v>
      </c>
      <c r="S87" s="1" t="s">
        <v>24</v>
      </c>
      <c r="T87">
        <v>12630000</v>
      </c>
      <c r="U87" t="s">
        <v>184</v>
      </c>
      <c r="V87" s="1" t="s">
        <v>174</v>
      </c>
      <c r="W87" s="1" t="s">
        <v>175</v>
      </c>
      <c r="X87" s="1" t="str">
        <f>VLOOKUP(V87,Broker_Directory!A:C,3,FALSE)</f>
        <v>Tier A</v>
      </c>
      <c r="Y87" s="1">
        <f>HLOOKUP(X87, Commission_Rates!A$1:C$2, 2, FALSE)</f>
        <v>0.02</v>
      </c>
      <c r="Z87" s="1">
        <f t="shared" si="3"/>
        <v>252600</v>
      </c>
      <c r="AA87" s="1">
        <f t="shared" si="4"/>
        <v>378900</v>
      </c>
      <c r="AB87" s="1">
        <f t="shared" si="5"/>
        <v>126300</v>
      </c>
    </row>
    <row r="88" spans="1:28" x14ac:dyDescent="0.3">
      <c r="A88" s="1" t="s">
        <v>53</v>
      </c>
      <c r="B88" s="1" t="s">
        <v>54</v>
      </c>
      <c r="C88">
        <v>1</v>
      </c>
      <c r="D88">
        <v>3</v>
      </c>
      <c r="E88">
        <v>2270</v>
      </c>
      <c r="F88">
        <v>6994</v>
      </c>
      <c r="G88">
        <v>2</v>
      </c>
      <c r="H88">
        <v>1973</v>
      </c>
      <c r="I88">
        <v>2014</v>
      </c>
      <c r="J88" s="1" t="s">
        <v>58</v>
      </c>
      <c r="K88">
        <v>2</v>
      </c>
      <c r="L88" s="1" t="s">
        <v>23</v>
      </c>
      <c r="M88" s="1" t="s">
        <v>24</v>
      </c>
      <c r="N88" s="1" t="s">
        <v>46</v>
      </c>
      <c r="O88">
        <v>7</v>
      </c>
      <c r="P88">
        <v>0</v>
      </c>
      <c r="Q88" s="1" t="s">
        <v>55</v>
      </c>
      <c r="R88">
        <v>2</v>
      </c>
      <c r="S88" s="1" t="s">
        <v>27</v>
      </c>
      <c r="T88">
        <v>20665000</v>
      </c>
      <c r="U88" t="s">
        <v>182</v>
      </c>
      <c r="V88" s="1" t="s">
        <v>168</v>
      </c>
      <c r="W88" s="1" t="s">
        <v>169</v>
      </c>
      <c r="X88" s="1" t="str">
        <f>VLOOKUP(V88,Broker_Directory!A:C,3,FALSE)</f>
        <v>Tier A</v>
      </c>
      <c r="Y88" s="1">
        <f>HLOOKUP(X88, Commission_Rates!A$1:C$2, 2, FALSE)</f>
        <v>0.02</v>
      </c>
      <c r="Z88" s="1">
        <f t="shared" si="3"/>
        <v>0</v>
      </c>
      <c r="AA88" s="1">
        <f t="shared" si="4"/>
        <v>0</v>
      </c>
      <c r="AB88" s="1">
        <f t="shared" si="5"/>
        <v>0</v>
      </c>
    </row>
    <row r="89" spans="1:28" x14ac:dyDescent="0.3">
      <c r="A89" s="1" t="s">
        <v>20</v>
      </c>
      <c r="B89" s="1" t="s">
        <v>69</v>
      </c>
      <c r="C89">
        <v>1</v>
      </c>
      <c r="D89">
        <v>3</v>
      </c>
      <c r="E89">
        <v>2275</v>
      </c>
      <c r="F89">
        <v>8329</v>
      </c>
      <c r="G89">
        <v>3</v>
      </c>
      <c r="H89">
        <v>1963</v>
      </c>
      <c r="I89">
        <v>2004</v>
      </c>
      <c r="J89" s="1" t="s">
        <v>52</v>
      </c>
      <c r="K89">
        <v>0</v>
      </c>
      <c r="L89" s="1" t="s">
        <v>64</v>
      </c>
      <c r="M89" s="1" t="s">
        <v>27</v>
      </c>
      <c r="N89" s="1" t="s">
        <v>35</v>
      </c>
      <c r="O89">
        <v>2</v>
      </c>
      <c r="P89">
        <v>5</v>
      </c>
      <c r="Q89" s="1" t="s">
        <v>120</v>
      </c>
      <c r="R89">
        <v>3</v>
      </c>
      <c r="S89" s="1" t="s">
        <v>24</v>
      </c>
      <c r="T89">
        <v>27595000</v>
      </c>
      <c r="U89" t="s">
        <v>182</v>
      </c>
      <c r="V89" s="1" t="s">
        <v>171</v>
      </c>
      <c r="W89" s="1" t="s">
        <v>172</v>
      </c>
      <c r="X89" s="1" t="str">
        <f>VLOOKUP(V89,Broker_Directory!A:C,3,FALSE)</f>
        <v>Tier B</v>
      </c>
      <c r="Y89" s="1">
        <f>HLOOKUP(X89, Commission_Rates!A$1:C$2, 2, FALSE)</f>
        <v>1.4999999999999999E-2</v>
      </c>
      <c r="Z89" s="1">
        <f t="shared" si="3"/>
        <v>0</v>
      </c>
      <c r="AA89" s="1">
        <f t="shared" si="4"/>
        <v>0</v>
      </c>
      <c r="AB89" s="1">
        <f t="shared" si="5"/>
        <v>0</v>
      </c>
    </row>
    <row r="90" spans="1:28" x14ac:dyDescent="0.3">
      <c r="A90" s="1" t="s">
        <v>28</v>
      </c>
      <c r="B90" s="1" t="s">
        <v>60</v>
      </c>
      <c r="C90">
        <v>4</v>
      </c>
      <c r="D90">
        <v>1</v>
      </c>
      <c r="E90">
        <v>2703</v>
      </c>
      <c r="F90">
        <v>4404</v>
      </c>
      <c r="G90">
        <v>1</v>
      </c>
      <c r="H90">
        <v>1975</v>
      </c>
      <c r="I90">
        <v>1976</v>
      </c>
      <c r="J90" s="1" t="s">
        <v>30</v>
      </c>
      <c r="K90">
        <v>2</v>
      </c>
      <c r="L90" s="1" t="s">
        <v>41</v>
      </c>
      <c r="M90" s="1" t="s">
        <v>27</v>
      </c>
      <c r="N90" s="1" t="s">
        <v>46</v>
      </c>
      <c r="O90">
        <v>0</v>
      </c>
      <c r="P90">
        <v>5</v>
      </c>
      <c r="Q90" s="1" t="s">
        <v>121</v>
      </c>
      <c r="R90">
        <v>2</v>
      </c>
      <c r="S90" s="1" t="s">
        <v>27</v>
      </c>
      <c r="T90">
        <v>27310000</v>
      </c>
      <c r="U90" t="s">
        <v>182</v>
      </c>
      <c r="V90" s="1" t="s">
        <v>174</v>
      </c>
      <c r="W90" s="1" t="s">
        <v>175</v>
      </c>
      <c r="X90" s="1" t="str">
        <f>VLOOKUP(V90,Broker_Directory!A:C,3,FALSE)</f>
        <v>Tier A</v>
      </c>
      <c r="Y90" s="1">
        <f>HLOOKUP(X90, Commission_Rates!A$1:C$2, 2, FALSE)</f>
        <v>0.02</v>
      </c>
      <c r="Z90" s="1">
        <f t="shared" si="3"/>
        <v>0</v>
      </c>
      <c r="AA90" s="1">
        <f t="shared" si="4"/>
        <v>0</v>
      </c>
      <c r="AB90" s="1">
        <f t="shared" si="5"/>
        <v>0</v>
      </c>
    </row>
    <row r="91" spans="1:28" x14ac:dyDescent="0.3">
      <c r="A91" s="1" t="s">
        <v>20</v>
      </c>
      <c r="B91" s="1" t="s">
        <v>69</v>
      </c>
      <c r="C91">
        <v>3</v>
      </c>
      <c r="D91">
        <v>1</v>
      </c>
      <c r="E91">
        <v>3314</v>
      </c>
      <c r="F91">
        <v>6943</v>
      </c>
      <c r="G91">
        <v>2</v>
      </c>
      <c r="H91">
        <v>2006</v>
      </c>
      <c r="I91">
        <v>2017</v>
      </c>
      <c r="J91" s="1" t="s">
        <v>30</v>
      </c>
      <c r="K91">
        <v>1</v>
      </c>
      <c r="L91" s="1" t="s">
        <v>41</v>
      </c>
      <c r="M91" s="1" t="s">
        <v>27</v>
      </c>
      <c r="N91" s="1" t="s">
        <v>46</v>
      </c>
      <c r="O91">
        <v>8</v>
      </c>
      <c r="P91">
        <v>2</v>
      </c>
      <c r="Q91" s="1" t="s">
        <v>74</v>
      </c>
      <c r="R91">
        <v>3</v>
      </c>
      <c r="S91" s="1" t="s">
        <v>24</v>
      </c>
      <c r="T91">
        <v>40083000</v>
      </c>
      <c r="U91" t="s">
        <v>183</v>
      </c>
      <c r="V91" s="1" t="s">
        <v>176</v>
      </c>
      <c r="W91" s="1" t="s">
        <v>177</v>
      </c>
      <c r="X91" s="1" t="str">
        <f>VLOOKUP(V91,Broker_Directory!A:C,3,FALSE)</f>
        <v>Tier C</v>
      </c>
      <c r="Y91" s="1">
        <f>HLOOKUP(X91, Commission_Rates!A$1:C$2, 2, FALSE)</f>
        <v>0.01</v>
      </c>
      <c r="Z91" s="1">
        <f t="shared" si="3"/>
        <v>0</v>
      </c>
      <c r="AA91" s="1">
        <f t="shared" si="4"/>
        <v>0</v>
      </c>
      <c r="AB91" s="1">
        <f t="shared" si="5"/>
        <v>0</v>
      </c>
    </row>
    <row r="92" spans="1:28" x14ac:dyDescent="0.3">
      <c r="A92" s="1" t="s">
        <v>37</v>
      </c>
      <c r="B92" s="1" t="s">
        <v>45</v>
      </c>
      <c r="C92">
        <v>2</v>
      </c>
      <c r="D92">
        <v>3</v>
      </c>
      <c r="E92">
        <v>2931</v>
      </c>
      <c r="F92">
        <v>3821</v>
      </c>
      <c r="G92">
        <v>1</v>
      </c>
      <c r="H92">
        <v>1991</v>
      </c>
      <c r="I92">
        <v>2008</v>
      </c>
      <c r="J92" s="1" t="s">
        <v>30</v>
      </c>
      <c r="K92">
        <v>3</v>
      </c>
      <c r="L92" s="1" t="s">
        <v>41</v>
      </c>
      <c r="M92" s="1" t="s">
        <v>24</v>
      </c>
      <c r="N92" s="1" t="s">
        <v>35</v>
      </c>
      <c r="O92">
        <v>7</v>
      </c>
      <c r="P92">
        <v>2</v>
      </c>
      <c r="Q92" s="1" t="s">
        <v>122</v>
      </c>
      <c r="R92">
        <v>0</v>
      </c>
      <c r="S92" s="1" t="s">
        <v>27</v>
      </c>
      <c r="T92">
        <v>23683000</v>
      </c>
      <c r="U92" t="s">
        <v>183</v>
      </c>
      <c r="V92" s="1" t="s">
        <v>176</v>
      </c>
      <c r="W92" s="1" t="s">
        <v>177</v>
      </c>
      <c r="X92" s="1" t="str">
        <f>VLOOKUP(V92,Broker_Directory!A:C,3,FALSE)</f>
        <v>Tier C</v>
      </c>
      <c r="Y92" s="1">
        <f>HLOOKUP(X92, Commission_Rates!A$1:C$2, 2, FALSE)</f>
        <v>0.01</v>
      </c>
      <c r="Z92" s="1">
        <f t="shared" si="3"/>
        <v>0</v>
      </c>
      <c r="AA92" s="1">
        <f t="shared" si="4"/>
        <v>0</v>
      </c>
      <c r="AB92" s="1">
        <f t="shared" si="5"/>
        <v>0</v>
      </c>
    </row>
    <row r="93" spans="1:28" x14ac:dyDescent="0.3">
      <c r="A93" s="1" t="s">
        <v>33</v>
      </c>
      <c r="B93" s="1" t="s">
        <v>98</v>
      </c>
      <c r="C93">
        <v>3</v>
      </c>
      <c r="D93">
        <v>1</v>
      </c>
      <c r="E93">
        <v>914</v>
      </c>
      <c r="F93">
        <v>7619</v>
      </c>
      <c r="G93">
        <v>2</v>
      </c>
      <c r="H93">
        <v>2015</v>
      </c>
      <c r="I93">
        <v>2025</v>
      </c>
      <c r="J93" s="1" t="s">
        <v>52</v>
      </c>
      <c r="K93">
        <v>0</v>
      </c>
      <c r="L93" s="1" t="s">
        <v>31</v>
      </c>
      <c r="M93" s="1" t="s">
        <v>27</v>
      </c>
      <c r="N93" s="1" t="s">
        <v>25</v>
      </c>
      <c r="O93">
        <v>2</v>
      </c>
      <c r="P93">
        <v>0</v>
      </c>
      <c r="Q93" s="1" t="s">
        <v>123</v>
      </c>
      <c r="R93">
        <v>2</v>
      </c>
      <c r="S93" s="1" t="s">
        <v>27</v>
      </c>
      <c r="T93">
        <v>8094000</v>
      </c>
      <c r="U93" t="s">
        <v>183</v>
      </c>
      <c r="V93" s="1" t="s">
        <v>168</v>
      </c>
      <c r="W93" s="1" t="s">
        <v>169</v>
      </c>
      <c r="X93" s="1" t="str">
        <f>VLOOKUP(V93,Broker_Directory!A:C,3,FALSE)</f>
        <v>Tier A</v>
      </c>
      <c r="Y93" s="1">
        <f>HLOOKUP(X93, Commission_Rates!A$1:C$2, 2, FALSE)</f>
        <v>0.02</v>
      </c>
      <c r="Z93" s="1">
        <f t="shared" si="3"/>
        <v>0</v>
      </c>
      <c r="AA93" s="1">
        <f t="shared" si="4"/>
        <v>0</v>
      </c>
      <c r="AB93" s="1">
        <f t="shared" si="5"/>
        <v>0</v>
      </c>
    </row>
    <row r="94" spans="1:28" x14ac:dyDescent="0.3">
      <c r="A94" s="1" t="s">
        <v>37</v>
      </c>
      <c r="B94" s="1" t="s">
        <v>45</v>
      </c>
      <c r="C94">
        <v>1</v>
      </c>
      <c r="D94">
        <v>2</v>
      </c>
      <c r="E94">
        <v>3985</v>
      </c>
      <c r="F94">
        <v>7073</v>
      </c>
      <c r="G94">
        <v>2</v>
      </c>
      <c r="H94">
        <v>2006</v>
      </c>
      <c r="I94">
        <v>2007</v>
      </c>
      <c r="J94" s="1" t="s">
        <v>52</v>
      </c>
      <c r="K94">
        <v>2</v>
      </c>
      <c r="L94" s="1" t="s">
        <v>41</v>
      </c>
      <c r="M94" s="1" t="s">
        <v>27</v>
      </c>
      <c r="N94" s="1" t="s">
        <v>35</v>
      </c>
      <c r="O94">
        <v>4</v>
      </c>
      <c r="P94">
        <v>1</v>
      </c>
      <c r="Q94" s="1" t="s">
        <v>47</v>
      </c>
      <c r="R94">
        <v>0</v>
      </c>
      <c r="S94" s="1" t="s">
        <v>24</v>
      </c>
      <c r="T94">
        <v>32080000</v>
      </c>
      <c r="U94" t="s">
        <v>184</v>
      </c>
      <c r="V94" s="1" t="s">
        <v>168</v>
      </c>
      <c r="W94" s="1" t="s">
        <v>169</v>
      </c>
      <c r="X94" s="1" t="str">
        <f>VLOOKUP(V94,Broker_Directory!A:C,3,FALSE)</f>
        <v>Tier A</v>
      </c>
      <c r="Y94" s="1">
        <f>HLOOKUP(X94, Commission_Rates!A$1:C$2, 2, FALSE)</f>
        <v>0.02</v>
      </c>
      <c r="Z94" s="1">
        <f t="shared" si="3"/>
        <v>641600</v>
      </c>
      <c r="AA94" s="1">
        <f t="shared" si="4"/>
        <v>962400</v>
      </c>
      <c r="AB94" s="1">
        <f t="shared" si="5"/>
        <v>320800</v>
      </c>
    </row>
    <row r="95" spans="1:28" x14ac:dyDescent="0.3">
      <c r="A95" s="1" t="s">
        <v>37</v>
      </c>
      <c r="B95" s="1" t="s">
        <v>45</v>
      </c>
      <c r="C95">
        <v>4</v>
      </c>
      <c r="D95">
        <v>1</v>
      </c>
      <c r="E95">
        <v>2444</v>
      </c>
      <c r="F95">
        <v>8842</v>
      </c>
      <c r="G95">
        <v>2</v>
      </c>
      <c r="H95">
        <v>2007</v>
      </c>
      <c r="I95">
        <v>2012</v>
      </c>
      <c r="J95" s="1" t="s">
        <v>30</v>
      </c>
      <c r="K95">
        <v>3</v>
      </c>
      <c r="L95" s="1" t="s">
        <v>31</v>
      </c>
      <c r="M95" s="1" t="s">
        <v>24</v>
      </c>
      <c r="N95" s="1" t="s">
        <v>25</v>
      </c>
      <c r="O95">
        <v>1</v>
      </c>
      <c r="P95">
        <v>3</v>
      </c>
      <c r="Q95" s="1" t="s">
        <v>124</v>
      </c>
      <c r="R95">
        <v>3</v>
      </c>
      <c r="S95" s="1" t="s">
        <v>24</v>
      </c>
      <c r="T95">
        <v>20017000</v>
      </c>
      <c r="U95" t="s">
        <v>183</v>
      </c>
      <c r="V95" s="1" t="s">
        <v>171</v>
      </c>
      <c r="W95" s="1" t="s">
        <v>172</v>
      </c>
      <c r="X95" s="1" t="str">
        <f>VLOOKUP(V95,Broker_Directory!A:C,3,FALSE)</f>
        <v>Tier B</v>
      </c>
      <c r="Y95" s="1">
        <f>HLOOKUP(X95, Commission_Rates!A$1:C$2, 2, FALSE)</f>
        <v>1.4999999999999999E-2</v>
      </c>
      <c r="Z95" s="1">
        <f t="shared" si="3"/>
        <v>0</v>
      </c>
      <c r="AA95" s="1">
        <f t="shared" si="4"/>
        <v>0</v>
      </c>
      <c r="AB95" s="1">
        <f t="shared" si="5"/>
        <v>0</v>
      </c>
    </row>
    <row r="96" spans="1:28" x14ac:dyDescent="0.3">
      <c r="A96" s="1" t="s">
        <v>53</v>
      </c>
      <c r="B96" s="1" t="s">
        <v>89</v>
      </c>
      <c r="C96">
        <v>1</v>
      </c>
      <c r="D96">
        <v>3</v>
      </c>
      <c r="E96">
        <v>2757</v>
      </c>
      <c r="F96">
        <v>9781</v>
      </c>
      <c r="G96">
        <v>1</v>
      </c>
      <c r="H96">
        <v>1972</v>
      </c>
      <c r="I96">
        <v>2021</v>
      </c>
      <c r="J96" s="1" t="s">
        <v>30</v>
      </c>
      <c r="K96">
        <v>1</v>
      </c>
      <c r="L96" s="1" t="s">
        <v>23</v>
      </c>
      <c r="M96" s="1" t="s">
        <v>24</v>
      </c>
      <c r="N96" s="1" t="s">
        <v>25</v>
      </c>
      <c r="O96">
        <v>3</v>
      </c>
      <c r="P96">
        <v>3</v>
      </c>
      <c r="Q96" s="1" t="s">
        <v>125</v>
      </c>
      <c r="R96">
        <v>2</v>
      </c>
      <c r="S96" s="1" t="s">
        <v>27</v>
      </c>
      <c r="T96">
        <v>25103000</v>
      </c>
      <c r="U96" t="s">
        <v>183</v>
      </c>
      <c r="V96" s="1" t="s">
        <v>176</v>
      </c>
      <c r="W96" s="1" t="s">
        <v>177</v>
      </c>
      <c r="X96" s="1" t="str">
        <f>VLOOKUP(V96,Broker_Directory!A:C,3,FALSE)</f>
        <v>Tier C</v>
      </c>
      <c r="Y96" s="1">
        <f>HLOOKUP(X96, Commission_Rates!A$1:C$2, 2, FALSE)</f>
        <v>0.01</v>
      </c>
      <c r="Z96" s="1">
        <f t="shared" si="3"/>
        <v>0</v>
      </c>
      <c r="AA96" s="1">
        <f t="shared" si="4"/>
        <v>0</v>
      </c>
      <c r="AB96" s="1">
        <f t="shared" si="5"/>
        <v>0</v>
      </c>
    </row>
    <row r="97" spans="1:28" x14ac:dyDescent="0.3">
      <c r="A97" s="1" t="s">
        <v>37</v>
      </c>
      <c r="B97" s="1" t="s">
        <v>45</v>
      </c>
      <c r="C97">
        <v>2</v>
      </c>
      <c r="D97">
        <v>1</v>
      </c>
      <c r="E97">
        <v>838</v>
      </c>
      <c r="F97">
        <v>5955</v>
      </c>
      <c r="G97">
        <v>2</v>
      </c>
      <c r="H97">
        <v>2011</v>
      </c>
      <c r="I97">
        <v>2023</v>
      </c>
      <c r="J97" s="1" t="s">
        <v>22</v>
      </c>
      <c r="K97">
        <v>0</v>
      </c>
      <c r="L97" s="1" t="s">
        <v>31</v>
      </c>
      <c r="M97" s="1" t="s">
        <v>27</v>
      </c>
      <c r="N97" s="1" t="s">
        <v>35</v>
      </c>
      <c r="O97">
        <v>1</v>
      </c>
      <c r="P97">
        <v>3</v>
      </c>
      <c r="Q97" s="1" t="s">
        <v>122</v>
      </c>
      <c r="R97">
        <v>2</v>
      </c>
      <c r="S97" s="1" t="s">
        <v>24</v>
      </c>
      <c r="T97">
        <v>6954000</v>
      </c>
      <c r="U97" t="s">
        <v>182</v>
      </c>
      <c r="V97" s="1" t="s">
        <v>174</v>
      </c>
      <c r="W97" s="1" t="s">
        <v>175</v>
      </c>
      <c r="X97" s="1" t="str">
        <f>VLOOKUP(V97,Broker_Directory!A:C,3,FALSE)</f>
        <v>Tier A</v>
      </c>
      <c r="Y97" s="1">
        <f>HLOOKUP(X97, Commission_Rates!A$1:C$2, 2, FALSE)</f>
        <v>0.02</v>
      </c>
      <c r="Z97" s="1">
        <f t="shared" si="3"/>
        <v>0</v>
      </c>
      <c r="AA97" s="1">
        <f t="shared" si="4"/>
        <v>0</v>
      </c>
      <c r="AB97" s="1">
        <f t="shared" si="5"/>
        <v>0</v>
      </c>
    </row>
    <row r="98" spans="1:28" x14ac:dyDescent="0.3">
      <c r="A98" s="1" t="s">
        <v>33</v>
      </c>
      <c r="B98" s="1" t="s">
        <v>43</v>
      </c>
      <c r="C98">
        <v>2</v>
      </c>
      <c r="D98">
        <v>2</v>
      </c>
      <c r="E98">
        <v>3844</v>
      </c>
      <c r="F98">
        <v>8013</v>
      </c>
      <c r="G98">
        <v>1</v>
      </c>
      <c r="H98">
        <v>1965</v>
      </c>
      <c r="I98">
        <v>1997</v>
      </c>
      <c r="J98" s="1" t="s">
        <v>52</v>
      </c>
      <c r="K98">
        <v>2</v>
      </c>
      <c r="L98" s="1" t="s">
        <v>31</v>
      </c>
      <c r="M98" s="1" t="s">
        <v>24</v>
      </c>
      <c r="N98" s="1" t="s">
        <v>46</v>
      </c>
      <c r="O98">
        <v>3</v>
      </c>
      <c r="P98">
        <v>2</v>
      </c>
      <c r="Q98" s="1" t="s">
        <v>71</v>
      </c>
      <c r="R98">
        <v>0</v>
      </c>
      <c r="S98" s="1" t="s">
        <v>27</v>
      </c>
      <c r="T98">
        <v>32879000</v>
      </c>
      <c r="U98" t="s">
        <v>184</v>
      </c>
      <c r="V98" s="1" t="s">
        <v>174</v>
      </c>
      <c r="W98" s="1" t="s">
        <v>175</v>
      </c>
      <c r="X98" s="1" t="str">
        <f>VLOOKUP(V98,Broker_Directory!A:C,3,FALSE)</f>
        <v>Tier A</v>
      </c>
      <c r="Y98" s="1">
        <f>HLOOKUP(X98, Commission_Rates!A$1:C$2, 2, FALSE)</f>
        <v>0.02</v>
      </c>
      <c r="Z98" s="1">
        <f t="shared" si="3"/>
        <v>657580</v>
      </c>
      <c r="AA98" s="1">
        <f t="shared" si="4"/>
        <v>986370</v>
      </c>
      <c r="AB98" s="1">
        <f t="shared" si="5"/>
        <v>328790</v>
      </c>
    </row>
    <row r="99" spans="1:28" x14ac:dyDescent="0.3">
      <c r="A99" s="1" t="s">
        <v>28</v>
      </c>
      <c r="B99" s="1" t="s">
        <v>95</v>
      </c>
      <c r="C99">
        <v>3</v>
      </c>
      <c r="D99">
        <v>2</v>
      </c>
      <c r="E99">
        <v>2780</v>
      </c>
      <c r="F99">
        <v>7863</v>
      </c>
      <c r="G99">
        <v>3</v>
      </c>
      <c r="H99">
        <v>1961</v>
      </c>
      <c r="I99">
        <v>2024</v>
      </c>
      <c r="J99" s="1" t="s">
        <v>52</v>
      </c>
      <c r="K99">
        <v>1</v>
      </c>
      <c r="L99" s="1" t="s">
        <v>31</v>
      </c>
      <c r="M99" s="1" t="s">
        <v>27</v>
      </c>
      <c r="N99" s="1" t="s">
        <v>35</v>
      </c>
      <c r="O99">
        <v>0</v>
      </c>
      <c r="P99">
        <v>0</v>
      </c>
      <c r="Q99" s="1" t="s">
        <v>126</v>
      </c>
      <c r="R99">
        <v>0</v>
      </c>
      <c r="S99" s="1" t="s">
        <v>27</v>
      </c>
      <c r="T99">
        <v>28070000</v>
      </c>
      <c r="U99" t="s">
        <v>183</v>
      </c>
      <c r="V99" s="1" t="s">
        <v>171</v>
      </c>
      <c r="W99" s="1" t="s">
        <v>172</v>
      </c>
      <c r="X99" s="1" t="str">
        <f>VLOOKUP(V99,Broker_Directory!A:C,3,FALSE)</f>
        <v>Tier B</v>
      </c>
      <c r="Y99" s="1">
        <f>HLOOKUP(X99, Commission_Rates!A$1:C$2, 2, FALSE)</f>
        <v>1.4999999999999999E-2</v>
      </c>
      <c r="Z99" s="1">
        <f t="shared" si="3"/>
        <v>0</v>
      </c>
      <c r="AA99" s="1">
        <f t="shared" si="4"/>
        <v>0</v>
      </c>
      <c r="AB99" s="1">
        <f t="shared" si="5"/>
        <v>0</v>
      </c>
    </row>
    <row r="100" spans="1:28" x14ac:dyDescent="0.3">
      <c r="A100" s="1" t="s">
        <v>28</v>
      </c>
      <c r="B100" s="1" t="s">
        <v>95</v>
      </c>
      <c r="C100">
        <v>4</v>
      </c>
      <c r="D100">
        <v>1</v>
      </c>
      <c r="E100">
        <v>4379</v>
      </c>
      <c r="F100">
        <v>9566</v>
      </c>
      <c r="G100">
        <v>3</v>
      </c>
      <c r="H100">
        <v>1987</v>
      </c>
      <c r="I100">
        <v>2005</v>
      </c>
      <c r="J100" s="1" t="s">
        <v>22</v>
      </c>
      <c r="K100">
        <v>1</v>
      </c>
      <c r="L100" s="1" t="s">
        <v>41</v>
      </c>
      <c r="M100" s="1" t="s">
        <v>27</v>
      </c>
      <c r="N100" s="1" t="s">
        <v>46</v>
      </c>
      <c r="O100">
        <v>1</v>
      </c>
      <c r="P100">
        <v>5</v>
      </c>
      <c r="Q100" s="1" t="s">
        <v>126</v>
      </c>
      <c r="R100">
        <v>1</v>
      </c>
      <c r="S100" s="1" t="s">
        <v>27</v>
      </c>
      <c r="T100">
        <v>44095000</v>
      </c>
      <c r="U100" t="s">
        <v>182</v>
      </c>
      <c r="V100" s="1" t="s">
        <v>174</v>
      </c>
      <c r="W100" s="1" t="s">
        <v>175</v>
      </c>
      <c r="X100" s="1" t="str">
        <f>VLOOKUP(V100,Broker_Directory!A:C,3,FALSE)</f>
        <v>Tier A</v>
      </c>
      <c r="Y100" s="1">
        <f>HLOOKUP(X100, Commission_Rates!A$1:C$2, 2, FALSE)</f>
        <v>0.02</v>
      </c>
      <c r="Z100" s="1">
        <f t="shared" si="3"/>
        <v>0</v>
      </c>
      <c r="AA100" s="1">
        <f t="shared" si="4"/>
        <v>0</v>
      </c>
      <c r="AB100" s="1">
        <f t="shared" si="5"/>
        <v>0</v>
      </c>
    </row>
    <row r="101" spans="1:28" x14ac:dyDescent="0.3">
      <c r="A101" s="1" t="s">
        <v>37</v>
      </c>
      <c r="B101" s="1" t="s">
        <v>72</v>
      </c>
      <c r="C101">
        <v>4</v>
      </c>
      <c r="D101">
        <v>2</v>
      </c>
      <c r="E101">
        <v>3086</v>
      </c>
      <c r="F101">
        <v>8105</v>
      </c>
      <c r="G101">
        <v>1</v>
      </c>
      <c r="H101">
        <v>1990</v>
      </c>
      <c r="I101">
        <v>2009</v>
      </c>
      <c r="J101" s="1" t="s">
        <v>30</v>
      </c>
      <c r="K101">
        <v>3</v>
      </c>
      <c r="L101" s="1" t="s">
        <v>31</v>
      </c>
      <c r="M101" s="1" t="s">
        <v>27</v>
      </c>
      <c r="N101" s="1" t="s">
        <v>35</v>
      </c>
      <c r="O101">
        <v>8</v>
      </c>
      <c r="P101">
        <v>0</v>
      </c>
      <c r="Q101" s="1" t="s">
        <v>127</v>
      </c>
      <c r="R101">
        <v>1</v>
      </c>
      <c r="S101" s="1" t="s">
        <v>27</v>
      </c>
      <c r="T101">
        <v>24983000</v>
      </c>
      <c r="U101" t="s">
        <v>183</v>
      </c>
      <c r="V101" s="1" t="s">
        <v>174</v>
      </c>
      <c r="W101" s="1" t="s">
        <v>175</v>
      </c>
      <c r="X101" s="1" t="str">
        <f>VLOOKUP(V101,Broker_Directory!A:C,3,FALSE)</f>
        <v>Tier A</v>
      </c>
      <c r="Y101" s="1">
        <f>HLOOKUP(X101, Commission_Rates!A$1:C$2, 2, FALSE)</f>
        <v>0.02</v>
      </c>
      <c r="Z101" s="1">
        <f t="shared" si="3"/>
        <v>0</v>
      </c>
      <c r="AA101" s="1">
        <f t="shared" si="4"/>
        <v>0</v>
      </c>
      <c r="AB101" s="1">
        <f t="shared" si="5"/>
        <v>0</v>
      </c>
    </row>
    <row r="102" spans="1:28" x14ac:dyDescent="0.3">
      <c r="A102" s="1" t="s">
        <v>20</v>
      </c>
      <c r="B102" s="1" t="s">
        <v>69</v>
      </c>
      <c r="C102">
        <v>4</v>
      </c>
      <c r="D102">
        <v>2</v>
      </c>
      <c r="E102">
        <v>1454</v>
      </c>
      <c r="F102">
        <v>3090</v>
      </c>
      <c r="G102">
        <v>1</v>
      </c>
      <c r="H102">
        <v>1987</v>
      </c>
      <c r="I102">
        <v>2010</v>
      </c>
      <c r="J102" s="1" t="s">
        <v>22</v>
      </c>
      <c r="K102">
        <v>1</v>
      </c>
      <c r="L102" s="1" t="s">
        <v>31</v>
      </c>
      <c r="M102" s="1" t="s">
        <v>27</v>
      </c>
      <c r="N102" s="1" t="s">
        <v>35</v>
      </c>
      <c r="O102">
        <v>5</v>
      </c>
      <c r="P102">
        <v>1</v>
      </c>
      <c r="Q102" s="1" t="s">
        <v>70</v>
      </c>
      <c r="R102">
        <v>3</v>
      </c>
      <c r="S102" s="1" t="s">
        <v>27</v>
      </c>
      <c r="T102">
        <v>17773000</v>
      </c>
      <c r="U102" t="s">
        <v>184</v>
      </c>
      <c r="V102" s="1" t="s">
        <v>171</v>
      </c>
      <c r="W102" s="1" t="s">
        <v>172</v>
      </c>
      <c r="X102" s="1" t="str">
        <f>VLOOKUP(V102,Broker_Directory!A:C,3,FALSE)</f>
        <v>Tier B</v>
      </c>
      <c r="Y102" s="1">
        <f>HLOOKUP(X102, Commission_Rates!A$1:C$2, 2, FALSE)</f>
        <v>1.4999999999999999E-2</v>
      </c>
      <c r="Z102" s="1">
        <f t="shared" si="3"/>
        <v>266595</v>
      </c>
      <c r="AA102" s="1">
        <f t="shared" si="4"/>
        <v>533190</v>
      </c>
      <c r="AB102" s="1">
        <f t="shared" si="5"/>
        <v>266595</v>
      </c>
    </row>
    <row r="103" spans="1:28" x14ac:dyDescent="0.3">
      <c r="A103" s="1" t="s">
        <v>37</v>
      </c>
      <c r="B103" s="1" t="s">
        <v>38</v>
      </c>
      <c r="C103">
        <v>4</v>
      </c>
      <c r="D103">
        <v>1</v>
      </c>
      <c r="E103">
        <v>1037</v>
      </c>
      <c r="F103">
        <v>7529</v>
      </c>
      <c r="G103">
        <v>3</v>
      </c>
      <c r="H103">
        <v>2008</v>
      </c>
      <c r="I103">
        <v>2014</v>
      </c>
      <c r="J103" s="1" t="s">
        <v>52</v>
      </c>
      <c r="K103">
        <v>2</v>
      </c>
      <c r="L103" s="1" t="s">
        <v>23</v>
      </c>
      <c r="M103" s="1" t="s">
        <v>24</v>
      </c>
      <c r="N103" s="1" t="s">
        <v>46</v>
      </c>
      <c r="O103">
        <v>7</v>
      </c>
      <c r="P103">
        <v>4</v>
      </c>
      <c r="Q103" s="1" t="s">
        <v>78</v>
      </c>
      <c r="R103">
        <v>2</v>
      </c>
      <c r="S103" s="1" t="s">
        <v>24</v>
      </c>
      <c r="T103">
        <v>8691000</v>
      </c>
      <c r="U103" t="s">
        <v>183</v>
      </c>
      <c r="V103" s="1" t="s">
        <v>168</v>
      </c>
      <c r="W103" s="1" t="s">
        <v>169</v>
      </c>
      <c r="X103" s="1" t="str">
        <f>VLOOKUP(V103,Broker_Directory!A:C,3,FALSE)</f>
        <v>Tier A</v>
      </c>
      <c r="Y103" s="1">
        <f>HLOOKUP(X103, Commission_Rates!A$1:C$2, 2, FALSE)</f>
        <v>0.02</v>
      </c>
      <c r="Z103" s="1">
        <f t="shared" si="3"/>
        <v>0</v>
      </c>
      <c r="AA103" s="1">
        <f t="shared" si="4"/>
        <v>0</v>
      </c>
      <c r="AB103" s="1">
        <f t="shared" si="5"/>
        <v>0</v>
      </c>
    </row>
    <row r="104" spans="1:28" x14ac:dyDescent="0.3">
      <c r="A104" s="1" t="s">
        <v>20</v>
      </c>
      <c r="B104" s="1" t="s">
        <v>50</v>
      </c>
      <c r="C104">
        <v>2</v>
      </c>
      <c r="D104">
        <v>3</v>
      </c>
      <c r="E104">
        <v>3296</v>
      </c>
      <c r="F104">
        <v>9603</v>
      </c>
      <c r="G104">
        <v>2</v>
      </c>
      <c r="H104">
        <v>1996</v>
      </c>
      <c r="I104">
        <v>1996</v>
      </c>
      <c r="J104" s="1" t="s">
        <v>22</v>
      </c>
      <c r="K104">
        <v>0</v>
      </c>
      <c r="L104" s="1" t="s">
        <v>31</v>
      </c>
      <c r="M104" s="1" t="s">
        <v>27</v>
      </c>
      <c r="N104" s="1" t="s">
        <v>35</v>
      </c>
      <c r="O104">
        <v>4</v>
      </c>
      <c r="P104">
        <v>0</v>
      </c>
      <c r="Q104" s="1" t="s">
        <v>128</v>
      </c>
      <c r="R104">
        <v>3</v>
      </c>
      <c r="S104" s="1" t="s">
        <v>27</v>
      </c>
      <c r="T104">
        <v>39827000</v>
      </c>
      <c r="U104" t="s">
        <v>183</v>
      </c>
      <c r="V104" s="1" t="s">
        <v>174</v>
      </c>
      <c r="W104" s="1" t="s">
        <v>175</v>
      </c>
      <c r="X104" s="1" t="str">
        <f>VLOOKUP(V104,Broker_Directory!A:C,3,FALSE)</f>
        <v>Tier A</v>
      </c>
      <c r="Y104" s="1">
        <f>HLOOKUP(X104, Commission_Rates!A$1:C$2, 2, FALSE)</f>
        <v>0.02</v>
      </c>
      <c r="Z104" s="1">
        <f t="shared" si="3"/>
        <v>0</v>
      </c>
      <c r="AA104" s="1">
        <f t="shared" si="4"/>
        <v>0</v>
      </c>
      <c r="AB104" s="1">
        <f t="shared" si="5"/>
        <v>0</v>
      </c>
    </row>
    <row r="105" spans="1:28" x14ac:dyDescent="0.3">
      <c r="A105" s="1" t="s">
        <v>33</v>
      </c>
      <c r="B105" s="1" t="s">
        <v>43</v>
      </c>
      <c r="C105">
        <v>1</v>
      </c>
      <c r="D105">
        <v>2</v>
      </c>
      <c r="E105">
        <v>1092</v>
      </c>
      <c r="F105">
        <v>7595</v>
      </c>
      <c r="G105">
        <v>2</v>
      </c>
      <c r="H105">
        <v>1993</v>
      </c>
      <c r="I105">
        <v>2015</v>
      </c>
      <c r="J105" s="1" t="s">
        <v>52</v>
      </c>
      <c r="K105">
        <v>1</v>
      </c>
      <c r="L105" s="1" t="s">
        <v>41</v>
      </c>
      <c r="M105" s="1" t="s">
        <v>24</v>
      </c>
      <c r="N105" s="1" t="s">
        <v>25</v>
      </c>
      <c r="O105">
        <v>0</v>
      </c>
      <c r="P105">
        <v>1</v>
      </c>
      <c r="Q105" s="1" t="s">
        <v>71</v>
      </c>
      <c r="R105">
        <v>3</v>
      </c>
      <c r="S105" s="1" t="s">
        <v>27</v>
      </c>
      <c r="T105">
        <v>9577000</v>
      </c>
      <c r="U105" t="s">
        <v>183</v>
      </c>
      <c r="V105" s="1" t="s">
        <v>168</v>
      </c>
      <c r="W105" s="1" t="s">
        <v>169</v>
      </c>
      <c r="X105" s="1" t="str">
        <f>VLOOKUP(V105,Broker_Directory!A:C,3,FALSE)</f>
        <v>Tier A</v>
      </c>
      <c r="Y105" s="1">
        <f>HLOOKUP(X105, Commission_Rates!A$1:C$2, 2, FALSE)</f>
        <v>0.02</v>
      </c>
      <c r="Z105" s="1">
        <f t="shared" si="3"/>
        <v>0</v>
      </c>
      <c r="AA105" s="1">
        <f t="shared" si="4"/>
        <v>0</v>
      </c>
      <c r="AB105" s="1">
        <f t="shared" si="5"/>
        <v>0</v>
      </c>
    </row>
    <row r="106" spans="1:28" x14ac:dyDescent="0.3">
      <c r="A106" s="1" t="s">
        <v>28</v>
      </c>
      <c r="B106" s="1" t="s">
        <v>95</v>
      </c>
      <c r="C106">
        <v>5</v>
      </c>
      <c r="D106">
        <v>2</v>
      </c>
      <c r="E106">
        <v>2986</v>
      </c>
      <c r="F106">
        <v>8058</v>
      </c>
      <c r="G106">
        <v>2</v>
      </c>
      <c r="H106">
        <v>1970</v>
      </c>
      <c r="I106">
        <v>1994</v>
      </c>
      <c r="J106" s="1" t="s">
        <v>30</v>
      </c>
      <c r="K106">
        <v>2</v>
      </c>
      <c r="L106" s="1" t="s">
        <v>41</v>
      </c>
      <c r="M106" s="1" t="s">
        <v>27</v>
      </c>
      <c r="N106" s="1" t="s">
        <v>46</v>
      </c>
      <c r="O106">
        <v>0</v>
      </c>
      <c r="P106">
        <v>2</v>
      </c>
      <c r="Q106" s="1" t="s">
        <v>129</v>
      </c>
      <c r="R106">
        <v>0</v>
      </c>
      <c r="S106" s="1" t="s">
        <v>27</v>
      </c>
      <c r="T106">
        <v>30210000</v>
      </c>
      <c r="U106" t="s">
        <v>183</v>
      </c>
      <c r="V106" s="1" t="s">
        <v>176</v>
      </c>
      <c r="W106" s="1" t="s">
        <v>177</v>
      </c>
      <c r="X106" s="1" t="str">
        <f>VLOOKUP(V106,Broker_Directory!A:C,3,FALSE)</f>
        <v>Tier C</v>
      </c>
      <c r="Y106" s="1">
        <f>HLOOKUP(X106, Commission_Rates!A$1:C$2, 2, FALSE)</f>
        <v>0.01</v>
      </c>
      <c r="Z106" s="1">
        <f t="shared" si="3"/>
        <v>0</v>
      </c>
      <c r="AA106" s="1">
        <f t="shared" si="4"/>
        <v>0</v>
      </c>
      <c r="AB106" s="1">
        <f t="shared" si="5"/>
        <v>0</v>
      </c>
    </row>
    <row r="107" spans="1:28" x14ac:dyDescent="0.3">
      <c r="A107" s="1" t="s">
        <v>33</v>
      </c>
      <c r="B107" s="1" t="s">
        <v>34</v>
      </c>
      <c r="C107">
        <v>1</v>
      </c>
      <c r="D107">
        <v>4</v>
      </c>
      <c r="E107">
        <v>2475</v>
      </c>
      <c r="F107">
        <v>7895</v>
      </c>
      <c r="G107">
        <v>3</v>
      </c>
      <c r="H107">
        <v>2023</v>
      </c>
      <c r="I107">
        <v>2023</v>
      </c>
      <c r="J107" s="1" t="s">
        <v>58</v>
      </c>
      <c r="K107">
        <v>3</v>
      </c>
      <c r="L107" s="1" t="s">
        <v>31</v>
      </c>
      <c r="M107" s="1" t="s">
        <v>27</v>
      </c>
      <c r="N107" s="1" t="s">
        <v>25</v>
      </c>
      <c r="O107">
        <v>10</v>
      </c>
      <c r="P107">
        <v>1</v>
      </c>
      <c r="Q107" s="1" t="s">
        <v>36</v>
      </c>
      <c r="R107">
        <v>0</v>
      </c>
      <c r="S107" s="1" t="s">
        <v>24</v>
      </c>
      <c r="T107">
        <v>21392500</v>
      </c>
      <c r="U107" t="s">
        <v>183</v>
      </c>
      <c r="V107" s="1" t="s">
        <v>179</v>
      </c>
      <c r="W107" s="1" t="s">
        <v>180</v>
      </c>
      <c r="X107" s="1" t="str">
        <f>VLOOKUP(V107,Broker_Directory!A:C,3,FALSE)</f>
        <v>Tier B</v>
      </c>
      <c r="Y107" s="1">
        <f>HLOOKUP(X107, Commission_Rates!A$1:C$2, 2, FALSE)</f>
        <v>1.4999999999999999E-2</v>
      </c>
      <c r="Z107" s="1">
        <f t="shared" si="3"/>
        <v>0</v>
      </c>
      <c r="AA107" s="1">
        <f t="shared" si="4"/>
        <v>0</v>
      </c>
      <c r="AB107" s="1">
        <f t="shared" si="5"/>
        <v>0</v>
      </c>
    </row>
    <row r="108" spans="1:28" x14ac:dyDescent="0.3">
      <c r="A108" s="1" t="s">
        <v>20</v>
      </c>
      <c r="B108" s="1" t="s">
        <v>50</v>
      </c>
      <c r="C108">
        <v>3</v>
      </c>
      <c r="D108">
        <v>4</v>
      </c>
      <c r="E108">
        <v>1540</v>
      </c>
      <c r="F108">
        <v>8355</v>
      </c>
      <c r="G108">
        <v>3</v>
      </c>
      <c r="H108">
        <v>1976</v>
      </c>
      <c r="I108">
        <v>2001</v>
      </c>
      <c r="J108" s="1" t="s">
        <v>22</v>
      </c>
      <c r="K108">
        <v>0</v>
      </c>
      <c r="L108" s="1" t="s">
        <v>31</v>
      </c>
      <c r="M108" s="1" t="s">
        <v>24</v>
      </c>
      <c r="N108" s="1" t="s">
        <v>35</v>
      </c>
      <c r="O108">
        <v>5</v>
      </c>
      <c r="P108">
        <v>5</v>
      </c>
      <c r="Q108" s="1" t="s">
        <v>128</v>
      </c>
      <c r="R108">
        <v>3</v>
      </c>
      <c r="S108" s="1" t="s">
        <v>27</v>
      </c>
      <c r="T108">
        <v>18880000</v>
      </c>
      <c r="U108" t="s">
        <v>182</v>
      </c>
      <c r="V108" s="1" t="s">
        <v>176</v>
      </c>
      <c r="W108" s="1" t="s">
        <v>177</v>
      </c>
      <c r="X108" s="1" t="str">
        <f>VLOOKUP(V108,Broker_Directory!A:C,3,FALSE)</f>
        <v>Tier C</v>
      </c>
      <c r="Y108" s="1">
        <f>HLOOKUP(X108, Commission_Rates!A$1:C$2, 2, FALSE)</f>
        <v>0.01</v>
      </c>
      <c r="Z108" s="1">
        <f t="shared" si="3"/>
        <v>0</v>
      </c>
      <c r="AA108" s="1">
        <f t="shared" si="4"/>
        <v>0</v>
      </c>
      <c r="AB108" s="1">
        <f t="shared" si="5"/>
        <v>0</v>
      </c>
    </row>
    <row r="109" spans="1:28" x14ac:dyDescent="0.3">
      <c r="A109" s="1" t="s">
        <v>28</v>
      </c>
      <c r="B109" s="1" t="s">
        <v>29</v>
      </c>
      <c r="C109">
        <v>5</v>
      </c>
      <c r="D109">
        <v>3</v>
      </c>
      <c r="E109">
        <v>4775</v>
      </c>
      <c r="F109">
        <v>7727</v>
      </c>
      <c r="G109">
        <v>3</v>
      </c>
      <c r="H109">
        <v>1983</v>
      </c>
      <c r="I109">
        <v>2021</v>
      </c>
      <c r="J109" s="1" t="s">
        <v>22</v>
      </c>
      <c r="K109">
        <v>1</v>
      </c>
      <c r="L109" s="1" t="s">
        <v>31</v>
      </c>
      <c r="M109" s="1" t="s">
        <v>27</v>
      </c>
      <c r="N109" s="1" t="s">
        <v>35</v>
      </c>
      <c r="O109">
        <v>4</v>
      </c>
      <c r="P109">
        <v>1</v>
      </c>
      <c r="Q109" s="1" t="s">
        <v>65</v>
      </c>
      <c r="R109">
        <v>2</v>
      </c>
      <c r="S109" s="1" t="s">
        <v>24</v>
      </c>
      <c r="T109">
        <v>48230000</v>
      </c>
      <c r="U109" t="s">
        <v>184</v>
      </c>
      <c r="V109" s="1" t="s">
        <v>168</v>
      </c>
      <c r="W109" s="1" t="s">
        <v>169</v>
      </c>
      <c r="X109" s="1" t="str">
        <f>VLOOKUP(V109,Broker_Directory!A:C,3,FALSE)</f>
        <v>Tier A</v>
      </c>
      <c r="Y109" s="1">
        <f>HLOOKUP(X109, Commission_Rates!A$1:C$2, 2, FALSE)</f>
        <v>0.02</v>
      </c>
      <c r="Z109" s="1">
        <f t="shared" si="3"/>
        <v>964600</v>
      </c>
      <c r="AA109" s="1">
        <f t="shared" si="4"/>
        <v>1446900</v>
      </c>
      <c r="AB109" s="1">
        <f t="shared" si="5"/>
        <v>482300</v>
      </c>
    </row>
    <row r="110" spans="1:28" x14ac:dyDescent="0.3">
      <c r="A110" s="1" t="s">
        <v>37</v>
      </c>
      <c r="B110" s="1" t="s">
        <v>38</v>
      </c>
      <c r="C110">
        <v>4</v>
      </c>
      <c r="D110">
        <v>3</v>
      </c>
      <c r="E110">
        <v>4891</v>
      </c>
      <c r="F110">
        <v>7181</v>
      </c>
      <c r="G110">
        <v>2</v>
      </c>
      <c r="H110">
        <v>1965</v>
      </c>
      <c r="I110">
        <v>2000</v>
      </c>
      <c r="J110" s="1" t="s">
        <v>22</v>
      </c>
      <c r="K110">
        <v>3</v>
      </c>
      <c r="L110" s="1" t="s">
        <v>64</v>
      </c>
      <c r="M110" s="1" t="s">
        <v>24</v>
      </c>
      <c r="N110" s="1" t="s">
        <v>46</v>
      </c>
      <c r="O110">
        <v>0</v>
      </c>
      <c r="P110">
        <v>2</v>
      </c>
      <c r="Q110" s="1" t="s">
        <v>93</v>
      </c>
      <c r="R110">
        <v>2</v>
      </c>
      <c r="S110" s="1" t="s">
        <v>27</v>
      </c>
      <c r="T110">
        <v>39513000</v>
      </c>
      <c r="U110" t="s">
        <v>183</v>
      </c>
      <c r="V110" s="1" t="s">
        <v>179</v>
      </c>
      <c r="W110" s="1" t="s">
        <v>180</v>
      </c>
      <c r="X110" s="1" t="str">
        <f>VLOOKUP(V110,Broker_Directory!A:C,3,FALSE)</f>
        <v>Tier B</v>
      </c>
      <c r="Y110" s="1">
        <f>HLOOKUP(X110, Commission_Rates!A$1:C$2, 2, FALSE)</f>
        <v>1.4999999999999999E-2</v>
      </c>
      <c r="Z110" s="1">
        <f t="shared" si="3"/>
        <v>0</v>
      </c>
      <c r="AA110" s="1">
        <f t="shared" si="4"/>
        <v>0</v>
      </c>
      <c r="AB110" s="1">
        <f t="shared" si="5"/>
        <v>0</v>
      </c>
    </row>
    <row r="111" spans="1:28" x14ac:dyDescent="0.3">
      <c r="A111" s="1" t="s">
        <v>53</v>
      </c>
      <c r="B111" s="1" t="s">
        <v>54</v>
      </c>
      <c r="C111">
        <v>2</v>
      </c>
      <c r="D111">
        <v>2</v>
      </c>
      <c r="E111">
        <v>4712</v>
      </c>
      <c r="F111">
        <v>6983</v>
      </c>
      <c r="G111">
        <v>3</v>
      </c>
      <c r="H111">
        <v>1984</v>
      </c>
      <c r="I111">
        <v>1991</v>
      </c>
      <c r="J111" s="1" t="s">
        <v>58</v>
      </c>
      <c r="K111">
        <v>1</v>
      </c>
      <c r="L111" s="1" t="s">
        <v>31</v>
      </c>
      <c r="M111" s="1" t="s">
        <v>24</v>
      </c>
      <c r="N111" s="1" t="s">
        <v>35</v>
      </c>
      <c r="O111">
        <v>8</v>
      </c>
      <c r="P111">
        <v>1</v>
      </c>
      <c r="Q111" s="1" t="s">
        <v>59</v>
      </c>
      <c r="R111">
        <v>0</v>
      </c>
      <c r="S111" s="1" t="s">
        <v>24</v>
      </c>
      <c r="T111">
        <v>42703000</v>
      </c>
      <c r="U111" t="s">
        <v>182</v>
      </c>
      <c r="V111" s="1" t="s">
        <v>168</v>
      </c>
      <c r="W111" s="1" t="s">
        <v>169</v>
      </c>
      <c r="X111" s="1" t="str">
        <f>VLOOKUP(V111,Broker_Directory!A:C,3,FALSE)</f>
        <v>Tier A</v>
      </c>
      <c r="Y111" s="1">
        <f>HLOOKUP(X111, Commission_Rates!A$1:C$2, 2, FALSE)</f>
        <v>0.02</v>
      </c>
      <c r="Z111" s="1">
        <f t="shared" si="3"/>
        <v>0</v>
      </c>
      <c r="AA111" s="1">
        <f t="shared" si="4"/>
        <v>0</v>
      </c>
      <c r="AB111" s="1">
        <f t="shared" si="5"/>
        <v>0</v>
      </c>
    </row>
    <row r="112" spans="1:28" x14ac:dyDescent="0.3">
      <c r="A112" s="1" t="s">
        <v>37</v>
      </c>
      <c r="B112" s="1" t="s">
        <v>38</v>
      </c>
      <c r="C112">
        <v>4</v>
      </c>
      <c r="D112">
        <v>1</v>
      </c>
      <c r="E112">
        <v>1426</v>
      </c>
      <c r="F112">
        <v>1560</v>
      </c>
      <c r="G112">
        <v>3</v>
      </c>
      <c r="H112">
        <v>1970</v>
      </c>
      <c r="I112">
        <v>1995</v>
      </c>
      <c r="J112" s="1" t="s">
        <v>22</v>
      </c>
      <c r="K112">
        <v>3</v>
      </c>
      <c r="L112" s="1" t="s">
        <v>31</v>
      </c>
      <c r="M112" s="1" t="s">
        <v>27</v>
      </c>
      <c r="N112" s="1" t="s">
        <v>46</v>
      </c>
      <c r="O112">
        <v>4</v>
      </c>
      <c r="P112">
        <v>5</v>
      </c>
      <c r="Q112" s="1" t="s">
        <v>93</v>
      </c>
      <c r="R112">
        <v>0</v>
      </c>
      <c r="S112" s="1" t="s">
        <v>24</v>
      </c>
      <c r="T112">
        <v>11748000</v>
      </c>
      <c r="U112" t="s">
        <v>183</v>
      </c>
      <c r="V112" s="1" t="s">
        <v>168</v>
      </c>
      <c r="W112" s="1" t="s">
        <v>169</v>
      </c>
      <c r="X112" s="1" t="str">
        <f>VLOOKUP(V112,Broker_Directory!A:C,3,FALSE)</f>
        <v>Tier A</v>
      </c>
      <c r="Y112" s="1">
        <f>HLOOKUP(X112, Commission_Rates!A$1:C$2, 2, FALSE)</f>
        <v>0.02</v>
      </c>
      <c r="Z112" s="1">
        <f t="shared" si="3"/>
        <v>0</v>
      </c>
      <c r="AA112" s="1">
        <f t="shared" si="4"/>
        <v>0</v>
      </c>
      <c r="AB112" s="1">
        <f t="shared" si="5"/>
        <v>0</v>
      </c>
    </row>
    <row r="113" spans="1:28" x14ac:dyDescent="0.3">
      <c r="A113" s="1" t="s">
        <v>33</v>
      </c>
      <c r="B113" s="1" t="s">
        <v>48</v>
      </c>
      <c r="C113">
        <v>2</v>
      </c>
      <c r="D113">
        <v>4</v>
      </c>
      <c r="E113">
        <v>1740</v>
      </c>
      <c r="F113">
        <v>2385</v>
      </c>
      <c r="G113">
        <v>2</v>
      </c>
      <c r="H113">
        <v>2013</v>
      </c>
      <c r="I113">
        <v>2014</v>
      </c>
      <c r="J113" s="1" t="s">
        <v>30</v>
      </c>
      <c r="K113">
        <v>0</v>
      </c>
      <c r="L113" s="1" t="s">
        <v>23</v>
      </c>
      <c r="M113" s="1" t="s">
        <v>27</v>
      </c>
      <c r="N113" s="1" t="s">
        <v>35</v>
      </c>
      <c r="O113">
        <v>9</v>
      </c>
      <c r="P113">
        <v>0</v>
      </c>
      <c r="Q113" s="1" t="s">
        <v>68</v>
      </c>
      <c r="R113">
        <v>2</v>
      </c>
      <c r="S113" s="1" t="s">
        <v>27</v>
      </c>
      <c r="T113">
        <v>15080000</v>
      </c>
      <c r="U113" t="s">
        <v>183</v>
      </c>
      <c r="V113" s="1" t="s">
        <v>176</v>
      </c>
      <c r="W113" s="1" t="s">
        <v>177</v>
      </c>
      <c r="X113" s="1" t="str">
        <f>VLOOKUP(V113,Broker_Directory!A:C,3,FALSE)</f>
        <v>Tier C</v>
      </c>
      <c r="Y113" s="1">
        <f>HLOOKUP(X113, Commission_Rates!A$1:C$2, 2, FALSE)</f>
        <v>0.01</v>
      </c>
      <c r="Z113" s="1">
        <f t="shared" si="3"/>
        <v>0</v>
      </c>
      <c r="AA113" s="1">
        <f t="shared" si="4"/>
        <v>0</v>
      </c>
      <c r="AB113" s="1">
        <f t="shared" si="5"/>
        <v>0</v>
      </c>
    </row>
    <row r="114" spans="1:28" x14ac:dyDescent="0.3">
      <c r="A114" s="1" t="s">
        <v>33</v>
      </c>
      <c r="B114" s="1" t="s">
        <v>43</v>
      </c>
      <c r="C114">
        <v>4</v>
      </c>
      <c r="D114">
        <v>2</v>
      </c>
      <c r="E114">
        <v>4430</v>
      </c>
      <c r="F114">
        <v>8314</v>
      </c>
      <c r="G114">
        <v>2</v>
      </c>
      <c r="H114">
        <v>1974</v>
      </c>
      <c r="I114">
        <v>2024</v>
      </c>
      <c r="J114" s="1" t="s">
        <v>58</v>
      </c>
      <c r="K114">
        <v>2</v>
      </c>
      <c r="L114" s="1" t="s">
        <v>31</v>
      </c>
      <c r="M114" s="1" t="s">
        <v>27</v>
      </c>
      <c r="N114" s="1" t="s">
        <v>35</v>
      </c>
      <c r="O114">
        <v>4</v>
      </c>
      <c r="P114">
        <v>5</v>
      </c>
      <c r="Q114" s="1" t="s">
        <v>130</v>
      </c>
      <c r="R114">
        <v>0</v>
      </c>
      <c r="S114" s="1" t="s">
        <v>27</v>
      </c>
      <c r="T114">
        <v>37955000</v>
      </c>
      <c r="U114" t="s">
        <v>182</v>
      </c>
      <c r="V114" s="1" t="s">
        <v>168</v>
      </c>
      <c r="W114" s="1" t="s">
        <v>169</v>
      </c>
      <c r="X114" s="1" t="str">
        <f>VLOOKUP(V114,Broker_Directory!A:C,3,FALSE)</f>
        <v>Tier A</v>
      </c>
      <c r="Y114" s="1">
        <f>HLOOKUP(X114, Commission_Rates!A$1:C$2, 2, FALSE)</f>
        <v>0.02</v>
      </c>
      <c r="Z114" s="1">
        <f t="shared" si="3"/>
        <v>0</v>
      </c>
      <c r="AA114" s="1">
        <f t="shared" si="4"/>
        <v>0</v>
      </c>
      <c r="AB114" s="1">
        <f t="shared" si="5"/>
        <v>0</v>
      </c>
    </row>
    <row r="115" spans="1:28" x14ac:dyDescent="0.3">
      <c r="A115" s="1" t="s">
        <v>53</v>
      </c>
      <c r="B115" s="1" t="s">
        <v>100</v>
      </c>
      <c r="C115">
        <v>2</v>
      </c>
      <c r="D115">
        <v>2</v>
      </c>
      <c r="E115">
        <v>3621</v>
      </c>
      <c r="F115">
        <v>7174</v>
      </c>
      <c r="G115">
        <v>3</v>
      </c>
      <c r="H115">
        <v>1991</v>
      </c>
      <c r="I115">
        <v>1995</v>
      </c>
      <c r="J115" s="1" t="s">
        <v>22</v>
      </c>
      <c r="K115">
        <v>0</v>
      </c>
      <c r="L115" s="1" t="s">
        <v>31</v>
      </c>
      <c r="M115" s="1" t="s">
        <v>24</v>
      </c>
      <c r="N115" s="1" t="s">
        <v>46</v>
      </c>
      <c r="O115">
        <v>5</v>
      </c>
      <c r="P115">
        <v>1</v>
      </c>
      <c r="Q115" s="1" t="s">
        <v>131</v>
      </c>
      <c r="R115">
        <v>2</v>
      </c>
      <c r="S115" s="1" t="s">
        <v>27</v>
      </c>
      <c r="T115">
        <v>32864000</v>
      </c>
      <c r="U115" t="s">
        <v>182</v>
      </c>
      <c r="V115" s="1" t="s">
        <v>179</v>
      </c>
      <c r="W115" s="1" t="s">
        <v>180</v>
      </c>
      <c r="X115" s="1" t="str">
        <f>VLOOKUP(V115,Broker_Directory!A:C,3,FALSE)</f>
        <v>Tier B</v>
      </c>
      <c r="Y115" s="1">
        <f>HLOOKUP(X115, Commission_Rates!A$1:C$2, 2, FALSE)</f>
        <v>1.4999999999999999E-2</v>
      </c>
      <c r="Z115" s="1">
        <f t="shared" si="3"/>
        <v>0</v>
      </c>
      <c r="AA115" s="1">
        <f t="shared" si="4"/>
        <v>0</v>
      </c>
      <c r="AB115" s="1">
        <f t="shared" si="5"/>
        <v>0</v>
      </c>
    </row>
    <row r="116" spans="1:28" x14ac:dyDescent="0.3">
      <c r="A116" s="1" t="s">
        <v>28</v>
      </c>
      <c r="B116" s="1" t="s">
        <v>29</v>
      </c>
      <c r="C116">
        <v>3</v>
      </c>
      <c r="D116">
        <v>3</v>
      </c>
      <c r="E116">
        <v>2773</v>
      </c>
      <c r="F116">
        <v>7594</v>
      </c>
      <c r="G116">
        <v>3</v>
      </c>
      <c r="H116">
        <v>2023</v>
      </c>
      <c r="I116">
        <v>0</v>
      </c>
      <c r="J116" s="1" t="s">
        <v>30</v>
      </c>
      <c r="K116">
        <v>2</v>
      </c>
      <c r="L116" s="1" t="s">
        <v>31</v>
      </c>
      <c r="M116" s="1" t="s">
        <v>24</v>
      </c>
      <c r="N116" s="1" t="s">
        <v>35</v>
      </c>
      <c r="O116">
        <v>1</v>
      </c>
      <c r="P116">
        <v>3</v>
      </c>
      <c r="Q116" s="1" t="s">
        <v>65</v>
      </c>
      <c r="R116">
        <v>1</v>
      </c>
      <c r="S116" s="1" t="s">
        <v>27</v>
      </c>
      <c r="T116">
        <v>28070000</v>
      </c>
      <c r="U116" t="s">
        <v>183</v>
      </c>
      <c r="V116" s="1" t="s">
        <v>168</v>
      </c>
      <c r="W116" s="1" t="s">
        <v>169</v>
      </c>
      <c r="X116" s="1" t="str">
        <f>VLOOKUP(V116,Broker_Directory!A:C,3,FALSE)</f>
        <v>Tier A</v>
      </c>
      <c r="Y116" s="1">
        <f>HLOOKUP(X116, Commission_Rates!A$1:C$2, 2, FALSE)</f>
        <v>0.02</v>
      </c>
      <c r="Z116" s="1">
        <f t="shared" si="3"/>
        <v>0</v>
      </c>
      <c r="AA116" s="1">
        <f t="shared" si="4"/>
        <v>0</v>
      </c>
      <c r="AB116" s="1">
        <f t="shared" si="5"/>
        <v>0</v>
      </c>
    </row>
    <row r="117" spans="1:28" x14ac:dyDescent="0.3">
      <c r="A117" s="1" t="s">
        <v>33</v>
      </c>
      <c r="B117" s="1" t="s">
        <v>34</v>
      </c>
      <c r="C117">
        <v>1</v>
      </c>
      <c r="D117">
        <v>3</v>
      </c>
      <c r="E117">
        <v>3310</v>
      </c>
      <c r="F117">
        <v>8395</v>
      </c>
      <c r="G117">
        <v>1</v>
      </c>
      <c r="H117">
        <v>1978</v>
      </c>
      <c r="I117">
        <v>1985</v>
      </c>
      <c r="J117" s="1" t="s">
        <v>22</v>
      </c>
      <c r="K117">
        <v>1</v>
      </c>
      <c r="L117" s="1" t="s">
        <v>41</v>
      </c>
      <c r="M117" s="1" t="s">
        <v>27</v>
      </c>
      <c r="N117" s="1" t="s">
        <v>46</v>
      </c>
      <c r="O117">
        <v>8</v>
      </c>
      <c r="P117">
        <v>3</v>
      </c>
      <c r="Q117" s="1" t="s">
        <v>132</v>
      </c>
      <c r="R117">
        <v>1</v>
      </c>
      <c r="S117" s="1" t="s">
        <v>24</v>
      </c>
      <c r="T117">
        <v>28360000</v>
      </c>
      <c r="U117" t="s">
        <v>182</v>
      </c>
      <c r="V117" s="1" t="s">
        <v>179</v>
      </c>
      <c r="W117" s="1" t="s">
        <v>180</v>
      </c>
      <c r="X117" s="1" t="str">
        <f>VLOOKUP(V117,Broker_Directory!A:C,3,FALSE)</f>
        <v>Tier B</v>
      </c>
      <c r="Y117" s="1">
        <f>HLOOKUP(X117, Commission_Rates!A$1:C$2, 2, FALSE)</f>
        <v>1.4999999999999999E-2</v>
      </c>
      <c r="Z117" s="1">
        <f t="shared" si="3"/>
        <v>0</v>
      </c>
      <c r="AA117" s="1">
        <f t="shared" si="4"/>
        <v>0</v>
      </c>
      <c r="AB117" s="1">
        <f t="shared" si="5"/>
        <v>0</v>
      </c>
    </row>
    <row r="118" spans="1:28" x14ac:dyDescent="0.3">
      <c r="A118" s="1" t="s">
        <v>33</v>
      </c>
      <c r="B118" s="1" t="s">
        <v>98</v>
      </c>
      <c r="C118">
        <v>5</v>
      </c>
      <c r="D118">
        <v>3</v>
      </c>
      <c r="E118">
        <v>939</v>
      </c>
      <c r="F118">
        <v>2827</v>
      </c>
      <c r="G118">
        <v>1</v>
      </c>
      <c r="H118">
        <v>2020</v>
      </c>
      <c r="I118">
        <v>2023</v>
      </c>
      <c r="J118" s="1" t="s">
        <v>52</v>
      </c>
      <c r="K118">
        <v>1</v>
      </c>
      <c r="L118" s="1" t="s">
        <v>31</v>
      </c>
      <c r="M118" s="1" t="s">
        <v>27</v>
      </c>
      <c r="N118" s="1" t="s">
        <v>35</v>
      </c>
      <c r="O118">
        <v>7</v>
      </c>
      <c r="P118">
        <v>0</v>
      </c>
      <c r="Q118" s="1" t="s">
        <v>123</v>
      </c>
      <c r="R118">
        <v>3</v>
      </c>
      <c r="S118" s="1" t="s">
        <v>24</v>
      </c>
      <c r="T118">
        <v>8436500</v>
      </c>
      <c r="U118" t="s">
        <v>182</v>
      </c>
      <c r="V118" s="1" t="s">
        <v>168</v>
      </c>
      <c r="W118" s="1" t="s">
        <v>169</v>
      </c>
      <c r="X118" s="1" t="str">
        <f>VLOOKUP(V118,Broker_Directory!A:C,3,FALSE)</f>
        <v>Tier A</v>
      </c>
      <c r="Y118" s="1">
        <f>HLOOKUP(X118, Commission_Rates!A$1:C$2, 2, FALSE)</f>
        <v>0.02</v>
      </c>
      <c r="Z118" s="1">
        <f t="shared" si="3"/>
        <v>0</v>
      </c>
      <c r="AA118" s="1">
        <f t="shared" si="4"/>
        <v>0</v>
      </c>
      <c r="AB118" s="1">
        <f t="shared" si="5"/>
        <v>0</v>
      </c>
    </row>
    <row r="119" spans="1:28" x14ac:dyDescent="0.3">
      <c r="A119" s="1" t="s">
        <v>33</v>
      </c>
      <c r="B119" s="1" t="s">
        <v>98</v>
      </c>
      <c r="C119">
        <v>1</v>
      </c>
      <c r="D119">
        <v>4</v>
      </c>
      <c r="E119">
        <v>1380</v>
      </c>
      <c r="F119">
        <v>9839</v>
      </c>
      <c r="G119">
        <v>2</v>
      </c>
      <c r="H119">
        <v>2008</v>
      </c>
      <c r="I119">
        <v>2025</v>
      </c>
      <c r="J119" s="1" t="s">
        <v>58</v>
      </c>
      <c r="K119">
        <v>3</v>
      </c>
      <c r="L119" s="1" t="s">
        <v>64</v>
      </c>
      <c r="M119" s="1" t="s">
        <v>24</v>
      </c>
      <c r="N119" s="1" t="s">
        <v>46</v>
      </c>
      <c r="O119">
        <v>4</v>
      </c>
      <c r="P119">
        <v>0</v>
      </c>
      <c r="Q119" s="1" t="s">
        <v>123</v>
      </c>
      <c r="R119">
        <v>0</v>
      </c>
      <c r="S119" s="1" t="s">
        <v>24</v>
      </c>
      <c r="T119">
        <v>12015000</v>
      </c>
      <c r="U119" t="s">
        <v>184</v>
      </c>
      <c r="V119" s="1" t="s">
        <v>168</v>
      </c>
      <c r="W119" s="1" t="s">
        <v>169</v>
      </c>
      <c r="X119" s="1" t="str">
        <f>VLOOKUP(V119,Broker_Directory!A:C,3,FALSE)</f>
        <v>Tier A</v>
      </c>
      <c r="Y119" s="1">
        <f>HLOOKUP(X119, Commission_Rates!A$1:C$2, 2, FALSE)</f>
        <v>0.02</v>
      </c>
      <c r="Z119" s="1">
        <f t="shared" si="3"/>
        <v>240300</v>
      </c>
      <c r="AA119" s="1">
        <f t="shared" si="4"/>
        <v>360450</v>
      </c>
      <c r="AB119" s="1">
        <f t="shared" si="5"/>
        <v>120150</v>
      </c>
    </row>
    <row r="120" spans="1:28" x14ac:dyDescent="0.3">
      <c r="A120" s="1" t="s">
        <v>37</v>
      </c>
      <c r="B120" s="1" t="s">
        <v>38</v>
      </c>
      <c r="C120">
        <v>1</v>
      </c>
      <c r="D120">
        <v>1</v>
      </c>
      <c r="E120">
        <v>865</v>
      </c>
      <c r="F120">
        <v>8649</v>
      </c>
      <c r="G120">
        <v>1</v>
      </c>
      <c r="H120">
        <v>1986</v>
      </c>
      <c r="I120">
        <v>2011</v>
      </c>
      <c r="J120" s="1" t="s">
        <v>52</v>
      </c>
      <c r="K120">
        <v>1</v>
      </c>
      <c r="L120" s="1" t="s">
        <v>41</v>
      </c>
      <c r="M120" s="1" t="s">
        <v>27</v>
      </c>
      <c r="N120" s="1" t="s">
        <v>46</v>
      </c>
      <c r="O120">
        <v>7</v>
      </c>
      <c r="P120">
        <v>3</v>
      </c>
      <c r="Q120" s="1" t="s">
        <v>78</v>
      </c>
      <c r="R120">
        <v>0</v>
      </c>
      <c r="S120" s="1" t="s">
        <v>24</v>
      </c>
      <c r="T120">
        <v>7070000</v>
      </c>
      <c r="U120" t="s">
        <v>182</v>
      </c>
      <c r="V120" s="1" t="s">
        <v>179</v>
      </c>
      <c r="W120" s="1" t="s">
        <v>180</v>
      </c>
      <c r="X120" s="1" t="str">
        <f>VLOOKUP(V120,Broker_Directory!A:C,3,FALSE)</f>
        <v>Tier B</v>
      </c>
      <c r="Y120" s="1">
        <f>HLOOKUP(X120, Commission_Rates!A$1:C$2, 2, FALSE)</f>
        <v>1.4999999999999999E-2</v>
      </c>
      <c r="Z120" s="1">
        <f t="shared" si="3"/>
        <v>0</v>
      </c>
      <c r="AA120" s="1">
        <f t="shared" si="4"/>
        <v>0</v>
      </c>
      <c r="AB120" s="1">
        <f t="shared" si="5"/>
        <v>0</v>
      </c>
    </row>
    <row r="121" spans="1:28" x14ac:dyDescent="0.3">
      <c r="A121" s="1" t="s">
        <v>53</v>
      </c>
      <c r="B121" s="1" t="s">
        <v>105</v>
      </c>
      <c r="C121">
        <v>2</v>
      </c>
      <c r="D121">
        <v>4</v>
      </c>
      <c r="E121">
        <v>4632</v>
      </c>
      <c r="F121">
        <v>5725</v>
      </c>
      <c r="G121">
        <v>3</v>
      </c>
      <c r="H121">
        <v>1978</v>
      </c>
      <c r="I121">
        <v>0</v>
      </c>
      <c r="J121" s="1" t="s">
        <v>58</v>
      </c>
      <c r="K121">
        <v>2</v>
      </c>
      <c r="L121" s="1" t="s">
        <v>41</v>
      </c>
      <c r="M121" s="1" t="s">
        <v>27</v>
      </c>
      <c r="N121" s="1" t="s">
        <v>35</v>
      </c>
      <c r="O121">
        <v>6</v>
      </c>
      <c r="P121">
        <v>1</v>
      </c>
      <c r="Q121" s="1" t="s">
        <v>116</v>
      </c>
      <c r="R121">
        <v>3</v>
      </c>
      <c r="S121" s="1" t="s">
        <v>27</v>
      </c>
      <c r="T121">
        <v>42013000</v>
      </c>
      <c r="U121" t="s">
        <v>184</v>
      </c>
      <c r="V121" s="1" t="s">
        <v>168</v>
      </c>
      <c r="W121" s="1" t="s">
        <v>169</v>
      </c>
      <c r="X121" s="1" t="str">
        <f>VLOOKUP(V121,Broker_Directory!A:C,3,FALSE)</f>
        <v>Tier A</v>
      </c>
      <c r="Y121" s="1">
        <f>HLOOKUP(X121, Commission_Rates!A$1:C$2, 2, FALSE)</f>
        <v>0.02</v>
      </c>
      <c r="Z121" s="1">
        <f t="shared" si="3"/>
        <v>840260</v>
      </c>
      <c r="AA121" s="1">
        <f t="shared" si="4"/>
        <v>1260390</v>
      </c>
      <c r="AB121" s="1">
        <f t="shared" si="5"/>
        <v>420130</v>
      </c>
    </row>
    <row r="122" spans="1:28" x14ac:dyDescent="0.3">
      <c r="A122" s="1" t="s">
        <v>28</v>
      </c>
      <c r="B122" s="1" t="s">
        <v>79</v>
      </c>
      <c r="C122">
        <v>2</v>
      </c>
      <c r="D122">
        <v>1</v>
      </c>
      <c r="E122">
        <v>563</v>
      </c>
      <c r="F122">
        <v>7481</v>
      </c>
      <c r="G122">
        <v>3</v>
      </c>
      <c r="H122">
        <v>1952</v>
      </c>
      <c r="I122">
        <v>1981</v>
      </c>
      <c r="J122" s="1" t="s">
        <v>52</v>
      </c>
      <c r="K122">
        <v>0</v>
      </c>
      <c r="L122" s="1" t="s">
        <v>23</v>
      </c>
      <c r="M122" s="1" t="s">
        <v>24</v>
      </c>
      <c r="N122" s="1" t="s">
        <v>46</v>
      </c>
      <c r="O122">
        <v>9</v>
      </c>
      <c r="P122">
        <v>5</v>
      </c>
      <c r="Q122" s="1" t="s">
        <v>80</v>
      </c>
      <c r="R122">
        <v>1</v>
      </c>
      <c r="S122" s="1" t="s">
        <v>24</v>
      </c>
      <c r="T122">
        <v>5910000</v>
      </c>
      <c r="U122" t="s">
        <v>183</v>
      </c>
      <c r="V122" s="1" t="s">
        <v>174</v>
      </c>
      <c r="W122" s="1" t="s">
        <v>175</v>
      </c>
      <c r="X122" s="1" t="str">
        <f>VLOOKUP(V122,Broker_Directory!A:C,3,FALSE)</f>
        <v>Tier A</v>
      </c>
      <c r="Y122" s="1">
        <f>HLOOKUP(X122, Commission_Rates!A$1:C$2, 2, FALSE)</f>
        <v>0.02</v>
      </c>
      <c r="Z122" s="1">
        <f t="shared" si="3"/>
        <v>0</v>
      </c>
      <c r="AA122" s="1">
        <f t="shared" si="4"/>
        <v>0</v>
      </c>
      <c r="AB122" s="1">
        <f t="shared" si="5"/>
        <v>0</v>
      </c>
    </row>
    <row r="123" spans="1:28" x14ac:dyDescent="0.3">
      <c r="A123" s="1" t="s">
        <v>37</v>
      </c>
      <c r="B123" s="1" t="s">
        <v>72</v>
      </c>
      <c r="C123">
        <v>2</v>
      </c>
      <c r="D123">
        <v>2</v>
      </c>
      <c r="E123">
        <v>762</v>
      </c>
      <c r="F123">
        <v>3107</v>
      </c>
      <c r="G123">
        <v>3</v>
      </c>
      <c r="H123">
        <v>1987</v>
      </c>
      <c r="I123">
        <v>2000</v>
      </c>
      <c r="J123" s="1" t="s">
        <v>30</v>
      </c>
      <c r="K123">
        <v>2</v>
      </c>
      <c r="L123" s="1" t="s">
        <v>31</v>
      </c>
      <c r="M123" s="1" t="s">
        <v>27</v>
      </c>
      <c r="N123" s="1" t="s">
        <v>25</v>
      </c>
      <c r="O123">
        <v>10</v>
      </c>
      <c r="P123">
        <v>4</v>
      </c>
      <c r="Q123" s="1" t="s">
        <v>73</v>
      </c>
      <c r="R123">
        <v>3</v>
      </c>
      <c r="S123" s="1" t="s">
        <v>27</v>
      </c>
      <c r="T123">
        <v>6436000</v>
      </c>
      <c r="U123" t="s">
        <v>182</v>
      </c>
      <c r="V123" s="1" t="s">
        <v>174</v>
      </c>
      <c r="W123" s="1" t="s">
        <v>175</v>
      </c>
      <c r="X123" s="1" t="str">
        <f>VLOOKUP(V123,Broker_Directory!A:C,3,FALSE)</f>
        <v>Tier A</v>
      </c>
      <c r="Y123" s="1">
        <f>HLOOKUP(X123, Commission_Rates!A$1:C$2, 2, FALSE)</f>
        <v>0.02</v>
      </c>
      <c r="Z123" s="1">
        <f t="shared" si="3"/>
        <v>0</v>
      </c>
      <c r="AA123" s="1">
        <f t="shared" si="4"/>
        <v>0</v>
      </c>
      <c r="AB123" s="1">
        <f t="shared" si="5"/>
        <v>0</v>
      </c>
    </row>
    <row r="124" spans="1:28" x14ac:dyDescent="0.3">
      <c r="A124" s="1" t="s">
        <v>53</v>
      </c>
      <c r="B124" s="1" t="s">
        <v>105</v>
      </c>
      <c r="C124">
        <v>5</v>
      </c>
      <c r="D124">
        <v>2</v>
      </c>
      <c r="E124">
        <v>3799</v>
      </c>
      <c r="F124">
        <v>8402</v>
      </c>
      <c r="G124">
        <v>2</v>
      </c>
      <c r="H124">
        <v>1956</v>
      </c>
      <c r="I124">
        <v>1999</v>
      </c>
      <c r="J124" s="1" t="s">
        <v>22</v>
      </c>
      <c r="K124">
        <v>2</v>
      </c>
      <c r="L124" s="1" t="s">
        <v>41</v>
      </c>
      <c r="M124" s="1" t="s">
        <v>27</v>
      </c>
      <c r="N124" s="1" t="s">
        <v>25</v>
      </c>
      <c r="O124">
        <v>4</v>
      </c>
      <c r="P124">
        <v>3</v>
      </c>
      <c r="Q124" s="1" t="s">
        <v>116</v>
      </c>
      <c r="R124">
        <v>3</v>
      </c>
      <c r="S124" s="1" t="s">
        <v>24</v>
      </c>
      <c r="T124">
        <v>34711000</v>
      </c>
      <c r="U124" t="s">
        <v>183</v>
      </c>
      <c r="V124" s="1" t="s">
        <v>176</v>
      </c>
      <c r="W124" s="1" t="s">
        <v>177</v>
      </c>
      <c r="X124" s="1" t="str">
        <f>VLOOKUP(V124,Broker_Directory!A:C,3,FALSE)</f>
        <v>Tier C</v>
      </c>
      <c r="Y124" s="1">
        <f>HLOOKUP(X124, Commission_Rates!A$1:C$2, 2, FALSE)</f>
        <v>0.01</v>
      </c>
      <c r="Z124" s="1">
        <f t="shared" si="3"/>
        <v>0</v>
      </c>
      <c r="AA124" s="1">
        <f t="shared" si="4"/>
        <v>0</v>
      </c>
      <c r="AB124" s="1">
        <f t="shared" si="5"/>
        <v>0</v>
      </c>
    </row>
    <row r="125" spans="1:28" x14ac:dyDescent="0.3">
      <c r="A125" s="1" t="s">
        <v>28</v>
      </c>
      <c r="B125" s="1" t="s">
        <v>79</v>
      </c>
      <c r="C125">
        <v>2</v>
      </c>
      <c r="D125">
        <v>4</v>
      </c>
      <c r="E125">
        <v>772</v>
      </c>
      <c r="F125">
        <v>7583</v>
      </c>
      <c r="G125">
        <v>2</v>
      </c>
      <c r="H125">
        <v>2021</v>
      </c>
      <c r="I125">
        <v>2024</v>
      </c>
      <c r="J125" s="1" t="s">
        <v>52</v>
      </c>
      <c r="K125">
        <v>3</v>
      </c>
      <c r="L125" s="1" t="s">
        <v>31</v>
      </c>
      <c r="M125" s="1" t="s">
        <v>27</v>
      </c>
      <c r="N125" s="1" t="s">
        <v>25</v>
      </c>
      <c r="O125">
        <v>5</v>
      </c>
      <c r="P125">
        <v>5</v>
      </c>
      <c r="Q125" s="1" t="s">
        <v>80</v>
      </c>
      <c r="R125">
        <v>3</v>
      </c>
      <c r="S125" s="1" t="s">
        <v>27</v>
      </c>
      <c r="T125">
        <v>8100000</v>
      </c>
      <c r="U125" t="s">
        <v>183</v>
      </c>
      <c r="V125" s="1" t="s">
        <v>168</v>
      </c>
      <c r="W125" s="1" t="s">
        <v>169</v>
      </c>
      <c r="X125" s="1" t="str">
        <f>VLOOKUP(V125,Broker_Directory!A:C,3,FALSE)</f>
        <v>Tier A</v>
      </c>
      <c r="Y125" s="1">
        <f>HLOOKUP(X125, Commission_Rates!A$1:C$2, 2, FALSE)</f>
        <v>0.02</v>
      </c>
      <c r="Z125" s="1">
        <f t="shared" si="3"/>
        <v>0</v>
      </c>
      <c r="AA125" s="1">
        <f t="shared" si="4"/>
        <v>0</v>
      </c>
      <c r="AB125" s="1">
        <f t="shared" si="5"/>
        <v>0</v>
      </c>
    </row>
    <row r="126" spans="1:28" x14ac:dyDescent="0.3">
      <c r="A126" s="1" t="s">
        <v>20</v>
      </c>
      <c r="B126" s="1" t="s">
        <v>133</v>
      </c>
      <c r="C126">
        <v>2</v>
      </c>
      <c r="D126">
        <v>1</v>
      </c>
      <c r="E126">
        <v>2499</v>
      </c>
      <c r="F126">
        <v>5638</v>
      </c>
      <c r="G126">
        <v>3</v>
      </c>
      <c r="H126">
        <v>1955</v>
      </c>
      <c r="I126">
        <v>1963</v>
      </c>
      <c r="J126" s="1" t="s">
        <v>52</v>
      </c>
      <c r="K126">
        <v>1</v>
      </c>
      <c r="L126" s="1" t="s">
        <v>41</v>
      </c>
      <c r="M126" s="1" t="s">
        <v>24</v>
      </c>
      <c r="N126" s="1" t="s">
        <v>46</v>
      </c>
      <c r="O126">
        <v>4</v>
      </c>
      <c r="P126">
        <v>0</v>
      </c>
      <c r="Q126" s="1" t="s">
        <v>134</v>
      </c>
      <c r="R126">
        <v>1</v>
      </c>
      <c r="S126" s="1" t="s">
        <v>24</v>
      </c>
      <c r="T126">
        <v>30268000</v>
      </c>
      <c r="U126" t="s">
        <v>183</v>
      </c>
      <c r="V126" s="1" t="s">
        <v>168</v>
      </c>
      <c r="W126" s="1" t="s">
        <v>169</v>
      </c>
      <c r="X126" s="1" t="str">
        <f>VLOOKUP(V126,Broker_Directory!A:C,3,FALSE)</f>
        <v>Tier A</v>
      </c>
      <c r="Y126" s="1">
        <f>HLOOKUP(X126, Commission_Rates!A$1:C$2, 2, FALSE)</f>
        <v>0.02</v>
      </c>
      <c r="Z126" s="1">
        <f t="shared" si="3"/>
        <v>0</v>
      </c>
      <c r="AA126" s="1">
        <f t="shared" si="4"/>
        <v>0</v>
      </c>
      <c r="AB126" s="1">
        <f t="shared" si="5"/>
        <v>0</v>
      </c>
    </row>
    <row r="127" spans="1:28" x14ac:dyDescent="0.3">
      <c r="A127" s="1" t="s">
        <v>37</v>
      </c>
      <c r="B127" s="1" t="s">
        <v>62</v>
      </c>
      <c r="C127">
        <v>5</v>
      </c>
      <c r="D127">
        <v>2</v>
      </c>
      <c r="E127">
        <v>3549</v>
      </c>
      <c r="F127">
        <v>5559</v>
      </c>
      <c r="G127">
        <v>3</v>
      </c>
      <c r="H127">
        <v>1991</v>
      </c>
      <c r="I127">
        <v>2008</v>
      </c>
      <c r="J127" s="1" t="s">
        <v>22</v>
      </c>
      <c r="K127">
        <v>3</v>
      </c>
      <c r="L127" s="1" t="s">
        <v>64</v>
      </c>
      <c r="M127" s="1" t="s">
        <v>27</v>
      </c>
      <c r="N127" s="1" t="s">
        <v>46</v>
      </c>
      <c r="O127">
        <v>5</v>
      </c>
      <c r="P127">
        <v>4</v>
      </c>
      <c r="Q127" s="1" t="s">
        <v>97</v>
      </c>
      <c r="R127">
        <v>3</v>
      </c>
      <c r="S127" s="1" t="s">
        <v>24</v>
      </c>
      <c r="T127">
        <v>28857000</v>
      </c>
      <c r="U127" t="s">
        <v>182</v>
      </c>
      <c r="V127" s="1" t="s">
        <v>168</v>
      </c>
      <c r="W127" s="1" t="s">
        <v>169</v>
      </c>
      <c r="X127" s="1" t="str">
        <f>VLOOKUP(V127,Broker_Directory!A:C,3,FALSE)</f>
        <v>Tier A</v>
      </c>
      <c r="Y127" s="1">
        <f>HLOOKUP(X127, Commission_Rates!A$1:C$2, 2, FALSE)</f>
        <v>0.02</v>
      </c>
      <c r="Z127" s="1">
        <f t="shared" si="3"/>
        <v>0</v>
      </c>
      <c r="AA127" s="1">
        <f t="shared" si="4"/>
        <v>0</v>
      </c>
      <c r="AB127" s="1">
        <f t="shared" si="5"/>
        <v>0</v>
      </c>
    </row>
    <row r="128" spans="1:28" x14ac:dyDescent="0.3">
      <c r="A128" s="1" t="s">
        <v>37</v>
      </c>
      <c r="B128" s="1" t="s">
        <v>38</v>
      </c>
      <c r="C128">
        <v>2</v>
      </c>
      <c r="D128">
        <v>3</v>
      </c>
      <c r="E128">
        <v>2863</v>
      </c>
      <c r="F128">
        <v>6303</v>
      </c>
      <c r="G128">
        <v>1</v>
      </c>
      <c r="H128">
        <v>2022</v>
      </c>
      <c r="I128">
        <v>2022</v>
      </c>
      <c r="J128" s="1" t="s">
        <v>52</v>
      </c>
      <c r="K128">
        <v>0</v>
      </c>
      <c r="L128" s="1" t="s">
        <v>64</v>
      </c>
      <c r="M128" s="1" t="s">
        <v>27</v>
      </c>
      <c r="N128" s="1" t="s">
        <v>46</v>
      </c>
      <c r="O128">
        <v>2</v>
      </c>
      <c r="P128">
        <v>1</v>
      </c>
      <c r="Q128" s="1" t="s">
        <v>39</v>
      </c>
      <c r="R128">
        <v>1</v>
      </c>
      <c r="S128" s="1" t="s">
        <v>27</v>
      </c>
      <c r="T128">
        <v>23129000</v>
      </c>
      <c r="U128" t="s">
        <v>182</v>
      </c>
      <c r="V128" s="1" t="s">
        <v>179</v>
      </c>
      <c r="W128" s="1" t="s">
        <v>180</v>
      </c>
      <c r="X128" s="1" t="str">
        <f>VLOOKUP(V128,Broker_Directory!A:C,3,FALSE)</f>
        <v>Tier B</v>
      </c>
      <c r="Y128" s="1">
        <f>HLOOKUP(X128, Commission_Rates!A$1:C$2, 2, FALSE)</f>
        <v>1.4999999999999999E-2</v>
      </c>
      <c r="Z128" s="1">
        <f t="shared" si="3"/>
        <v>0</v>
      </c>
      <c r="AA128" s="1">
        <f t="shared" si="4"/>
        <v>0</v>
      </c>
      <c r="AB128" s="1">
        <f t="shared" si="5"/>
        <v>0</v>
      </c>
    </row>
    <row r="129" spans="1:28" x14ac:dyDescent="0.3">
      <c r="A129" s="1" t="s">
        <v>33</v>
      </c>
      <c r="B129" s="1" t="s">
        <v>75</v>
      </c>
      <c r="C129">
        <v>4</v>
      </c>
      <c r="D129">
        <v>3</v>
      </c>
      <c r="E129">
        <v>2408</v>
      </c>
      <c r="F129">
        <v>8711</v>
      </c>
      <c r="G129">
        <v>2</v>
      </c>
      <c r="H129">
        <v>2012</v>
      </c>
      <c r="I129">
        <v>2018</v>
      </c>
      <c r="J129" s="1" t="s">
        <v>52</v>
      </c>
      <c r="K129">
        <v>2</v>
      </c>
      <c r="L129" s="1" t="s">
        <v>31</v>
      </c>
      <c r="M129" s="1" t="s">
        <v>24</v>
      </c>
      <c r="N129" s="1" t="s">
        <v>35</v>
      </c>
      <c r="O129">
        <v>8</v>
      </c>
      <c r="P129">
        <v>3</v>
      </c>
      <c r="Q129" s="1" t="s">
        <v>135</v>
      </c>
      <c r="R129">
        <v>0</v>
      </c>
      <c r="S129" s="1" t="s">
        <v>24</v>
      </c>
      <c r="T129">
        <v>20873000</v>
      </c>
      <c r="U129" t="s">
        <v>182</v>
      </c>
      <c r="V129" s="1" t="s">
        <v>171</v>
      </c>
      <c r="W129" s="1" t="s">
        <v>172</v>
      </c>
      <c r="X129" s="1" t="str">
        <f>VLOOKUP(V129,Broker_Directory!A:C,3,FALSE)</f>
        <v>Tier B</v>
      </c>
      <c r="Y129" s="1">
        <f>HLOOKUP(X129, Commission_Rates!A$1:C$2, 2, FALSE)</f>
        <v>1.4999999999999999E-2</v>
      </c>
      <c r="Z129" s="1">
        <f t="shared" si="3"/>
        <v>0</v>
      </c>
      <c r="AA129" s="1">
        <f t="shared" si="4"/>
        <v>0</v>
      </c>
      <c r="AB129" s="1">
        <f t="shared" si="5"/>
        <v>0</v>
      </c>
    </row>
    <row r="130" spans="1:28" x14ac:dyDescent="0.3">
      <c r="A130" s="1" t="s">
        <v>20</v>
      </c>
      <c r="B130" s="1" t="s">
        <v>21</v>
      </c>
      <c r="C130">
        <v>1</v>
      </c>
      <c r="D130">
        <v>4</v>
      </c>
      <c r="E130">
        <v>1426</v>
      </c>
      <c r="F130">
        <v>5267</v>
      </c>
      <c r="G130">
        <v>1</v>
      </c>
      <c r="H130">
        <v>1969</v>
      </c>
      <c r="I130">
        <v>0</v>
      </c>
      <c r="J130" s="1" t="s">
        <v>52</v>
      </c>
      <c r="K130">
        <v>3</v>
      </c>
      <c r="L130" s="1" t="s">
        <v>64</v>
      </c>
      <c r="M130" s="1" t="s">
        <v>24</v>
      </c>
      <c r="N130" s="1" t="s">
        <v>35</v>
      </c>
      <c r="O130">
        <v>10</v>
      </c>
      <c r="P130">
        <v>5</v>
      </c>
      <c r="Q130" s="1" t="s">
        <v>102</v>
      </c>
      <c r="R130">
        <v>3</v>
      </c>
      <c r="S130" s="1" t="s">
        <v>24</v>
      </c>
      <c r="T130">
        <v>17422000</v>
      </c>
      <c r="U130" t="s">
        <v>184</v>
      </c>
      <c r="V130" s="1" t="s">
        <v>179</v>
      </c>
      <c r="W130" s="1" t="s">
        <v>180</v>
      </c>
      <c r="X130" s="1" t="str">
        <f>VLOOKUP(V130,Broker_Directory!A:C,3,FALSE)</f>
        <v>Tier B</v>
      </c>
      <c r="Y130" s="1">
        <f>HLOOKUP(X130, Commission_Rates!A$1:C$2, 2, FALSE)</f>
        <v>1.4999999999999999E-2</v>
      </c>
      <c r="Z130" s="1">
        <f t="shared" ref="Z130:Z193" si="6">IF(U130="Sold",T130*Y130,0)</f>
        <v>261330</v>
      </c>
      <c r="AA130" s="1">
        <f t="shared" ref="AA130:AA193" si="7">IF(U130="Sold", T130 * 0.03, 0)</f>
        <v>522660</v>
      </c>
      <c r="AB130" s="1">
        <f t="shared" ref="AB130:AB193" si="8">AA130 - Z130</f>
        <v>261330</v>
      </c>
    </row>
    <row r="131" spans="1:28" x14ac:dyDescent="0.3">
      <c r="A131" s="1" t="s">
        <v>20</v>
      </c>
      <c r="B131" s="1" t="s">
        <v>133</v>
      </c>
      <c r="C131">
        <v>5</v>
      </c>
      <c r="D131">
        <v>4</v>
      </c>
      <c r="E131">
        <v>397</v>
      </c>
      <c r="F131">
        <v>721</v>
      </c>
      <c r="G131">
        <v>3</v>
      </c>
      <c r="H131">
        <v>1985</v>
      </c>
      <c r="I131">
        <v>2018</v>
      </c>
      <c r="J131" s="1" t="s">
        <v>30</v>
      </c>
      <c r="K131">
        <v>0</v>
      </c>
      <c r="L131" s="1" t="s">
        <v>41</v>
      </c>
      <c r="M131" s="1" t="s">
        <v>24</v>
      </c>
      <c r="N131" s="1" t="s">
        <v>25</v>
      </c>
      <c r="O131">
        <v>1</v>
      </c>
      <c r="P131">
        <v>4</v>
      </c>
      <c r="Q131" s="1" t="s">
        <v>134</v>
      </c>
      <c r="R131">
        <v>1</v>
      </c>
      <c r="S131" s="1" t="s">
        <v>24</v>
      </c>
      <c r="T131">
        <v>5359000</v>
      </c>
      <c r="U131" t="s">
        <v>184</v>
      </c>
      <c r="V131" s="1" t="s">
        <v>176</v>
      </c>
      <c r="W131" s="1" t="s">
        <v>177</v>
      </c>
      <c r="X131" s="1" t="str">
        <f>VLOOKUP(V131,Broker_Directory!A:C,3,FALSE)</f>
        <v>Tier C</v>
      </c>
      <c r="Y131" s="1">
        <f>HLOOKUP(X131, Commission_Rates!A$1:C$2, 2, FALSE)</f>
        <v>0.01</v>
      </c>
      <c r="Z131" s="1">
        <f t="shared" si="6"/>
        <v>53590</v>
      </c>
      <c r="AA131" s="1">
        <f t="shared" si="7"/>
        <v>160770</v>
      </c>
      <c r="AB131" s="1">
        <f t="shared" si="8"/>
        <v>107180</v>
      </c>
    </row>
    <row r="132" spans="1:28" x14ac:dyDescent="0.3">
      <c r="A132" s="1" t="s">
        <v>33</v>
      </c>
      <c r="B132" s="1" t="s">
        <v>43</v>
      </c>
      <c r="C132">
        <v>3</v>
      </c>
      <c r="D132">
        <v>3</v>
      </c>
      <c r="E132">
        <v>2489</v>
      </c>
      <c r="F132">
        <v>9051</v>
      </c>
      <c r="G132">
        <v>2</v>
      </c>
      <c r="H132">
        <v>1960</v>
      </c>
      <c r="I132">
        <v>2006</v>
      </c>
      <c r="J132" s="1" t="s">
        <v>22</v>
      </c>
      <c r="K132">
        <v>3</v>
      </c>
      <c r="L132" s="1" t="s">
        <v>31</v>
      </c>
      <c r="M132" s="1" t="s">
        <v>24</v>
      </c>
      <c r="N132" s="1" t="s">
        <v>46</v>
      </c>
      <c r="O132">
        <v>10</v>
      </c>
      <c r="P132">
        <v>0</v>
      </c>
      <c r="Q132" s="1" t="s">
        <v>83</v>
      </c>
      <c r="R132">
        <v>0</v>
      </c>
      <c r="S132" s="1" t="s">
        <v>27</v>
      </c>
      <c r="T132">
        <v>21461500</v>
      </c>
      <c r="U132" t="s">
        <v>183</v>
      </c>
      <c r="V132" s="1" t="s">
        <v>168</v>
      </c>
      <c r="W132" s="1" t="s">
        <v>169</v>
      </c>
      <c r="X132" s="1" t="str">
        <f>VLOOKUP(V132,Broker_Directory!A:C,3,FALSE)</f>
        <v>Tier A</v>
      </c>
      <c r="Y132" s="1">
        <f>HLOOKUP(X132, Commission_Rates!A$1:C$2, 2, FALSE)</f>
        <v>0.02</v>
      </c>
      <c r="Z132" s="1">
        <f t="shared" si="6"/>
        <v>0</v>
      </c>
      <c r="AA132" s="1">
        <f t="shared" si="7"/>
        <v>0</v>
      </c>
      <c r="AB132" s="1">
        <f t="shared" si="8"/>
        <v>0</v>
      </c>
    </row>
    <row r="133" spans="1:28" x14ac:dyDescent="0.3">
      <c r="A133" s="1" t="s">
        <v>37</v>
      </c>
      <c r="B133" s="1" t="s">
        <v>72</v>
      </c>
      <c r="C133">
        <v>5</v>
      </c>
      <c r="D133">
        <v>4</v>
      </c>
      <c r="E133">
        <v>759</v>
      </c>
      <c r="F133">
        <v>963</v>
      </c>
      <c r="G133">
        <v>3</v>
      </c>
      <c r="H133">
        <v>1971</v>
      </c>
      <c r="I133">
        <v>1975</v>
      </c>
      <c r="J133" s="1" t="s">
        <v>22</v>
      </c>
      <c r="K133">
        <v>3</v>
      </c>
      <c r="L133" s="1" t="s">
        <v>64</v>
      </c>
      <c r="M133" s="1" t="s">
        <v>24</v>
      </c>
      <c r="N133" s="1" t="s">
        <v>35</v>
      </c>
      <c r="O133">
        <v>0</v>
      </c>
      <c r="P133">
        <v>1</v>
      </c>
      <c r="Q133" s="1" t="s">
        <v>73</v>
      </c>
      <c r="R133">
        <v>3</v>
      </c>
      <c r="S133" s="1" t="s">
        <v>27</v>
      </c>
      <c r="T133">
        <v>6572000</v>
      </c>
      <c r="U133" t="s">
        <v>182</v>
      </c>
      <c r="V133" s="1" t="s">
        <v>176</v>
      </c>
      <c r="W133" s="1" t="s">
        <v>177</v>
      </c>
      <c r="X133" s="1" t="str">
        <f>VLOOKUP(V133,Broker_Directory!A:C,3,FALSE)</f>
        <v>Tier C</v>
      </c>
      <c r="Y133" s="1">
        <f>HLOOKUP(X133, Commission_Rates!A$1:C$2, 2, FALSE)</f>
        <v>0.01</v>
      </c>
      <c r="Z133" s="1">
        <f t="shared" si="6"/>
        <v>0</v>
      </c>
      <c r="AA133" s="1">
        <f t="shared" si="7"/>
        <v>0</v>
      </c>
      <c r="AB133" s="1">
        <f t="shared" si="8"/>
        <v>0</v>
      </c>
    </row>
    <row r="134" spans="1:28" x14ac:dyDescent="0.3">
      <c r="A134" s="1" t="s">
        <v>20</v>
      </c>
      <c r="B134" s="1" t="s">
        <v>21</v>
      </c>
      <c r="C134">
        <v>3</v>
      </c>
      <c r="D134">
        <v>1</v>
      </c>
      <c r="E134">
        <v>1769</v>
      </c>
      <c r="F134">
        <v>9427</v>
      </c>
      <c r="G134">
        <v>2</v>
      </c>
      <c r="H134">
        <v>1952</v>
      </c>
      <c r="I134">
        <v>1977</v>
      </c>
      <c r="J134" s="1" t="s">
        <v>52</v>
      </c>
      <c r="K134">
        <v>3</v>
      </c>
      <c r="L134" s="1" t="s">
        <v>23</v>
      </c>
      <c r="M134" s="1" t="s">
        <v>27</v>
      </c>
      <c r="N134" s="1" t="s">
        <v>25</v>
      </c>
      <c r="O134">
        <v>9</v>
      </c>
      <c r="P134">
        <v>1</v>
      </c>
      <c r="Q134" s="1" t="s">
        <v>102</v>
      </c>
      <c r="R134">
        <v>2</v>
      </c>
      <c r="S134" s="1" t="s">
        <v>27</v>
      </c>
      <c r="T134">
        <v>21553000</v>
      </c>
      <c r="U134" t="s">
        <v>182</v>
      </c>
      <c r="V134" s="1" t="s">
        <v>176</v>
      </c>
      <c r="W134" s="1" t="s">
        <v>177</v>
      </c>
      <c r="X134" s="1" t="str">
        <f>VLOOKUP(V134,Broker_Directory!A:C,3,FALSE)</f>
        <v>Tier C</v>
      </c>
      <c r="Y134" s="1">
        <f>HLOOKUP(X134, Commission_Rates!A$1:C$2, 2, FALSE)</f>
        <v>0.01</v>
      </c>
      <c r="Z134" s="1">
        <f t="shared" si="6"/>
        <v>0</v>
      </c>
      <c r="AA134" s="1">
        <f t="shared" si="7"/>
        <v>0</v>
      </c>
      <c r="AB134" s="1">
        <f t="shared" si="8"/>
        <v>0</v>
      </c>
    </row>
    <row r="135" spans="1:28" x14ac:dyDescent="0.3">
      <c r="A135" s="1" t="s">
        <v>28</v>
      </c>
      <c r="B135" s="1" t="s">
        <v>60</v>
      </c>
      <c r="C135">
        <v>5</v>
      </c>
      <c r="D135">
        <v>3</v>
      </c>
      <c r="E135">
        <v>739</v>
      </c>
      <c r="F135">
        <v>2389</v>
      </c>
      <c r="G135">
        <v>2</v>
      </c>
      <c r="H135">
        <v>1979</v>
      </c>
      <c r="I135">
        <v>1982</v>
      </c>
      <c r="J135" s="1" t="s">
        <v>30</v>
      </c>
      <c r="K135">
        <v>3</v>
      </c>
      <c r="L135" s="1" t="s">
        <v>64</v>
      </c>
      <c r="M135" s="1" t="s">
        <v>24</v>
      </c>
      <c r="N135" s="1" t="s">
        <v>35</v>
      </c>
      <c r="O135">
        <v>4</v>
      </c>
      <c r="P135">
        <v>3</v>
      </c>
      <c r="Q135" s="1" t="s">
        <v>136</v>
      </c>
      <c r="R135">
        <v>1</v>
      </c>
      <c r="S135" s="1" t="s">
        <v>27</v>
      </c>
      <c r="T135">
        <v>7810000</v>
      </c>
      <c r="U135" t="s">
        <v>182</v>
      </c>
      <c r="V135" s="1" t="s">
        <v>168</v>
      </c>
      <c r="W135" s="1" t="s">
        <v>169</v>
      </c>
      <c r="X135" s="1" t="str">
        <f>VLOOKUP(V135,Broker_Directory!A:C,3,FALSE)</f>
        <v>Tier A</v>
      </c>
      <c r="Y135" s="1">
        <f>HLOOKUP(X135, Commission_Rates!A$1:C$2, 2, FALSE)</f>
        <v>0.02</v>
      </c>
      <c r="Z135" s="1">
        <f t="shared" si="6"/>
        <v>0</v>
      </c>
      <c r="AA135" s="1">
        <f t="shared" si="7"/>
        <v>0</v>
      </c>
      <c r="AB135" s="1">
        <f t="shared" si="8"/>
        <v>0</v>
      </c>
    </row>
    <row r="136" spans="1:28" x14ac:dyDescent="0.3">
      <c r="A136" s="1" t="s">
        <v>33</v>
      </c>
      <c r="B136" s="1" t="s">
        <v>98</v>
      </c>
      <c r="C136">
        <v>4</v>
      </c>
      <c r="D136">
        <v>2</v>
      </c>
      <c r="E136">
        <v>3413</v>
      </c>
      <c r="F136">
        <v>4165</v>
      </c>
      <c r="G136">
        <v>3</v>
      </c>
      <c r="H136">
        <v>1987</v>
      </c>
      <c r="I136">
        <v>2001</v>
      </c>
      <c r="J136" s="1" t="s">
        <v>58</v>
      </c>
      <c r="K136">
        <v>0</v>
      </c>
      <c r="L136" s="1" t="s">
        <v>64</v>
      </c>
      <c r="M136" s="1" t="s">
        <v>24</v>
      </c>
      <c r="N136" s="1" t="s">
        <v>46</v>
      </c>
      <c r="O136">
        <v>10</v>
      </c>
      <c r="P136">
        <v>1</v>
      </c>
      <c r="Q136" s="1" t="s">
        <v>99</v>
      </c>
      <c r="R136">
        <v>2</v>
      </c>
      <c r="S136" s="1" t="s">
        <v>27</v>
      </c>
      <c r="T136">
        <v>29385500</v>
      </c>
      <c r="U136" t="s">
        <v>184</v>
      </c>
      <c r="V136" s="1" t="s">
        <v>171</v>
      </c>
      <c r="W136" s="1" t="s">
        <v>172</v>
      </c>
      <c r="X136" s="1" t="str">
        <f>VLOOKUP(V136,Broker_Directory!A:C,3,FALSE)</f>
        <v>Tier B</v>
      </c>
      <c r="Y136" s="1">
        <f>HLOOKUP(X136, Commission_Rates!A$1:C$2, 2, FALSE)</f>
        <v>1.4999999999999999E-2</v>
      </c>
      <c r="Z136" s="1">
        <f t="shared" si="6"/>
        <v>440782.5</v>
      </c>
      <c r="AA136" s="1">
        <f t="shared" si="7"/>
        <v>881565</v>
      </c>
      <c r="AB136" s="1">
        <f t="shared" si="8"/>
        <v>440782.5</v>
      </c>
    </row>
    <row r="137" spans="1:28" x14ac:dyDescent="0.3">
      <c r="A137" s="1" t="s">
        <v>20</v>
      </c>
      <c r="B137" s="1" t="s">
        <v>21</v>
      </c>
      <c r="C137">
        <v>1</v>
      </c>
      <c r="D137">
        <v>3</v>
      </c>
      <c r="E137">
        <v>3943</v>
      </c>
      <c r="F137">
        <v>6941</v>
      </c>
      <c r="G137">
        <v>2</v>
      </c>
      <c r="H137">
        <v>1963</v>
      </c>
      <c r="I137">
        <v>1978</v>
      </c>
      <c r="J137" s="1" t="s">
        <v>58</v>
      </c>
      <c r="K137">
        <v>1</v>
      </c>
      <c r="L137" s="1" t="s">
        <v>41</v>
      </c>
      <c r="M137" s="1" t="s">
        <v>27</v>
      </c>
      <c r="N137" s="1" t="s">
        <v>35</v>
      </c>
      <c r="O137">
        <v>8</v>
      </c>
      <c r="P137">
        <v>4</v>
      </c>
      <c r="Q137" s="1" t="s">
        <v>102</v>
      </c>
      <c r="R137">
        <v>0</v>
      </c>
      <c r="S137" s="1" t="s">
        <v>24</v>
      </c>
      <c r="T137">
        <v>47546000</v>
      </c>
      <c r="U137" t="s">
        <v>182</v>
      </c>
      <c r="V137" s="1" t="s">
        <v>174</v>
      </c>
      <c r="W137" s="1" t="s">
        <v>175</v>
      </c>
      <c r="X137" s="1" t="str">
        <f>VLOOKUP(V137,Broker_Directory!A:C,3,FALSE)</f>
        <v>Tier A</v>
      </c>
      <c r="Y137" s="1">
        <f>HLOOKUP(X137, Commission_Rates!A$1:C$2, 2, FALSE)</f>
        <v>0.02</v>
      </c>
      <c r="Z137" s="1">
        <f t="shared" si="6"/>
        <v>0</v>
      </c>
      <c r="AA137" s="1">
        <f t="shared" si="7"/>
        <v>0</v>
      </c>
      <c r="AB137" s="1">
        <f t="shared" si="8"/>
        <v>0</v>
      </c>
    </row>
    <row r="138" spans="1:28" x14ac:dyDescent="0.3">
      <c r="A138" s="1" t="s">
        <v>20</v>
      </c>
      <c r="B138" s="1" t="s">
        <v>69</v>
      </c>
      <c r="C138">
        <v>5</v>
      </c>
      <c r="D138">
        <v>1</v>
      </c>
      <c r="E138">
        <v>2957</v>
      </c>
      <c r="F138">
        <v>6162</v>
      </c>
      <c r="G138">
        <v>1</v>
      </c>
      <c r="H138">
        <v>1987</v>
      </c>
      <c r="I138">
        <v>2012</v>
      </c>
      <c r="J138" s="1" t="s">
        <v>22</v>
      </c>
      <c r="K138">
        <v>0</v>
      </c>
      <c r="L138" s="1" t="s">
        <v>31</v>
      </c>
      <c r="M138" s="1" t="s">
        <v>24</v>
      </c>
      <c r="N138" s="1" t="s">
        <v>35</v>
      </c>
      <c r="O138">
        <v>6</v>
      </c>
      <c r="P138">
        <v>1</v>
      </c>
      <c r="Q138" s="1" t="s">
        <v>70</v>
      </c>
      <c r="R138">
        <v>2</v>
      </c>
      <c r="S138" s="1" t="s">
        <v>27</v>
      </c>
      <c r="T138">
        <v>35839000</v>
      </c>
      <c r="U138" t="s">
        <v>182</v>
      </c>
      <c r="V138" s="1" t="s">
        <v>179</v>
      </c>
      <c r="W138" s="1" t="s">
        <v>180</v>
      </c>
      <c r="X138" s="1" t="str">
        <f>VLOOKUP(V138,Broker_Directory!A:C,3,FALSE)</f>
        <v>Tier B</v>
      </c>
      <c r="Y138" s="1">
        <f>HLOOKUP(X138, Commission_Rates!A$1:C$2, 2, FALSE)</f>
        <v>1.4999999999999999E-2</v>
      </c>
      <c r="Z138" s="1">
        <f t="shared" si="6"/>
        <v>0</v>
      </c>
      <c r="AA138" s="1">
        <f t="shared" si="7"/>
        <v>0</v>
      </c>
      <c r="AB138" s="1">
        <f t="shared" si="8"/>
        <v>0</v>
      </c>
    </row>
    <row r="139" spans="1:28" x14ac:dyDescent="0.3">
      <c r="A139" s="1" t="s">
        <v>53</v>
      </c>
      <c r="B139" s="1" t="s">
        <v>54</v>
      </c>
      <c r="C139">
        <v>2</v>
      </c>
      <c r="D139">
        <v>1</v>
      </c>
      <c r="E139">
        <v>1669</v>
      </c>
      <c r="F139">
        <v>8840</v>
      </c>
      <c r="G139">
        <v>2</v>
      </c>
      <c r="H139">
        <v>2003</v>
      </c>
      <c r="I139">
        <v>2011</v>
      </c>
      <c r="J139" s="1" t="s">
        <v>22</v>
      </c>
      <c r="K139">
        <v>0</v>
      </c>
      <c r="L139" s="1" t="s">
        <v>64</v>
      </c>
      <c r="M139" s="1" t="s">
        <v>27</v>
      </c>
      <c r="N139" s="1" t="s">
        <v>25</v>
      </c>
      <c r="O139">
        <v>10</v>
      </c>
      <c r="P139">
        <v>3</v>
      </c>
      <c r="Q139" s="1" t="s">
        <v>59</v>
      </c>
      <c r="R139">
        <v>3</v>
      </c>
      <c r="S139" s="1" t="s">
        <v>24</v>
      </c>
      <c r="T139">
        <v>15361000</v>
      </c>
      <c r="U139" t="s">
        <v>182</v>
      </c>
      <c r="V139" s="1" t="s">
        <v>179</v>
      </c>
      <c r="W139" s="1" t="s">
        <v>180</v>
      </c>
      <c r="X139" s="1" t="str">
        <f>VLOOKUP(V139,Broker_Directory!A:C,3,FALSE)</f>
        <v>Tier B</v>
      </c>
      <c r="Y139" s="1">
        <f>HLOOKUP(X139, Commission_Rates!A$1:C$2, 2, FALSE)</f>
        <v>1.4999999999999999E-2</v>
      </c>
      <c r="Z139" s="1">
        <f t="shared" si="6"/>
        <v>0</v>
      </c>
      <c r="AA139" s="1">
        <f t="shared" si="7"/>
        <v>0</v>
      </c>
      <c r="AB139" s="1">
        <f t="shared" si="8"/>
        <v>0</v>
      </c>
    </row>
    <row r="140" spans="1:28" x14ac:dyDescent="0.3">
      <c r="A140" s="1" t="s">
        <v>28</v>
      </c>
      <c r="B140" s="1" t="s">
        <v>79</v>
      </c>
      <c r="C140">
        <v>1</v>
      </c>
      <c r="D140">
        <v>4</v>
      </c>
      <c r="E140">
        <v>3021</v>
      </c>
      <c r="F140">
        <v>9965</v>
      </c>
      <c r="G140">
        <v>3</v>
      </c>
      <c r="H140">
        <v>1998</v>
      </c>
      <c r="I140">
        <v>2022</v>
      </c>
      <c r="J140" s="1" t="s">
        <v>30</v>
      </c>
      <c r="K140">
        <v>3</v>
      </c>
      <c r="L140" s="1" t="s">
        <v>64</v>
      </c>
      <c r="M140" s="1" t="s">
        <v>27</v>
      </c>
      <c r="N140" s="1" t="s">
        <v>35</v>
      </c>
      <c r="O140">
        <v>9</v>
      </c>
      <c r="P140">
        <v>1</v>
      </c>
      <c r="Q140" s="1" t="s">
        <v>92</v>
      </c>
      <c r="R140">
        <v>2</v>
      </c>
      <c r="S140" s="1" t="s">
        <v>24</v>
      </c>
      <c r="T140">
        <v>30520000</v>
      </c>
      <c r="U140" t="s">
        <v>183</v>
      </c>
      <c r="V140" s="1" t="s">
        <v>179</v>
      </c>
      <c r="W140" s="1" t="s">
        <v>180</v>
      </c>
      <c r="X140" s="1" t="str">
        <f>VLOOKUP(V140,Broker_Directory!A:C,3,FALSE)</f>
        <v>Tier B</v>
      </c>
      <c r="Y140" s="1">
        <f>HLOOKUP(X140, Commission_Rates!A$1:C$2, 2, FALSE)</f>
        <v>1.4999999999999999E-2</v>
      </c>
      <c r="Z140" s="1">
        <f t="shared" si="6"/>
        <v>0</v>
      </c>
      <c r="AA140" s="1">
        <f t="shared" si="7"/>
        <v>0</v>
      </c>
      <c r="AB140" s="1">
        <f t="shared" si="8"/>
        <v>0</v>
      </c>
    </row>
    <row r="141" spans="1:28" x14ac:dyDescent="0.3">
      <c r="A141" s="1" t="s">
        <v>37</v>
      </c>
      <c r="B141" s="1" t="s">
        <v>38</v>
      </c>
      <c r="C141">
        <v>2</v>
      </c>
      <c r="D141">
        <v>4</v>
      </c>
      <c r="E141">
        <v>2914</v>
      </c>
      <c r="F141">
        <v>5351</v>
      </c>
      <c r="G141">
        <v>3</v>
      </c>
      <c r="H141">
        <v>2012</v>
      </c>
      <c r="I141">
        <v>2020</v>
      </c>
      <c r="J141" s="1" t="s">
        <v>52</v>
      </c>
      <c r="K141">
        <v>2</v>
      </c>
      <c r="L141" s="1" t="s">
        <v>41</v>
      </c>
      <c r="M141" s="1" t="s">
        <v>27</v>
      </c>
      <c r="N141" s="1" t="s">
        <v>46</v>
      </c>
      <c r="O141">
        <v>5</v>
      </c>
      <c r="P141">
        <v>0</v>
      </c>
      <c r="Q141" s="1" t="s">
        <v>86</v>
      </c>
      <c r="R141">
        <v>1</v>
      </c>
      <c r="S141" s="1" t="s">
        <v>24</v>
      </c>
      <c r="T141">
        <v>23657000</v>
      </c>
      <c r="U141" t="s">
        <v>183</v>
      </c>
      <c r="V141" s="1" t="s">
        <v>174</v>
      </c>
      <c r="W141" s="1" t="s">
        <v>175</v>
      </c>
      <c r="X141" s="1" t="str">
        <f>VLOOKUP(V141,Broker_Directory!A:C,3,FALSE)</f>
        <v>Tier A</v>
      </c>
      <c r="Y141" s="1">
        <f>HLOOKUP(X141, Commission_Rates!A$1:C$2, 2, FALSE)</f>
        <v>0.02</v>
      </c>
      <c r="Z141" s="1">
        <f t="shared" si="6"/>
        <v>0</v>
      </c>
      <c r="AA141" s="1">
        <f t="shared" si="7"/>
        <v>0</v>
      </c>
      <c r="AB141" s="1">
        <f t="shared" si="8"/>
        <v>0</v>
      </c>
    </row>
    <row r="142" spans="1:28" x14ac:dyDescent="0.3">
      <c r="A142" s="1" t="s">
        <v>37</v>
      </c>
      <c r="B142" s="1" t="s">
        <v>62</v>
      </c>
      <c r="C142">
        <v>4</v>
      </c>
      <c r="D142">
        <v>3</v>
      </c>
      <c r="E142">
        <v>866</v>
      </c>
      <c r="F142">
        <v>7619</v>
      </c>
      <c r="G142">
        <v>3</v>
      </c>
      <c r="H142">
        <v>2013</v>
      </c>
      <c r="I142">
        <v>2014</v>
      </c>
      <c r="J142" s="1" t="s">
        <v>30</v>
      </c>
      <c r="K142">
        <v>1</v>
      </c>
      <c r="L142" s="1" t="s">
        <v>64</v>
      </c>
      <c r="M142" s="1" t="s">
        <v>24</v>
      </c>
      <c r="N142" s="1" t="s">
        <v>35</v>
      </c>
      <c r="O142">
        <v>6</v>
      </c>
      <c r="P142">
        <v>3</v>
      </c>
      <c r="Q142" s="1" t="s">
        <v>137</v>
      </c>
      <c r="R142">
        <v>3</v>
      </c>
      <c r="S142" s="1" t="s">
        <v>27</v>
      </c>
      <c r="T142">
        <v>7348000</v>
      </c>
      <c r="U142" t="s">
        <v>184</v>
      </c>
      <c r="V142" s="1" t="s">
        <v>168</v>
      </c>
      <c r="W142" s="1" t="s">
        <v>169</v>
      </c>
      <c r="X142" s="1" t="str">
        <f>VLOOKUP(V142,Broker_Directory!A:C,3,FALSE)</f>
        <v>Tier A</v>
      </c>
      <c r="Y142" s="1">
        <f>HLOOKUP(X142, Commission_Rates!A$1:C$2, 2, FALSE)</f>
        <v>0.02</v>
      </c>
      <c r="Z142" s="1">
        <f t="shared" si="6"/>
        <v>146960</v>
      </c>
      <c r="AA142" s="1">
        <f t="shared" si="7"/>
        <v>220440</v>
      </c>
      <c r="AB142" s="1">
        <f t="shared" si="8"/>
        <v>73480</v>
      </c>
    </row>
    <row r="143" spans="1:28" x14ac:dyDescent="0.3">
      <c r="A143" s="1" t="s">
        <v>33</v>
      </c>
      <c r="B143" s="1" t="s">
        <v>98</v>
      </c>
      <c r="C143">
        <v>5</v>
      </c>
      <c r="D143">
        <v>4</v>
      </c>
      <c r="E143">
        <v>4753</v>
      </c>
      <c r="F143">
        <v>5104</v>
      </c>
      <c r="G143">
        <v>2</v>
      </c>
      <c r="H143">
        <v>2018</v>
      </c>
      <c r="I143">
        <v>2018</v>
      </c>
      <c r="J143" s="1" t="s">
        <v>58</v>
      </c>
      <c r="K143">
        <v>1</v>
      </c>
      <c r="L143" s="1" t="s">
        <v>64</v>
      </c>
      <c r="M143" s="1" t="s">
        <v>24</v>
      </c>
      <c r="N143" s="1" t="s">
        <v>35</v>
      </c>
      <c r="O143">
        <v>9</v>
      </c>
      <c r="P143">
        <v>0</v>
      </c>
      <c r="Q143" s="1" t="s">
        <v>99</v>
      </c>
      <c r="R143">
        <v>2</v>
      </c>
      <c r="S143" s="1" t="s">
        <v>27</v>
      </c>
      <c r="T143">
        <v>40865500</v>
      </c>
      <c r="U143" t="s">
        <v>183</v>
      </c>
      <c r="V143" s="1" t="s">
        <v>171</v>
      </c>
      <c r="W143" s="1" t="s">
        <v>172</v>
      </c>
      <c r="X143" s="1" t="str">
        <f>VLOOKUP(V143,Broker_Directory!A:C,3,FALSE)</f>
        <v>Tier B</v>
      </c>
      <c r="Y143" s="1">
        <f>HLOOKUP(X143, Commission_Rates!A$1:C$2, 2, FALSE)</f>
        <v>1.4999999999999999E-2</v>
      </c>
      <c r="Z143" s="1">
        <f t="shared" si="6"/>
        <v>0</v>
      </c>
      <c r="AA143" s="1">
        <f t="shared" si="7"/>
        <v>0</v>
      </c>
      <c r="AB143" s="1">
        <f t="shared" si="8"/>
        <v>0</v>
      </c>
    </row>
    <row r="144" spans="1:28" x14ac:dyDescent="0.3">
      <c r="A144" s="1" t="s">
        <v>20</v>
      </c>
      <c r="B144" s="1" t="s">
        <v>21</v>
      </c>
      <c r="C144">
        <v>1</v>
      </c>
      <c r="D144">
        <v>3</v>
      </c>
      <c r="E144">
        <v>2118</v>
      </c>
      <c r="F144">
        <v>6351</v>
      </c>
      <c r="G144">
        <v>3</v>
      </c>
      <c r="H144">
        <v>2016</v>
      </c>
      <c r="I144">
        <v>2023</v>
      </c>
      <c r="J144" s="1" t="s">
        <v>52</v>
      </c>
      <c r="K144">
        <v>3</v>
      </c>
      <c r="L144" s="1" t="s">
        <v>64</v>
      </c>
      <c r="M144" s="1" t="s">
        <v>27</v>
      </c>
      <c r="N144" s="1" t="s">
        <v>46</v>
      </c>
      <c r="O144">
        <v>10</v>
      </c>
      <c r="P144">
        <v>4</v>
      </c>
      <c r="Q144" s="1" t="s">
        <v>56</v>
      </c>
      <c r="R144">
        <v>2</v>
      </c>
      <c r="S144" s="1" t="s">
        <v>24</v>
      </c>
      <c r="T144">
        <v>25696000</v>
      </c>
      <c r="U144" t="s">
        <v>183</v>
      </c>
      <c r="V144" s="1" t="s">
        <v>171</v>
      </c>
      <c r="W144" s="1" t="s">
        <v>172</v>
      </c>
      <c r="X144" s="1" t="str">
        <f>VLOOKUP(V144,Broker_Directory!A:C,3,FALSE)</f>
        <v>Tier B</v>
      </c>
      <c r="Y144" s="1">
        <f>HLOOKUP(X144, Commission_Rates!A$1:C$2, 2, FALSE)</f>
        <v>1.4999999999999999E-2</v>
      </c>
      <c r="Z144" s="1">
        <f t="shared" si="6"/>
        <v>0</v>
      </c>
      <c r="AA144" s="1">
        <f t="shared" si="7"/>
        <v>0</v>
      </c>
      <c r="AB144" s="1">
        <f t="shared" si="8"/>
        <v>0</v>
      </c>
    </row>
    <row r="145" spans="1:28" x14ac:dyDescent="0.3">
      <c r="A145" s="1" t="s">
        <v>37</v>
      </c>
      <c r="B145" s="1" t="s">
        <v>87</v>
      </c>
      <c r="C145">
        <v>3</v>
      </c>
      <c r="D145">
        <v>4</v>
      </c>
      <c r="E145">
        <v>1003</v>
      </c>
      <c r="F145">
        <v>2954</v>
      </c>
      <c r="G145">
        <v>3</v>
      </c>
      <c r="H145">
        <v>1968</v>
      </c>
      <c r="I145">
        <v>1989</v>
      </c>
      <c r="J145" s="1" t="s">
        <v>30</v>
      </c>
      <c r="K145">
        <v>2</v>
      </c>
      <c r="L145" s="1" t="s">
        <v>41</v>
      </c>
      <c r="M145" s="1" t="s">
        <v>24</v>
      </c>
      <c r="N145" s="1" t="s">
        <v>35</v>
      </c>
      <c r="O145">
        <v>7</v>
      </c>
      <c r="P145">
        <v>2</v>
      </c>
      <c r="Q145" s="1" t="s">
        <v>138</v>
      </c>
      <c r="R145">
        <v>0</v>
      </c>
      <c r="S145" s="1" t="s">
        <v>27</v>
      </c>
      <c r="T145">
        <v>8379000</v>
      </c>
      <c r="U145" t="s">
        <v>182</v>
      </c>
      <c r="V145" s="1" t="s">
        <v>168</v>
      </c>
      <c r="W145" s="1" t="s">
        <v>169</v>
      </c>
      <c r="X145" s="1" t="str">
        <f>VLOOKUP(V145,Broker_Directory!A:C,3,FALSE)</f>
        <v>Tier A</v>
      </c>
      <c r="Y145" s="1">
        <f>HLOOKUP(X145, Commission_Rates!A$1:C$2, 2, FALSE)</f>
        <v>0.02</v>
      </c>
      <c r="Z145" s="1">
        <f t="shared" si="6"/>
        <v>0</v>
      </c>
      <c r="AA145" s="1">
        <f t="shared" si="7"/>
        <v>0</v>
      </c>
      <c r="AB145" s="1">
        <f t="shared" si="8"/>
        <v>0</v>
      </c>
    </row>
    <row r="146" spans="1:28" x14ac:dyDescent="0.3">
      <c r="A146" s="1" t="s">
        <v>37</v>
      </c>
      <c r="B146" s="1" t="s">
        <v>38</v>
      </c>
      <c r="C146">
        <v>1</v>
      </c>
      <c r="D146">
        <v>3</v>
      </c>
      <c r="E146">
        <v>666</v>
      </c>
      <c r="F146">
        <v>2601</v>
      </c>
      <c r="G146">
        <v>1</v>
      </c>
      <c r="H146">
        <v>1993</v>
      </c>
      <c r="I146">
        <v>1998</v>
      </c>
      <c r="J146" s="1" t="s">
        <v>52</v>
      </c>
      <c r="K146">
        <v>1</v>
      </c>
      <c r="L146" s="1" t="s">
        <v>31</v>
      </c>
      <c r="M146" s="1" t="s">
        <v>24</v>
      </c>
      <c r="N146" s="1" t="s">
        <v>46</v>
      </c>
      <c r="O146">
        <v>8</v>
      </c>
      <c r="P146">
        <v>3</v>
      </c>
      <c r="Q146" s="1" t="s">
        <v>78</v>
      </c>
      <c r="R146">
        <v>1</v>
      </c>
      <c r="S146" s="1" t="s">
        <v>27</v>
      </c>
      <c r="T146">
        <v>5528000</v>
      </c>
      <c r="U146" t="s">
        <v>182</v>
      </c>
      <c r="V146" s="1" t="s">
        <v>179</v>
      </c>
      <c r="W146" s="1" t="s">
        <v>180</v>
      </c>
      <c r="X146" s="1" t="str">
        <f>VLOOKUP(V146,Broker_Directory!A:C,3,FALSE)</f>
        <v>Tier B</v>
      </c>
      <c r="Y146" s="1">
        <f>HLOOKUP(X146, Commission_Rates!A$1:C$2, 2, FALSE)</f>
        <v>1.4999999999999999E-2</v>
      </c>
      <c r="Z146" s="1">
        <f t="shared" si="6"/>
        <v>0</v>
      </c>
      <c r="AA146" s="1">
        <f t="shared" si="7"/>
        <v>0</v>
      </c>
      <c r="AB146" s="1">
        <f t="shared" si="8"/>
        <v>0</v>
      </c>
    </row>
    <row r="147" spans="1:28" x14ac:dyDescent="0.3">
      <c r="A147" s="1" t="s">
        <v>28</v>
      </c>
      <c r="B147" s="1" t="s">
        <v>110</v>
      </c>
      <c r="C147">
        <v>4</v>
      </c>
      <c r="D147">
        <v>4</v>
      </c>
      <c r="E147">
        <v>539</v>
      </c>
      <c r="F147">
        <v>3821</v>
      </c>
      <c r="G147">
        <v>2</v>
      </c>
      <c r="H147">
        <v>2025</v>
      </c>
      <c r="I147">
        <v>2025</v>
      </c>
      <c r="J147" s="1" t="s">
        <v>22</v>
      </c>
      <c r="K147">
        <v>0</v>
      </c>
      <c r="L147" s="1" t="s">
        <v>31</v>
      </c>
      <c r="M147" s="1" t="s">
        <v>24</v>
      </c>
      <c r="N147" s="1" t="s">
        <v>46</v>
      </c>
      <c r="O147">
        <v>1</v>
      </c>
      <c r="P147">
        <v>4</v>
      </c>
      <c r="Q147" s="1" t="s">
        <v>119</v>
      </c>
      <c r="R147">
        <v>1</v>
      </c>
      <c r="S147" s="1" t="s">
        <v>27</v>
      </c>
      <c r="T147">
        <v>5790000</v>
      </c>
      <c r="U147" t="s">
        <v>184</v>
      </c>
      <c r="V147" s="1" t="s">
        <v>176</v>
      </c>
      <c r="W147" s="1" t="s">
        <v>177</v>
      </c>
      <c r="X147" s="1" t="str">
        <f>VLOOKUP(V147,Broker_Directory!A:C,3,FALSE)</f>
        <v>Tier C</v>
      </c>
      <c r="Y147" s="1">
        <f>HLOOKUP(X147, Commission_Rates!A$1:C$2, 2, FALSE)</f>
        <v>0.01</v>
      </c>
      <c r="Z147" s="1">
        <f t="shared" si="6"/>
        <v>57900</v>
      </c>
      <c r="AA147" s="1">
        <f t="shared" si="7"/>
        <v>173700</v>
      </c>
      <c r="AB147" s="1">
        <f t="shared" si="8"/>
        <v>115800</v>
      </c>
    </row>
    <row r="148" spans="1:28" x14ac:dyDescent="0.3">
      <c r="A148" s="1" t="s">
        <v>53</v>
      </c>
      <c r="B148" s="1" t="s">
        <v>66</v>
      </c>
      <c r="C148">
        <v>4</v>
      </c>
      <c r="D148">
        <v>1</v>
      </c>
      <c r="E148">
        <v>2449</v>
      </c>
      <c r="F148">
        <v>7993</v>
      </c>
      <c r="G148">
        <v>2</v>
      </c>
      <c r="H148">
        <v>2017</v>
      </c>
      <c r="I148">
        <v>2021</v>
      </c>
      <c r="J148" s="1" t="s">
        <v>22</v>
      </c>
      <c r="K148">
        <v>3</v>
      </c>
      <c r="L148" s="1" t="s">
        <v>23</v>
      </c>
      <c r="M148" s="1" t="s">
        <v>27</v>
      </c>
      <c r="N148" s="1" t="s">
        <v>46</v>
      </c>
      <c r="O148">
        <v>7</v>
      </c>
      <c r="P148">
        <v>4</v>
      </c>
      <c r="Q148" s="1" t="s">
        <v>67</v>
      </c>
      <c r="R148">
        <v>2</v>
      </c>
      <c r="S148" s="1" t="s">
        <v>24</v>
      </c>
      <c r="T148">
        <v>22391000</v>
      </c>
      <c r="U148" t="s">
        <v>183</v>
      </c>
      <c r="V148" s="1" t="s">
        <v>174</v>
      </c>
      <c r="W148" s="1" t="s">
        <v>175</v>
      </c>
      <c r="X148" s="1" t="str">
        <f>VLOOKUP(V148,Broker_Directory!A:C,3,FALSE)</f>
        <v>Tier A</v>
      </c>
      <c r="Y148" s="1">
        <f>HLOOKUP(X148, Commission_Rates!A$1:C$2, 2, FALSE)</f>
        <v>0.02</v>
      </c>
      <c r="Z148" s="1">
        <f t="shared" si="6"/>
        <v>0</v>
      </c>
      <c r="AA148" s="1">
        <f t="shared" si="7"/>
        <v>0</v>
      </c>
      <c r="AB148" s="1">
        <f t="shared" si="8"/>
        <v>0</v>
      </c>
    </row>
    <row r="149" spans="1:28" x14ac:dyDescent="0.3">
      <c r="A149" s="1" t="s">
        <v>28</v>
      </c>
      <c r="B149" s="1" t="s">
        <v>79</v>
      </c>
      <c r="C149">
        <v>1</v>
      </c>
      <c r="D149">
        <v>2</v>
      </c>
      <c r="E149">
        <v>2801</v>
      </c>
      <c r="F149">
        <v>3809</v>
      </c>
      <c r="G149">
        <v>1</v>
      </c>
      <c r="H149">
        <v>1997</v>
      </c>
      <c r="I149">
        <v>2018</v>
      </c>
      <c r="J149" s="1" t="s">
        <v>52</v>
      </c>
      <c r="K149">
        <v>3</v>
      </c>
      <c r="L149" s="1" t="s">
        <v>41</v>
      </c>
      <c r="M149" s="1" t="s">
        <v>24</v>
      </c>
      <c r="N149" s="1" t="s">
        <v>35</v>
      </c>
      <c r="O149">
        <v>6</v>
      </c>
      <c r="P149">
        <v>3</v>
      </c>
      <c r="Q149" s="1" t="s">
        <v>139</v>
      </c>
      <c r="R149">
        <v>3</v>
      </c>
      <c r="S149" s="1" t="s">
        <v>24</v>
      </c>
      <c r="T149">
        <v>28260000</v>
      </c>
      <c r="U149" t="s">
        <v>183</v>
      </c>
      <c r="V149" s="1" t="s">
        <v>174</v>
      </c>
      <c r="W149" s="1" t="s">
        <v>175</v>
      </c>
      <c r="X149" s="1" t="str">
        <f>VLOOKUP(V149,Broker_Directory!A:C,3,FALSE)</f>
        <v>Tier A</v>
      </c>
      <c r="Y149" s="1">
        <f>HLOOKUP(X149, Commission_Rates!A$1:C$2, 2, FALSE)</f>
        <v>0.02</v>
      </c>
      <c r="Z149" s="1">
        <f t="shared" si="6"/>
        <v>0</v>
      </c>
      <c r="AA149" s="1">
        <f t="shared" si="7"/>
        <v>0</v>
      </c>
      <c r="AB149" s="1">
        <f t="shared" si="8"/>
        <v>0</v>
      </c>
    </row>
    <row r="150" spans="1:28" x14ac:dyDescent="0.3">
      <c r="A150" s="1" t="s">
        <v>33</v>
      </c>
      <c r="B150" s="1" t="s">
        <v>75</v>
      </c>
      <c r="C150">
        <v>4</v>
      </c>
      <c r="D150">
        <v>3</v>
      </c>
      <c r="E150">
        <v>1449</v>
      </c>
      <c r="F150">
        <v>4564</v>
      </c>
      <c r="G150">
        <v>2</v>
      </c>
      <c r="H150">
        <v>2007</v>
      </c>
      <c r="I150">
        <v>2025</v>
      </c>
      <c r="J150" s="1" t="s">
        <v>58</v>
      </c>
      <c r="K150">
        <v>2</v>
      </c>
      <c r="L150" s="1" t="s">
        <v>23</v>
      </c>
      <c r="M150" s="1" t="s">
        <v>27</v>
      </c>
      <c r="N150" s="1" t="s">
        <v>25</v>
      </c>
      <c r="O150">
        <v>3</v>
      </c>
      <c r="P150">
        <v>3</v>
      </c>
      <c r="Q150" s="1" t="s">
        <v>140</v>
      </c>
      <c r="R150">
        <v>3</v>
      </c>
      <c r="S150" s="1" t="s">
        <v>27</v>
      </c>
      <c r="T150">
        <v>12766500</v>
      </c>
      <c r="U150" t="s">
        <v>183</v>
      </c>
      <c r="V150" s="1" t="s">
        <v>174</v>
      </c>
      <c r="W150" s="1" t="s">
        <v>175</v>
      </c>
      <c r="X150" s="1" t="str">
        <f>VLOOKUP(V150,Broker_Directory!A:C,3,FALSE)</f>
        <v>Tier A</v>
      </c>
      <c r="Y150" s="1">
        <f>HLOOKUP(X150, Commission_Rates!A$1:C$2, 2, FALSE)</f>
        <v>0.02</v>
      </c>
      <c r="Z150" s="1">
        <f t="shared" si="6"/>
        <v>0</v>
      </c>
      <c r="AA150" s="1">
        <f t="shared" si="7"/>
        <v>0</v>
      </c>
      <c r="AB150" s="1">
        <f t="shared" si="8"/>
        <v>0</v>
      </c>
    </row>
    <row r="151" spans="1:28" x14ac:dyDescent="0.3">
      <c r="A151" s="1" t="s">
        <v>37</v>
      </c>
      <c r="B151" s="1" t="s">
        <v>72</v>
      </c>
      <c r="C151">
        <v>4</v>
      </c>
      <c r="D151">
        <v>2</v>
      </c>
      <c r="E151">
        <v>977</v>
      </c>
      <c r="F151">
        <v>1532</v>
      </c>
      <c r="G151">
        <v>1</v>
      </c>
      <c r="H151">
        <v>1987</v>
      </c>
      <c r="I151">
        <v>1988</v>
      </c>
      <c r="J151" s="1" t="s">
        <v>30</v>
      </c>
      <c r="K151">
        <v>1</v>
      </c>
      <c r="L151" s="1" t="s">
        <v>64</v>
      </c>
      <c r="M151" s="1" t="s">
        <v>24</v>
      </c>
      <c r="N151" s="1" t="s">
        <v>46</v>
      </c>
      <c r="O151">
        <v>9</v>
      </c>
      <c r="P151">
        <v>5</v>
      </c>
      <c r="Q151" s="1" t="s">
        <v>94</v>
      </c>
      <c r="R151">
        <v>0</v>
      </c>
      <c r="S151" s="1" t="s">
        <v>24</v>
      </c>
      <c r="T151">
        <v>8171000</v>
      </c>
      <c r="U151" t="s">
        <v>183</v>
      </c>
      <c r="V151" s="1" t="s">
        <v>171</v>
      </c>
      <c r="W151" s="1" t="s">
        <v>172</v>
      </c>
      <c r="X151" s="1" t="str">
        <f>VLOOKUP(V151,Broker_Directory!A:C,3,FALSE)</f>
        <v>Tier B</v>
      </c>
      <c r="Y151" s="1">
        <f>HLOOKUP(X151, Commission_Rates!A$1:C$2, 2, FALSE)</f>
        <v>1.4999999999999999E-2</v>
      </c>
      <c r="Z151" s="1">
        <f t="shared" si="6"/>
        <v>0</v>
      </c>
      <c r="AA151" s="1">
        <f t="shared" si="7"/>
        <v>0</v>
      </c>
      <c r="AB151" s="1">
        <f t="shared" si="8"/>
        <v>0</v>
      </c>
    </row>
    <row r="152" spans="1:28" x14ac:dyDescent="0.3">
      <c r="A152" s="1" t="s">
        <v>53</v>
      </c>
      <c r="B152" s="1" t="s">
        <v>100</v>
      </c>
      <c r="C152">
        <v>3</v>
      </c>
      <c r="D152">
        <v>1</v>
      </c>
      <c r="E152">
        <v>3915</v>
      </c>
      <c r="F152">
        <v>8440</v>
      </c>
      <c r="G152">
        <v>1</v>
      </c>
      <c r="H152">
        <v>2004</v>
      </c>
      <c r="I152">
        <v>2006</v>
      </c>
      <c r="J152" s="1" t="s">
        <v>52</v>
      </c>
      <c r="K152">
        <v>2</v>
      </c>
      <c r="L152" s="1" t="s">
        <v>23</v>
      </c>
      <c r="M152" s="1" t="s">
        <v>27</v>
      </c>
      <c r="N152" s="1" t="s">
        <v>46</v>
      </c>
      <c r="O152">
        <v>5</v>
      </c>
      <c r="P152">
        <v>0</v>
      </c>
      <c r="Q152" s="1" t="s">
        <v>104</v>
      </c>
      <c r="R152">
        <v>0</v>
      </c>
      <c r="S152" s="1" t="s">
        <v>24</v>
      </c>
      <c r="T152">
        <v>35485000</v>
      </c>
      <c r="U152" t="s">
        <v>182</v>
      </c>
      <c r="V152" s="1" t="s">
        <v>168</v>
      </c>
      <c r="W152" s="1" t="s">
        <v>169</v>
      </c>
      <c r="X152" s="1" t="str">
        <f>VLOOKUP(V152,Broker_Directory!A:C,3,FALSE)</f>
        <v>Tier A</v>
      </c>
      <c r="Y152" s="1">
        <f>HLOOKUP(X152, Commission_Rates!A$1:C$2, 2, FALSE)</f>
        <v>0.02</v>
      </c>
      <c r="Z152" s="1">
        <f t="shared" si="6"/>
        <v>0</v>
      </c>
      <c r="AA152" s="1">
        <f t="shared" si="7"/>
        <v>0</v>
      </c>
      <c r="AB152" s="1">
        <f t="shared" si="8"/>
        <v>0</v>
      </c>
    </row>
    <row r="153" spans="1:28" x14ac:dyDescent="0.3">
      <c r="A153" s="1" t="s">
        <v>28</v>
      </c>
      <c r="B153" s="1" t="s">
        <v>95</v>
      </c>
      <c r="C153">
        <v>3</v>
      </c>
      <c r="D153">
        <v>4</v>
      </c>
      <c r="E153">
        <v>1659</v>
      </c>
      <c r="F153">
        <v>3990</v>
      </c>
      <c r="G153">
        <v>1</v>
      </c>
      <c r="H153">
        <v>1976</v>
      </c>
      <c r="I153">
        <v>1978</v>
      </c>
      <c r="J153" s="1" t="s">
        <v>30</v>
      </c>
      <c r="K153">
        <v>2</v>
      </c>
      <c r="L153" s="1" t="s">
        <v>31</v>
      </c>
      <c r="M153" s="1" t="s">
        <v>27</v>
      </c>
      <c r="N153" s="1" t="s">
        <v>35</v>
      </c>
      <c r="O153">
        <v>4</v>
      </c>
      <c r="P153">
        <v>2</v>
      </c>
      <c r="Q153" s="1" t="s">
        <v>129</v>
      </c>
      <c r="R153">
        <v>0</v>
      </c>
      <c r="S153" s="1" t="s">
        <v>24</v>
      </c>
      <c r="T153">
        <v>16930000</v>
      </c>
      <c r="U153" t="s">
        <v>183</v>
      </c>
      <c r="V153" s="1" t="s">
        <v>179</v>
      </c>
      <c r="W153" s="1" t="s">
        <v>180</v>
      </c>
      <c r="X153" s="1" t="str">
        <f>VLOOKUP(V153,Broker_Directory!A:C,3,FALSE)</f>
        <v>Tier B</v>
      </c>
      <c r="Y153" s="1">
        <f>HLOOKUP(X153, Commission_Rates!A$1:C$2, 2, FALSE)</f>
        <v>1.4999999999999999E-2</v>
      </c>
      <c r="Z153" s="1">
        <f t="shared" si="6"/>
        <v>0</v>
      </c>
      <c r="AA153" s="1">
        <f t="shared" si="7"/>
        <v>0</v>
      </c>
      <c r="AB153" s="1">
        <f t="shared" si="8"/>
        <v>0</v>
      </c>
    </row>
    <row r="154" spans="1:28" x14ac:dyDescent="0.3">
      <c r="A154" s="1" t="s">
        <v>37</v>
      </c>
      <c r="B154" s="1" t="s">
        <v>87</v>
      </c>
      <c r="C154">
        <v>3</v>
      </c>
      <c r="D154">
        <v>2</v>
      </c>
      <c r="E154">
        <v>1387</v>
      </c>
      <c r="F154">
        <v>5527</v>
      </c>
      <c r="G154">
        <v>1</v>
      </c>
      <c r="H154">
        <v>1991</v>
      </c>
      <c r="I154">
        <v>2005</v>
      </c>
      <c r="J154" s="1" t="s">
        <v>22</v>
      </c>
      <c r="K154">
        <v>3</v>
      </c>
      <c r="L154" s="1" t="s">
        <v>31</v>
      </c>
      <c r="M154" s="1" t="s">
        <v>27</v>
      </c>
      <c r="N154" s="1" t="s">
        <v>35</v>
      </c>
      <c r="O154">
        <v>6</v>
      </c>
      <c r="P154">
        <v>3</v>
      </c>
      <c r="Q154" s="1" t="s">
        <v>138</v>
      </c>
      <c r="R154">
        <v>0</v>
      </c>
      <c r="S154" s="1" t="s">
        <v>24</v>
      </c>
      <c r="T154">
        <v>11376000</v>
      </c>
      <c r="U154" t="s">
        <v>182</v>
      </c>
      <c r="V154" s="1" t="s">
        <v>174</v>
      </c>
      <c r="W154" s="1" t="s">
        <v>175</v>
      </c>
      <c r="X154" s="1" t="str">
        <f>VLOOKUP(V154,Broker_Directory!A:C,3,FALSE)</f>
        <v>Tier A</v>
      </c>
      <c r="Y154" s="1">
        <f>HLOOKUP(X154, Commission_Rates!A$1:C$2, 2, FALSE)</f>
        <v>0.02</v>
      </c>
      <c r="Z154" s="1">
        <f t="shared" si="6"/>
        <v>0</v>
      </c>
      <c r="AA154" s="1">
        <f t="shared" si="7"/>
        <v>0</v>
      </c>
      <c r="AB154" s="1">
        <f t="shared" si="8"/>
        <v>0</v>
      </c>
    </row>
    <row r="155" spans="1:28" x14ac:dyDescent="0.3">
      <c r="A155" s="1" t="s">
        <v>37</v>
      </c>
      <c r="B155" s="1" t="s">
        <v>45</v>
      </c>
      <c r="C155">
        <v>3</v>
      </c>
      <c r="D155">
        <v>3</v>
      </c>
      <c r="E155">
        <v>4024</v>
      </c>
      <c r="F155">
        <v>8072</v>
      </c>
      <c r="G155">
        <v>2</v>
      </c>
      <c r="H155">
        <v>2024</v>
      </c>
      <c r="I155">
        <v>0</v>
      </c>
      <c r="J155" s="1" t="s">
        <v>58</v>
      </c>
      <c r="K155">
        <v>3</v>
      </c>
      <c r="L155" s="1" t="s">
        <v>64</v>
      </c>
      <c r="M155" s="1" t="s">
        <v>24</v>
      </c>
      <c r="N155" s="1" t="s">
        <v>35</v>
      </c>
      <c r="O155">
        <v>6</v>
      </c>
      <c r="P155">
        <v>1</v>
      </c>
      <c r="Q155" s="1" t="s">
        <v>122</v>
      </c>
      <c r="R155">
        <v>1</v>
      </c>
      <c r="S155" s="1" t="s">
        <v>27</v>
      </c>
      <c r="T155">
        <v>32512000</v>
      </c>
      <c r="U155" t="s">
        <v>184</v>
      </c>
      <c r="V155" s="1" t="s">
        <v>171</v>
      </c>
      <c r="W155" s="1" t="s">
        <v>172</v>
      </c>
      <c r="X155" s="1" t="str">
        <f>VLOOKUP(V155,Broker_Directory!A:C,3,FALSE)</f>
        <v>Tier B</v>
      </c>
      <c r="Y155" s="1">
        <f>HLOOKUP(X155, Commission_Rates!A$1:C$2, 2, FALSE)</f>
        <v>1.4999999999999999E-2</v>
      </c>
      <c r="Z155" s="1">
        <f t="shared" si="6"/>
        <v>487680</v>
      </c>
      <c r="AA155" s="1">
        <f t="shared" si="7"/>
        <v>975360</v>
      </c>
      <c r="AB155" s="1">
        <f t="shared" si="8"/>
        <v>487680</v>
      </c>
    </row>
    <row r="156" spans="1:28" x14ac:dyDescent="0.3">
      <c r="A156" s="1" t="s">
        <v>53</v>
      </c>
      <c r="B156" s="1" t="s">
        <v>89</v>
      </c>
      <c r="C156">
        <v>3</v>
      </c>
      <c r="D156">
        <v>3</v>
      </c>
      <c r="E156">
        <v>4783</v>
      </c>
      <c r="F156">
        <v>9567</v>
      </c>
      <c r="G156">
        <v>1</v>
      </c>
      <c r="H156">
        <v>2022</v>
      </c>
      <c r="I156">
        <v>2024</v>
      </c>
      <c r="J156" s="1" t="s">
        <v>30</v>
      </c>
      <c r="K156">
        <v>0</v>
      </c>
      <c r="L156" s="1" t="s">
        <v>23</v>
      </c>
      <c r="M156" s="1" t="s">
        <v>24</v>
      </c>
      <c r="N156" s="1" t="s">
        <v>35</v>
      </c>
      <c r="O156">
        <v>7</v>
      </c>
      <c r="P156">
        <v>0</v>
      </c>
      <c r="Q156" s="1" t="s">
        <v>125</v>
      </c>
      <c r="R156">
        <v>1</v>
      </c>
      <c r="S156" s="1" t="s">
        <v>27</v>
      </c>
      <c r="T156">
        <v>43347000</v>
      </c>
      <c r="U156" t="s">
        <v>183</v>
      </c>
      <c r="V156" s="1" t="s">
        <v>171</v>
      </c>
      <c r="W156" s="1" t="s">
        <v>172</v>
      </c>
      <c r="X156" s="1" t="str">
        <f>VLOOKUP(V156,Broker_Directory!A:C,3,FALSE)</f>
        <v>Tier B</v>
      </c>
      <c r="Y156" s="1">
        <f>HLOOKUP(X156, Commission_Rates!A$1:C$2, 2, FALSE)</f>
        <v>1.4999999999999999E-2</v>
      </c>
      <c r="Z156" s="1">
        <f t="shared" si="6"/>
        <v>0</v>
      </c>
      <c r="AA156" s="1">
        <f t="shared" si="7"/>
        <v>0</v>
      </c>
      <c r="AB156" s="1">
        <f t="shared" si="8"/>
        <v>0</v>
      </c>
    </row>
    <row r="157" spans="1:28" x14ac:dyDescent="0.3">
      <c r="A157" s="1" t="s">
        <v>37</v>
      </c>
      <c r="B157" s="1" t="s">
        <v>87</v>
      </c>
      <c r="C157">
        <v>4</v>
      </c>
      <c r="D157">
        <v>2</v>
      </c>
      <c r="E157">
        <v>1380</v>
      </c>
      <c r="F157">
        <v>6375</v>
      </c>
      <c r="G157">
        <v>1</v>
      </c>
      <c r="H157">
        <v>1985</v>
      </c>
      <c r="I157">
        <v>1989</v>
      </c>
      <c r="J157" s="1" t="s">
        <v>30</v>
      </c>
      <c r="K157">
        <v>2</v>
      </c>
      <c r="L157" s="1" t="s">
        <v>23</v>
      </c>
      <c r="M157" s="1" t="s">
        <v>27</v>
      </c>
      <c r="N157" s="1" t="s">
        <v>35</v>
      </c>
      <c r="O157">
        <v>10</v>
      </c>
      <c r="P157">
        <v>1</v>
      </c>
      <c r="Q157" s="1" t="s">
        <v>141</v>
      </c>
      <c r="R157">
        <v>3</v>
      </c>
      <c r="S157" s="1" t="s">
        <v>27</v>
      </c>
      <c r="T157">
        <v>11365000</v>
      </c>
      <c r="U157" t="s">
        <v>183</v>
      </c>
      <c r="V157" s="1" t="s">
        <v>176</v>
      </c>
      <c r="W157" s="1" t="s">
        <v>177</v>
      </c>
      <c r="X157" s="1" t="str">
        <f>VLOOKUP(V157,Broker_Directory!A:C,3,FALSE)</f>
        <v>Tier C</v>
      </c>
      <c r="Y157" s="1">
        <f>HLOOKUP(X157, Commission_Rates!A$1:C$2, 2, FALSE)</f>
        <v>0.01</v>
      </c>
      <c r="Z157" s="1">
        <f t="shared" si="6"/>
        <v>0</v>
      </c>
      <c r="AA157" s="1">
        <f t="shared" si="7"/>
        <v>0</v>
      </c>
      <c r="AB157" s="1">
        <f t="shared" si="8"/>
        <v>0</v>
      </c>
    </row>
    <row r="158" spans="1:28" x14ac:dyDescent="0.3">
      <c r="A158" s="1" t="s">
        <v>28</v>
      </c>
      <c r="B158" s="1" t="s">
        <v>29</v>
      </c>
      <c r="C158">
        <v>1</v>
      </c>
      <c r="D158">
        <v>1</v>
      </c>
      <c r="E158">
        <v>308</v>
      </c>
      <c r="F158">
        <v>3854</v>
      </c>
      <c r="G158">
        <v>2</v>
      </c>
      <c r="H158">
        <v>1959</v>
      </c>
      <c r="I158">
        <v>1974</v>
      </c>
      <c r="J158" s="1" t="s">
        <v>52</v>
      </c>
      <c r="K158">
        <v>3</v>
      </c>
      <c r="L158" s="1" t="s">
        <v>23</v>
      </c>
      <c r="M158" s="1" t="s">
        <v>24</v>
      </c>
      <c r="N158" s="1" t="s">
        <v>35</v>
      </c>
      <c r="O158">
        <v>5</v>
      </c>
      <c r="P158">
        <v>0</v>
      </c>
      <c r="Q158" s="1" t="s">
        <v>81</v>
      </c>
      <c r="R158">
        <v>1</v>
      </c>
      <c r="S158" s="1" t="s">
        <v>27</v>
      </c>
      <c r="T158">
        <v>3240000</v>
      </c>
      <c r="U158" t="s">
        <v>182</v>
      </c>
      <c r="V158" s="1" t="s">
        <v>176</v>
      </c>
      <c r="W158" s="1" t="s">
        <v>177</v>
      </c>
      <c r="X158" s="1" t="str">
        <f>VLOOKUP(V158,Broker_Directory!A:C,3,FALSE)</f>
        <v>Tier C</v>
      </c>
      <c r="Y158" s="1">
        <f>HLOOKUP(X158, Commission_Rates!A$1:C$2, 2, FALSE)</f>
        <v>0.01</v>
      </c>
      <c r="Z158" s="1">
        <f t="shared" si="6"/>
        <v>0</v>
      </c>
      <c r="AA158" s="1">
        <f t="shared" si="7"/>
        <v>0</v>
      </c>
      <c r="AB158" s="1">
        <f t="shared" si="8"/>
        <v>0</v>
      </c>
    </row>
    <row r="159" spans="1:28" x14ac:dyDescent="0.3">
      <c r="A159" s="1" t="s">
        <v>20</v>
      </c>
      <c r="B159" s="1" t="s">
        <v>40</v>
      </c>
      <c r="C159">
        <v>4</v>
      </c>
      <c r="D159">
        <v>1</v>
      </c>
      <c r="E159">
        <v>1139</v>
      </c>
      <c r="F159">
        <v>2879</v>
      </c>
      <c r="G159">
        <v>2</v>
      </c>
      <c r="H159">
        <v>1997</v>
      </c>
      <c r="I159">
        <v>2024</v>
      </c>
      <c r="J159" s="1" t="s">
        <v>30</v>
      </c>
      <c r="K159">
        <v>1</v>
      </c>
      <c r="L159" s="1" t="s">
        <v>41</v>
      </c>
      <c r="M159" s="1" t="s">
        <v>24</v>
      </c>
      <c r="N159" s="1" t="s">
        <v>35</v>
      </c>
      <c r="O159">
        <v>10</v>
      </c>
      <c r="P159">
        <v>1</v>
      </c>
      <c r="Q159" s="1" t="s">
        <v>115</v>
      </c>
      <c r="R159">
        <v>0</v>
      </c>
      <c r="S159" s="1" t="s">
        <v>24</v>
      </c>
      <c r="T159">
        <v>14013000</v>
      </c>
      <c r="U159" t="s">
        <v>183</v>
      </c>
      <c r="V159" s="1" t="s">
        <v>176</v>
      </c>
      <c r="W159" s="1" t="s">
        <v>177</v>
      </c>
      <c r="X159" s="1" t="str">
        <f>VLOOKUP(V159,Broker_Directory!A:C,3,FALSE)</f>
        <v>Tier C</v>
      </c>
      <c r="Y159" s="1">
        <f>HLOOKUP(X159, Commission_Rates!A$1:C$2, 2, FALSE)</f>
        <v>0.01</v>
      </c>
      <c r="Z159" s="1">
        <f t="shared" si="6"/>
        <v>0</v>
      </c>
      <c r="AA159" s="1">
        <f t="shared" si="7"/>
        <v>0</v>
      </c>
      <c r="AB159" s="1">
        <f t="shared" si="8"/>
        <v>0</v>
      </c>
    </row>
    <row r="160" spans="1:28" x14ac:dyDescent="0.3">
      <c r="A160" s="1" t="s">
        <v>37</v>
      </c>
      <c r="B160" s="1" t="s">
        <v>38</v>
      </c>
      <c r="C160">
        <v>2</v>
      </c>
      <c r="D160">
        <v>2</v>
      </c>
      <c r="E160">
        <v>3672</v>
      </c>
      <c r="F160">
        <v>8768</v>
      </c>
      <c r="G160">
        <v>3</v>
      </c>
      <c r="H160">
        <v>2006</v>
      </c>
      <c r="I160">
        <v>2011</v>
      </c>
      <c r="J160" s="1" t="s">
        <v>58</v>
      </c>
      <c r="K160">
        <v>0</v>
      </c>
      <c r="L160" s="1" t="s">
        <v>31</v>
      </c>
      <c r="M160" s="1" t="s">
        <v>24</v>
      </c>
      <c r="N160" s="1" t="s">
        <v>35</v>
      </c>
      <c r="O160">
        <v>6</v>
      </c>
      <c r="P160">
        <v>2</v>
      </c>
      <c r="Q160" s="1" t="s">
        <v>78</v>
      </c>
      <c r="R160">
        <v>2</v>
      </c>
      <c r="S160" s="1" t="s">
        <v>24</v>
      </c>
      <c r="T160">
        <v>29701000</v>
      </c>
      <c r="U160" t="s">
        <v>184</v>
      </c>
      <c r="V160" s="1" t="s">
        <v>179</v>
      </c>
      <c r="W160" s="1" t="s">
        <v>180</v>
      </c>
      <c r="X160" s="1" t="str">
        <f>VLOOKUP(V160,Broker_Directory!A:C,3,FALSE)</f>
        <v>Tier B</v>
      </c>
      <c r="Y160" s="1">
        <f>HLOOKUP(X160, Commission_Rates!A$1:C$2, 2, FALSE)</f>
        <v>1.4999999999999999E-2</v>
      </c>
      <c r="Z160" s="1">
        <f t="shared" si="6"/>
        <v>445515</v>
      </c>
      <c r="AA160" s="1">
        <f t="shared" si="7"/>
        <v>891030</v>
      </c>
      <c r="AB160" s="1">
        <f t="shared" si="8"/>
        <v>445515</v>
      </c>
    </row>
    <row r="161" spans="1:28" x14ac:dyDescent="0.3">
      <c r="A161" s="1" t="s">
        <v>28</v>
      </c>
      <c r="B161" s="1" t="s">
        <v>79</v>
      </c>
      <c r="C161">
        <v>1</v>
      </c>
      <c r="D161">
        <v>2</v>
      </c>
      <c r="E161">
        <v>4833</v>
      </c>
      <c r="F161">
        <v>9806</v>
      </c>
      <c r="G161">
        <v>3</v>
      </c>
      <c r="H161">
        <v>1986</v>
      </c>
      <c r="I161">
        <v>1986</v>
      </c>
      <c r="J161" s="1" t="s">
        <v>30</v>
      </c>
      <c r="K161">
        <v>1</v>
      </c>
      <c r="L161" s="1" t="s">
        <v>31</v>
      </c>
      <c r="M161" s="1" t="s">
        <v>27</v>
      </c>
      <c r="N161" s="1" t="s">
        <v>46</v>
      </c>
      <c r="O161">
        <v>10</v>
      </c>
      <c r="P161">
        <v>0</v>
      </c>
      <c r="Q161" s="1" t="s">
        <v>139</v>
      </c>
      <c r="R161">
        <v>3</v>
      </c>
      <c r="S161" s="1" t="s">
        <v>27</v>
      </c>
      <c r="T161">
        <v>48545000</v>
      </c>
      <c r="U161" t="s">
        <v>182</v>
      </c>
      <c r="V161" s="1" t="s">
        <v>174</v>
      </c>
      <c r="W161" s="1" t="s">
        <v>175</v>
      </c>
      <c r="X161" s="1" t="str">
        <f>VLOOKUP(V161,Broker_Directory!A:C,3,FALSE)</f>
        <v>Tier A</v>
      </c>
      <c r="Y161" s="1">
        <f>HLOOKUP(X161, Commission_Rates!A$1:C$2, 2, FALSE)</f>
        <v>0.02</v>
      </c>
      <c r="Z161" s="1">
        <f t="shared" si="6"/>
        <v>0</v>
      </c>
      <c r="AA161" s="1">
        <f t="shared" si="7"/>
        <v>0</v>
      </c>
      <c r="AB161" s="1">
        <f t="shared" si="8"/>
        <v>0</v>
      </c>
    </row>
    <row r="162" spans="1:28" x14ac:dyDescent="0.3">
      <c r="A162" s="1" t="s">
        <v>20</v>
      </c>
      <c r="B162" s="1" t="s">
        <v>40</v>
      </c>
      <c r="C162">
        <v>4</v>
      </c>
      <c r="D162">
        <v>1</v>
      </c>
      <c r="E162">
        <v>4627</v>
      </c>
      <c r="F162">
        <v>4775</v>
      </c>
      <c r="G162">
        <v>2</v>
      </c>
      <c r="H162">
        <v>1990</v>
      </c>
      <c r="I162">
        <v>1997</v>
      </c>
      <c r="J162" s="1" t="s">
        <v>22</v>
      </c>
      <c r="K162">
        <v>3</v>
      </c>
      <c r="L162" s="1" t="s">
        <v>64</v>
      </c>
      <c r="M162" s="1" t="s">
        <v>24</v>
      </c>
      <c r="N162" s="1" t="s">
        <v>46</v>
      </c>
      <c r="O162">
        <v>1</v>
      </c>
      <c r="P162">
        <v>0</v>
      </c>
      <c r="Q162" s="1" t="s">
        <v>115</v>
      </c>
      <c r="R162">
        <v>0</v>
      </c>
      <c r="S162" s="1" t="s">
        <v>27</v>
      </c>
      <c r="T162">
        <v>55819000</v>
      </c>
      <c r="U162" t="s">
        <v>182</v>
      </c>
      <c r="V162" s="1" t="s">
        <v>174</v>
      </c>
      <c r="W162" s="1" t="s">
        <v>175</v>
      </c>
      <c r="X162" s="1" t="str">
        <f>VLOOKUP(V162,Broker_Directory!A:C,3,FALSE)</f>
        <v>Tier A</v>
      </c>
      <c r="Y162" s="1">
        <f>HLOOKUP(X162, Commission_Rates!A$1:C$2, 2, FALSE)</f>
        <v>0.02</v>
      </c>
      <c r="Z162" s="1">
        <f t="shared" si="6"/>
        <v>0</v>
      </c>
      <c r="AA162" s="1">
        <f t="shared" si="7"/>
        <v>0</v>
      </c>
      <c r="AB162" s="1">
        <f t="shared" si="8"/>
        <v>0</v>
      </c>
    </row>
    <row r="163" spans="1:28" x14ac:dyDescent="0.3">
      <c r="A163" s="1" t="s">
        <v>28</v>
      </c>
      <c r="B163" s="1" t="s">
        <v>60</v>
      </c>
      <c r="C163">
        <v>1</v>
      </c>
      <c r="D163">
        <v>4</v>
      </c>
      <c r="E163">
        <v>4450</v>
      </c>
      <c r="F163">
        <v>6846</v>
      </c>
      <c r="G163">
        <v>3</v>
      </c>
      <c r="H163">
        <v>2014</v>
      </c>
      <c r="I163">
        <v>2025</v>
      </c>
      <c r="J163" s="1" t="s">
        <v>22</v>
      </c>
      <c r="K163">
        <v>3</v>
      </c>
      <c r="L163" s="1" t="s">
        <v>41</v>
      </c>
      <c r="M163" s="1" t="s">
        <v>24</v>
      </c>
      <c r="N163" s="1" t="s">
        <v>35</v>
      </c>
      <c r="O163">
        <v>8</v>
      </c>
      <c r="P163">
        <v>4</v>
      </c>
      <c r="Q163" s="1" t="s">
        <v>121</v>
      </c>
      <c r="R163">
        <v>2</v>
      </c>
      <c r="S163" s="1" t="s">
        <v>24</v>
      </c>
      <c r="T163">
        <v>44835000</v>
      </c>
      <c r="U163" t="s">
        <v>183</v>
      </c>
      <c r="V163" s="1" t="s">
        <v>174</v>
      </c>
      <c r="W163" s="1" t="s">
        <v>175</v>
      </c>
      <c r="X163" s="1" t="str">
        <f>VLOOKUP(V163,Broker_Directory!A:C,3,FALSE)</f>
        <v>Tier A</v>
      </c>
      <c r="Y163" s="1">
        <f>HLOOKUP(X163, Commission_Rates!A$1:C$2, 2, FALSE)</f>
        <v>0.02</v>
      </c>
      <c r="Z163" s="1">
        <f t="shared" si="6"/>
        <v>0</v>
      </c>
      <c r="AA163" s="1">
        <f t="shared" si="7"/>
        <v>0</v>
      </c>
      <c r="AB163" s="1">
        <f t="shared" si="8"/>
        <v>0</v>
      </c>
    </row>
    <row r="164" spans="1:28" x14ac:dyDescent="0.3">
      <c r="A164" s="1" t="s">
        <v>53</v>
      </c>
      <c r="B164" s="1" t="s">
        <v>105</v>
      </c>
      <c r="C164">
        <v>5</v>
      </c>
      <c r="D164">
        <v>2</v>
      </c>
      <c r="E164">
        <v>1572</v>
      </c>
      <c r="F164">
        <v>6975</v>
      </c>
      <c r="G164">
        <v>2</v>
      </c>
      <c r="H164">
        <v>2025</v>
      </c>
      <c r="I164">
        <v>0</v>
      </c>
      <c r="J164" s="1" t="s">
        <v>30</v>
      </c>
      <c r="K164">
        <v>3</v>
      </c>
      <c r="L164" s="1" t="s">
        <v>31</v>
      </c>
      <c r="M164" s="1" t="s">
        <v>24</v>
      </c>
      <c r="N164" s="1" t="s">
        <v>25</v>
      </c>
      <c r="O164">
        <v>1</v>
      </c>
      <c r="P164">
        <v>3</v>
      </c>
      <c r="Q164" s="1" t="s">
        <v>108</v>
      </c>
      <c r="R164">
        <v>3</v>
      </c>
      <c r="S164" s="1" t="s">
        <v>24</v>
      </c>
      <c r="T164">
        <v>14693000</v>
      </c>
      <c r="U164" t="s">
        <v>184</v>
      </c>
      <c r="V164" s="1" t="s">
        <v>171</v>
      </c>
      <c r="W164" s="1" t="s">
        <v>172</v>
      </c>
      <c r="X164" s="1" t="str">
        <f>VLOOKUP(V164,Broker_Directory!A:C,3,FALSE)</f>
        <v>Tier B</v>
      </c>
      <c r="Y164" s="1">
        <f>HLOOKUP(X164, Commission_Rates!A$1:C$2, 2, FALSE)</f>
        <v>1.4999999999999999E-2</v>
      </c>
      <c r="Z164" s="1">
        <f t="shared" si="6"/>
        <v>220395</v>
      </c>
      <c r="AA164" s="1">
        <f t="shared" si="7"/>
        <v>440790</v>
      </c>
      <c r="AB164" s="1">
        <f t="shared" si="8"/>
        <v>220395</v>
      </c>
    </row>
    <row r="165" spans="1:28" x14ac:dyDescent="0.3">
      <c r="A165" s="1" t="s">
        <v>53</v>
      </c>
      <c r="B165" s="1" t="s">
        <v>66</v>
      </c>
      <c r="C165">
        <v>1</v>
      </c>
      <c r="D165">
        <v>1</v>
      </c>
      <c r="E165">
        <v>1424</v>
      </c>
      <c r="F165">
        <v>1659</v>
      </c>
      <c r="G165">
        <v>1</v>
      </c>
      <c r="H165">
        <v>2013</v>
      </c>
      <c r="I165">
        <v>2017</v>
      </c>
      <c r="J165" s="1" t="s">
        <v>30</v>
      </c>
      <c r="K165">
        <v>1</v>
      </c>
      <c r="L165" s="1" t="s">
        <v>64</v>
      </c>
      <c r="M165" s="1" t="s">
        <v>24</v>
      </c>
      <c r="N165" s="1" t="s">
        <v>35</v>
      </c>
      <c r="O165">
        <v>4</v>
      </c>
      <c r="P165">
        <v>5</v>
      </c>
      <c r="Q165" s="1" t="s">
        <v>142</v>
      </c>
      <c r="R165">
        <v>0</v>
      </c>
      <c r="S165" s="1" t="s">
        <v>27</v>
      </c>
      <c r="T165">
        <v>12941000</v>
      </c>
      <c r="U165" t="s">
        <v>184</v>
      </c>
      <c r="V165" s="1" t="s">
        <v>168</v>
      </c>
      <c r="W165" s="1" t="s">
        <v>169</v>
      </c>
      <c r="X165" s="1" t="str">
        <f>VLOOKUP(V165,Broker_Directory!A:C,3,FALSE)</f>
        <v>Tier A</v>
      </c>
      <c r="Y165" s="1">
        <f>HLOOKUP(X165, Commission_Rates!A$1:C$2, 2, FALSE)</f>
        <v>0.02</v>
      </c>
      <c r="Z165" s="1">
        <f t="shared" si="6"/>
        <v>258820</v>
      </c>
      <c r="AA165" s="1">
        <f t="shared" si="7"/>
        <v>388230</v>
      </c>
      <c r="AB165" s="1">
        <f t="shared" si="8"/>
        <v>129410</v>
      </c>
    </row>
    <row r="166" spans="1:28" x14ac:dyDescent="0.3">
      <c r="A166" s="1" t="s">
        <v>37</v>
      </c>
      <c r="B166" s="1" t="s">
        <v>38</v>
      </c>
      <c r="C166">
        <v>5</v>
      </c>
      <c r="D166">
        <v>1</v>
      </c>
      <c r="E166">
        <v>2454</v>
      </c>
      <c r="F166">
        <v>8339</v>
      </c>
      <c r="G166">
        <v>3</v>
      </c>
      <c r="H166">
        <v>1959</v>
      </c>
      <c r="I166">
        <v>2021</v>
      </c>
      <c r="J166" s="1" t="s">
        <v>22</v>
      </c>
      <c r="K166">
        <v>2</v>
      </c>
      <c r="L166" s="1" t="s">
        <v>23</v>
      </c>
      <c r="M166" s="1" t="s">
        <v>27</v>
      </c>
      <c r="N166" s="1" t="s">
        <v>35</v>
      </c>
      <c r="O166">
        <v>2</v>
      </c>
      <c r="P166">
        <v>2</v>
      </c>
      <c r="Q166" s="1" t="s">
        <v>86</v>
      </c>
      <c r="R166">
        <v>2</v>
      </c>
      <c r="S166" s="1" t="s">
        <v>24</v>
      </c>
      <c r="T166">
        <v>20052000</v>
      </c>
      <c r="U166" t="s">
        <v>183</v>
      </c>
      <c r="V166" s="1" t="s">
        <v>176</v>
      </c>
      <c r="W166" s="1" t="s">
        <v>177</v>
      </c>
      <c r="X166" s="1" t="str">
        <f>VLOOKUP(V166,Broker_Directory!A:C,3,FALSE)</f>
        <v>Tier C</v>
      </c>
      <c r="Y166" s="1">
        <f>HLOOKUP(X166, Commission_Rates!A$1:C$2, 2, FALSE)</f>
        <v>0.01</v>
      </c>
      <c r="Z166" s="1">
        <f t="shared" si="6"/>
        <v>0</v>
      </c>
      <c r="AA166" s="1">
        <f t="shared" si="7"/>
        <v>0</v>
      </c>
      <c r="AB166" s="1">
        <f t="shared" si="8"/>
        <v>0</v>
      </c>
    </row>
    <row r="167" spans="1:28" x14ac:dyDescent="0.3">
      <c r="A167" s="1" t="s">
        <v>33</v>
      </c>
      <c r="B167" s="1" t="s">
        <v>48</v>
      </c>
      <c r="C167">
        <v>2</v>
      </c>
      <c r="D167">
        <v>1</v>
      </c>
      <c r="E167">
        <v>660</v>
      </c>
      <c r="F167">
        <v>911</v>
      </c>
      <c r="G167">
        <v>1</v>
      </c>
      <c r="H167">
        <v>1955</v>
      </c>
      <c r="I167">
        <v>2014</v>
      </c>
      <c r="J167" s="1" t="s">
        <v>30</v>
      </c>
      <c r="K167">
        <v>3</v>
      </c>
      <c r="L167" s="1" t="s">
        <v>31</v>
      </c>
      <c r="M167" s="1" t="s">
        <v>24</v>
      </c>
      <c r="N167" s="1" t="s">
        <v>25</v>
      </c>
      <c r="O167">
        <v>8</v>
      </c>
      <c r="P167">
        <v>5</v>
      </c>
      <c r="Q167" s="1" t="s">
        <v>57</v>
      </c>
      <c r="R167">
        <v>1</v>
      </c>
      <c r="S167" s="1" t="s">
        <v>27</v>
      </c>
      <c r="T167">
        <v>5875000</v>
      </c>
      <c r="U167" t="s">
        <v>184</v>
      </c>
      <c r="V167" s="1" t="s">
        <v>179</v>
      </c>
      <c r="W167" s="1" t="s">
        <v>180</v>
      </c>
      <c r="X167" s="1" t="str">
        <f>VLOOKUP(V167,Broker_Directory!A:C,3,FALSE)</f>
        <v>Tier B</v>
      </c>
      <c r="Y167" s="1">
        <f>HLOOKUP(X167, Commission_Rates!A$1:C$2, 2, FALSE)</f>
        <v>1.4999999999999999E-2</v>
      </c>
      <c r="Z167" s="1">
        <f t="shared" si="6"/>
        <v>88125</v>
      </c>
      <c r="AA167" s="1">
        <f t="shared" si="7"/>
        <v>176250</v>
      </c>
      <c r="AB167" s="1">
        <f t="shared" si="8"/>
        <v>88125</v>
      </c>
    </row>
    <row r="168" spans="1:28" x14ac:dyDescent="0.3">
      <c r="A168" s="1" t="s">
        <v>28</v>
      </c>
      <c r="B168" s="1" t="s">
        <v>29</v>
      </c>
      <c r="C168">
        <v>3</v>
      </c>
      <c r="D168">
        <v>3</v>
      </c>
      <c r="E168">
        <v>938</v>
      </c>
      <c r="F168">
        <v>7096</v>
      </c>
      <c r="G168">
        <v>1</v>
      </c>
      <c r="H168">
        <v>2014</v>
      </c>
      <c r="I168">
        <v>2023</v>
      </c>
      <c r="J168" s="1" t="s">
        <v>58</v>
      </c>
      <c r="K168">
        <v>1</v>
      </c>
      <c r="L168" s="1" t="s">
        <v>31</v>
      </c>
      <c r="M168" s="1" t="s">
        <v>24</v>
      </c>
      <c r="N168" s="1" t="s">
        <v>46</v>
      </c>
      <c r="O168">
        <v>1</v>
      </c>
      <c r="P168">
        <v>3</v>
      </c>
      <c r="Q168" s="1" t="s">
        <v>65</v>
      </c>
      <c r="R168">
        <v>2</v>
      </c>
      <c r="S168" s="1" t="s">
        <v>27</v>
      </c>
      <c r="T168">
        <v>9695000</v>
      </c>
      <c r="U168" t="s">
        <v>184</v>
      </c>
      <c r="V168" s="1" t="s">
        <v>179</v>
      </c>
      <c r="W168" s="1" t="s">
        <v>180</v>
      </c>
      <c r="X168" s="1" t="str">
        <f>VLOOKUP(V168,Broker_Directory!A:C,3,FALSE)</f>
        <v>Tier B</v>
      </c>
      <c r="Y168" s="1">
        <f>HLOOKUP(X168, Commission_Rates!A$1:C$2, 2, FALSE)</f>
        <v>1.4999999999999999E-2</v>
      </c>
      <c r="Z168" s="1">
        <f t="shared" si="6"/>
        <v>145425</v>
      </c>
      <c r="AA168" s="1">
        <f t="shared" si="7"/>
        <v>290850</v>
      </c>
      <c r="AB168" s="1">
        <f t="shared" si="8"/>
        <v>145425</v>
      </c>
    </row>
    <row r="169" spans="1:28" x14ac:dyDescent="0.3">
      <c r="A169" s="1" t="s">
        <v>20</v>
      </c>
      <c r="B169" s="1" t="s">
        <v>133</v>
      </c>
      <c r="C169">
        <v>4</v>
      </c>
      <c r="D169">
        <v>1</v>
      </c>
      <c r="E169">
        <v>3322</v>
      </c>
      <c r="F169">
        <v>5015</v>
      </c>
      <c r="G169">
        <v>2</v>
      </c>
      <c r="H169">
        <v>2022</v>
      </c>
      <c r="I169">
        <v>2023</v>
      </c>
      <c r="J169" s="1" t="s">
        <v>52</v>
      </c>
      <c r="K169">
        <v>3</v>
      </c>
      <c r="L169" s="1" t="s">
        <v>64</v>
      </c>
      <c r="M169" s="1" t="s">
        <v>27</v>
      </c>
      <c r="N169" s="1" t="s">
        <v>25</v>
      </c>
      <c r="O169">
        <v>8</v>
      </c>
      <c r="P169">
        <v>1</v>
      </c>
      <c r="Q169" s="1" t="s">
        <v>134</v>
      </c>
      <c r="R169">
        <v>0</v>
      </c>
      <c r="S169" s="1" t="s">
        <v>27</v>
      </c>
      <c r="T169">
        <v>40209000</v>
      </c>
      <c r="U169" t="s">
        <v>183</v>
      </c>
      <c r="V169" s="1" t="s">
        <v>171</v>
      </c>
      <c r="W169" s="1" t="s">
        <v>172</v>
      </c>
      <c r="X169" s="1" t="str">
        <f>VLOOKUP(V169,Broker_Directory!A:C,3,FALSE)</f>
        <v>Tier B</v>
      </c>
      <c r="Y169" s="1">
        <f>HLOOKUP(X169, Commission_Rates!A$1:C$2, 2, FALSE)</f>
        <v>1.4999999999999999E-2</v>
      </c>
      <c r="Z169" s="1">
        <f t="shared" si="6"/>
        <v>0</v>
      </c>
      <c r="AA169" s="1">
        <f t="shared" si="7"/>
        <v>0</v>
      </c>
      <c r="AB169" s="1">
        <f t="shared" si="8"/>
        <v>0</v>
      </c>
    </row>
    <row r="170" spans="1:28" x14ac:dyDescent="0.3">
      <c r="A170" s="1" t="s">
        <v>20</v>
      </c>
      <c r="B170" s="1" t="s">
        <v>40</v>
      </c>
      <c r="C170">
        <v>5</v>
      </c>
      <c r="D170">
        <v>3</v>
      </c>
      <c r="E170">
        <v>378</v>
      </c>
      <c r="F170">
        <v>5916</v>
      </c>
      <c r="G170">
        <v>1</v>
      </c>
      <c r="H170">
        <v>1998</v>
      </c>
      <c r="I170">
        <v>2024</v>
      </c>
      <c r="J170" s="1" t="s">
        <v>30</v>
      </c>
      <c r="K170">
        <v>0</v>
      </c>
      <c r="L170" s="1" t="s">
        <v>31</v>
      </c>
      <c r="M170" s="1" t="s">
        <v>24</v>
      </c>
      <c r="N170" s="1" t="s">
        <v>46</v>
      </c>
      <c r="O170">
        <v>7</v>
      </c>
      <c r="P170">
        <v>0</v>
      </c>
      <c r="Q170" s="1" t="s">
        <v>143</v>
      </c>
      <c r="R170">
        <v>2</v>
      </c>
      <c r="S170" s="1" t="s">
        <v>24</v>
      </c>
      <c r="T170">
        <v>5001000</v>
      </c>
      <c r="U170" t="s">
        <v>182</v>
      </c>
      <c r="V170" s="1" t="s">
        <v>168</v>
      </c>
      <c r="W170" s="1" t="s">
        <v>169</v>
      </c>
      <c r="X170" s="1" t="str">
        <f>VLOOKUP(V170,Broker_Directory!A:C,3,FALSE)</f>
        <v>Tier A</v>
      </c>
      <c r="Y170" s="1">
        <f>HLOOKUP(X170, Commission_Rates!A$1:C$2, 2, FALSE)</f>
        <v>0.02</v>
      </c>
      <c r="Z170" s="1">
        <f t="shared" si="6"/>
        <v>0</v>
      </c>
      <c r="AA170" s="1">
        <f t="shared" si="7"/>
        <v>0</v>
      </c>
      <c r="AB170" s="1">
        <f t="shared" si="8"/>
        <v>0</v>
      </c>
    </row>
    <row r="171" spans="1:28" x14ac:dyDescent="0.3">
      <c r="A171" s="1" t="s">
        <v>20</v>
      </c>
      <c r="B171" s="1" t="s">
        <v>40</v>
      </c>
      <c r="C171">
        <v>5</v>
      </c>
      <c r="D171">
        <v>4</v>
      </c>
      <c r="E171">
        <v>3351</v>
      </c>
      <c r="F171">
        <v>7156</v>
      </c>
      <c r="G171">
        <v>3</v>
      </c>
      <c r="H171">
        <v>1960</v>
      </c>
      <c r="I171">
        <v>1971</v>
      </c>
      <c r="J171" s="1" t="s">
        <v>52</v>
      </c>
      <c r="K171">
        <v>3</v>
      </c>
      <c r="L171" s="1" t="s">
        <v>23</v>
      </c>
      <c r="M171" s="1" t="s">
        <v>24</v>
      </c>
      <c r="N171" s="1" t="s">
        <v>46</v>
      </c>
      <c r="O171">
        <v>10</v>
      </c>
      <c r="P171">
        <v>1</v>
      </c>
      <c r="Q171" s="1" t="s">
        <v>143</v>
      </c>
      <c r="R171">
        <v>2</v>
      </c>
      <c r="S171" s="1" t="s">
        <v>27</v>
      </c>
      <c r="T171">
        <v>40697000</v>
      </c>
      <c r="U171" t="s">
        <v>183</v>
      </c>
      <c r="V171" s="1" t="s">
        <v>176</v>
      </c>
      <c r="W171" s="1" t="s">
        <v>177</v>
      </c>
      <c r="X171" s="1" t="str">
        <f>VLOOKUP(V171,Broker_Directory!A:C,3,FALSE)</f>
        <v>Tier C</v>
      </c>
      <c r="Y171" s="1">
        <f>HLOOKUP(X171, Commission_Rates!A$1:C$2, 2, FALSE)</f>
        <v>0.01</v>
      </c>
      <c r="Z171" s="1">
        <f t="shared" si="6"/>
        <v>0</v>
      </c>
      <c r="AA171" s="1">
        <f t="shared" si="7"/>
        <v>0</v>
      </c>
      <c r="AB171" s="1">
        <f t="shared" si="8"/>
        <v>0</v>
      </c>
    </row>
    <row r="172" spans="1:28" x14ac:dyDescent="0.3">
      <c r="A172" s="1" t="s">
        <v>53</v>
      </c>
      <c r="B172" s="1" t="s">
        <v>54</v>
      </c>
      <c r="C172">
        <v>3</v>
      </c>
      <c r="D172">
        <v>3</v>
      </c>
      <c r="E172">
        <v>4008</v>
      </c>
      <c r="F172">
        <v>6285</v>
      </c>
      <c r="G172">
        <v>1</v>
      </c>
      <c r="H172">
        <v>1959</v>
      </c>
      <c r="I172">
        <v>1983</v>
      </c>
      <c r="J172" s="1" t="s">
        <v>52</v>
      </c>
      <c r="K172">
        <v>0</v>
      </c>
      <c r="L172" s="1" t="s">
        <v>31</v>
      </c>
      <c r="M172" s="1" t="s">
        <v>24</v>
      </c>
      <c r="N172" s="1" t="s">
        <v>25</v>
      </c>
      <c r="O172">
        <v>7</v>
      </c>
      <c r="P172">
        <v>3</v>
      </c>
      <c r="Q172" s="1" t="s">
        <v>144</v>
      </c>
      <c r="R172">
        <v>3</v>
      </c>
      <c r="S172" s="1" t="s">
        <v>24</v>
      </c>
      <c r="T172">
        <v>36527000</v>
      </c>
      <c r="U172" t="s">
        <v>183</v>
      </c>
      <c r="V172" s="1" t="s">
        <v>168</v>
      </c>
      <c r="W172" s="1" t="s">
        <v>169</v>
      </c>
      <c r="X172" s="1" t="str">
        <f>VLOOKUP(V172,Broker_Directory!A:C,3,FALSE)</f>
        <v>Tier A</v>
      </c>
      <c r="Y172" s="1">
        <f>HLOOKUP(X172, Commission_Rates!A$1:C$2, 2, FALSE)</f>
        <v>0.02</v>
      </c>
      <c r="Z172" s="1">
        <f t="shared" si="6"/>
        <v>0</v>
      </c>
      <c r="AA172" s="1">
        <f t="shared" si="7"/>
        <v>0</v>
      </c>
      <c r="AB172" s="1">
        <f t="shared" si="8"/>
        <v>0</v>
      </c>
    </row>
    <row r="173" spans="1:28" x14ac:dyDescent="0.3">
      <c r="A173" s="1" t="s">
        <v>33</v>
      </c>
      <c r="B173" s="1" t="s">
        <v>34</v>
      </c>
      <c r="C173">
        <v>2</v>
      </c>
      <c r="D173">
        <v>4</v>
      </c>
      <c r="E173">
        <v>2825</v>
      </c>
      <c r="F173">
        <v>6670</v>
      </c>
      <c r="G173">
        <v>2</v>
      </c>
      <c r="H173">
        <v>1965</v>
      </c>
      <c r="I173">
        <v>1969</v>
      </c>
      <c r="J173" s="1" t="s">
        <v>52</v>
      </c>
      <c r="K173">
        <v>2</v>
      </c>
      <c r="L173" s="1" t="s">
        <v>23</v>
      </c>
      <c r="M173" s="1" t="s">
        <v>24</v>
      </c>
      <c r="N173" s="1" t="s">
        <v>46</v>
      </c>
      <c r="O173">
        <v>2</v>
      </c>
      <c r="P173">
        <v>0</v>
      </c>
      <c r="Q173" s="1" t="s">
        <v>132</v>
      </c>
      <c r="R173">
        <v>2</v>
      </c>
      <c r="S173" s="1" t="s">
        <v>27</v>
      </c>
      <c r="T173">
        <v>24327500</v>
      </c>
      <c r="U173" t="s">
        <v>183</v>
      </c>
      <c r="V173" s="1" t="s">
        <v>179</v>
      </c>
      <c r="W173" s="1" t="s">
        <v>180</v>
      </c>
      <c r="X173" s="1" t="str">
        <f>VLOOKUP(V173,Broker_Directory!A:C,3,FALSE)</f>
        <v>Tier B</v>
      </c>
      <c r="Y173" s="1">
        <f>HLOOKUP(X173, Commission_Rates!A$1:C$2, 2, FALSE)</f>
        <v>1.4999999999999999E-2</v>
      </c>
      <c r="Z173" s="1">
        <f t="shared" si="6"/>
        <v>0</v>
      </c>
      <c r="AA173" s="1">
        <f t="shared" si="7"/>
        <v>0</v>
      </c>
      <c r="AB173" s="1">
        <f t="shared" si="8"/>
        <v>0</v>
      </c>
    </row>
    <row r="174" spans="1:28" x14ac:dyDescent="0.3">
      <c r="A174" s="1" t="s">
        <v>33</v>
      </c>
      <c r="B174" s="1" t="s">
        <v>48</v>
      </c>
      <c r="C174">
        <v>3</v>
      </c>
      <c r="D174">
        <v>3</v>
      </c>
      <c r="E174">
        <v>1724</v>
      </c>
      <c r="F174">
        <v>2283</v>
      </c>
      <c r="G174">
        <v>2</v>
      </c>
      <c r="H174">
        <v>2007</v>
      </c>
      <c r="I174">
        <v>2023</v>
      </c>
      <c r="J174" s="1" t="s">
        <v>52</v>
      </c>
      <c r="K174">
        <v>0</v>
      </c>
      <c r="L174" s="1" t="s">
        <v>41</v>
      </c>
      <c r="M174" s="1" t="s">
        <v>24</v>
      </c>
      <c r="N174" s="1" t="s">
        <v>25</v>
      </c>
      <c r="O174">
        <v>1</v>
      </c>
      <c r="P174">
        <v>0</v>
      </c>
      <c r="Q174" s="1" t="s">
        <v>49</v>
      </c>
      <c r="R174">
        <v>1</v>
      </c>
      <c r="S174" s="1" t="s">
        <v>24</v>
      </c>
      <c r="T174">
        <v>15099000</v>
      </c>
      <c r="U174" t="s">
        <v>182</v>
      </c>
      <c r="V174" s="1" t="s">
        <v>171</v>
      </c>
      <c r="W174" s="1" t="s">
        <v>172</v>
      </c>
      <c r="X174" s="1" t="str">
        <f>VLOOKUP(V174,Broker_Directory!A:C,3,FALSE)</f>
        <v>Tier B</v>
      </c>
      <c r="Y174" s="1">
        <f>HLOOKUP(X174, Commission_Rates!A$1:C$2, 2, FALSE)</f>
        <v>1.4999999999999999E-2</v>
      </c>
      <c r="Z174" s="1">
        <f t="shared" si="6"/>
        <v>0</v>
      </c>
      <c r="AA174" s="1">
        <f t="shared" si="7"/>
        <v>0</v>
      </c>
      <c r="AB174" s="1">
        <f t="shared" si="8"/>
        <v>0</v>
      </c>
    </row>
    <row r="175" spans="1:28" x14ac:dyDescent="0.3">
      <c r="A175" s="1" t="s">
        <v>28</v>
      </c>
      <c r="B175" s="1" t="s">
        <v>29</v>
      </c>
      <c r="C175">
        <v>3</v>
      </c>
      <c r="D175">
        <v>1</v>
      </c>
      <c r="E175">
        <v>2420</v>
      </c>
      <c r="F175">
        <v>9985</v>
      </c>
      <c r="G175">
        <v>1</v>
      </c>
      <c r="H175">
        <v>1952</v>
      </c>
      <c r="I175">
        <v>1959</v>
      </c>
      <c r="J175" s="1" t="s">
        <v>52</v>
      </c>
      <c r="K175">
        <v>3</v>
      </c>
      <c r="L175" s="1" t="s">
        <v>31</v>
      </c>
      <c r="M175" s="1" t="s">
        <v>24</v>
      </c>
      <c r="N175" s="1" t="s">
        <v>46</v>
      </c>
      <c r="O175">
        <v>1</v>
      </c>
      <c r="P175">
        <v>0</v>
      </c>
      <c r="Q175" s="1" t="s">
        <v>81</v>
      </c>
      <c r="R175">
        <v>0</v>
      </c>
      <c r="S175" s="1" t="s">
        <v>24</v>
      </c>
      <c r="T175">
        <v>24475000</v>
      </c>
      <c r="U175" t="s">
        <v>183</v>
      </c>
      <c r="V175" s="1" t="s">
        <v>171</v>
      </c>
      <c r="W175" s="1" t="s">
        <v>172</v>
      </c>
      <c r="X175" s="1" t="str">
        <f>VLOOKUP(V175,Broker_Directory!A:C,3,FALSE)</f>
        <v>Tier B</v>
      </c>
      <c r="Y175" s="1">
        <f>HLOOKUP(X175, Commission_Rates!A$1:C$2, 2, FALSE)</f>
        <v>1.4999999999999999E-2</v>
      </c>
      <c r="Z175" s="1">
        <f t="shared" si="6"/>
        <v>0</v>
      </c>
      <c r="AA175" s="1">
        <f t="shared" si="7"/>
        <v>0</v>
      </c>
      <c r="AB175" s="1">
        <f t="shared" si="8"/>
        <v>0</v>
      </c>
    </row>
    <row r="176" spans="1:28" x14ac:dyDescent="0.3">
      <c r="A176" s="1" t="s">
        <v>33</v>
      </c>
      <c r="B176" s="1" t="s">
        <v>98</v>
      </c>
      <c r="C176">
        <v>4</v>
      </c>
      <c r="D176">
        <v>4</v>
      </c>
      <c r="E176">
        <v>541</v>
      </c>
      <c r="F176">
        <v>6861</v>
      </c>
      <c r="G176">
        <v>3</v>
      </c>
      <c r="H176">
        <v>2004</v>
      </c>
      <c r="I176">
        <v>2008</v>
      </c>
      <c r="J176" s="1" t="s">
        <v>30</v>
      </c>
      <c r="K176">
        <v>1</v>
      </c>
      <c r="L176" s="1" t="s">
        <v>31</v>
      </c>
      <c r="M176" s="1" t="s">
        <v>27</v>
      </c>
      <c r="N176" s="1" t="s">
        <v>46</v>
      </c>
      <c r="O176">
        <v>7</v>
      </c>
      <c r="P176">
        <v>1</v>
      </c>
      <c r="Q176" s="1" t="s">
        <v>145</v>
      </c>
      <c r="R176">
        <v>1</v>
      </c>
      <c r="S176" s="1" t="s">
        <v>27</v>
      </c>
      <c r="T176">
        <v>4993500</v>
      </c>
      <c r="U176" t="s">
        <v>182</v>
      </c>
      <c r="V176" s="1" t="s">
        <v>171</v>
      </c>
      <c r="W176" s="1" t="s">
        <v>172</v>
      </c>
      <c r="X176" s="1" t="str">
        <f>VLOOKUP(V176,Broker_Directory!A:C,3,FALSE)</f>
        <v>Tier B</v>
      </c>
      <c r="Y176" s="1">
        <f>HLOOKUP(X176, Commission_Rates!A$1:C$2, 2, FALSE)</f>
        <v>1.4999999999999999E-2</v>
      </c>
      <c r="Z176" s="1">
        <f t="shared" si="6"/>
        <v>0</v>
      </c>
      <c r="AA176" s="1">
        <f t="shared" si="7"/>
        <v>0</v>
      </c>
      <c r="AB176" s="1">
        <f t="shared" si="8"/>
        <v>0</v>
      </c>
    </row>
    <row r="177" spans="1:28" x14ac:dyDescent="0.3">
      <c r="A177" s="1" t="s">
        <v>37</v>
      </c>
      <c r="B177" s="1" t="s">
        <v>72</v>
      </c>
      <c r="C177">
        <v>5</v>
      </c>
      <c r="D177">
        <v>4</v>
      </c>
      <c r="E177">
        <v>799</v>
      </c>
      <c r="F177">
        <v>2286</v>
      </c>
      <c r="G177">
        <v>2</v>
      </c>
      <c r="H177">
        <v>1999</v>
      </c>
      <c r="I177">
        <v>2002</v>
      </c>
      <c r="J177" s="1" t="s">
        <v>22</v>
      </c>
      <c r="K177">
        <v>1</v>
      </c>
      <c r="L177" s="1" t="s">
        <v>31</v>
      </c>
      <c r="M177" s="1" t="s">
        <v>24</v>
      </c>
      <c r="N177" s="1" t="s">
        <v>46</v>
      </c>
      <c r="O177">
        <v>5</v>
      </c>
      <c r="P177">
        <v>3</v>
      </c>
      <c r="Q177" s="1" t="s">
        <v>94</v>
      </c>
      <c r="R177">
        <v>2</v>
      </c>
      <c r="S177" s="1" t="s">
        <v>27</v>
      </c>
      <c r="T177">
        <v>6857000</v>
      </c>
      <c r="U177" t="s">
        <v>184</v>
      </c>
      <c r="V177" s="1" t="s">
        <v>179</v>
      </c>
      <c r="W177" s="1" t="s">
        <v>180</v>
      </c>
      <c r="X177" s="1" t="str">
        <f>VLOOKUP(V177,Broker_Directory!A:C,3,FALSE)</f>
        <v>Tier B</v>
      </c>
      <c r="Y177" s="1">
        <f>HLOOKUP(X177, Commission_Rates!A$1:C$2, 2, FALSE)</f>
        <v>1.4999999999999999E-2</v>
      </c>
      <c r="Z177" s="1">
        <f t="shared" si="6"/>
        <v>102855</v>
      </c>
      <c r="AA177" s="1">
        <f t="shared" si="7"/>
        <v>205710</v>
      </c>
      <c r="AB177" s="1">
        <f t="shared" si="8"/>
        <v>102855</v>
      </c>
    </row>
    <row r="178" spans="1:28" x14ac:dyDescent="0.3">
      <c r="A178" s="1" t="s">
        <v>37</v>
      </c>
      <c r="B178" s="1" t="s">
        <v>38</v>
      </c>
      <c r="C178">
        <v>2</v>
      </c>
      <c r="D178">
        <v>1</v>
      </c>
      <c r="E178">
        <v>2912</v>
      </c>
      <c r="F178">
        <v>7853</v>
      </c>
      <c r="G178">
        <v>1</v>
      </c>
      <c r="H178">
        <v>1953</v>
      </c>
      <c r="I178">
        <v>1987</v>
      </c>
      <c r="J178" s="1" t="s">
        <v>58</v>
      </c>
      <c r="K178">
        <v>3</v>
      </c>
      <c r="L178" s="1" t="s">
        <v>64</v>
      </c>
      <c r="M178" s="1" t="s">
        <v>24</v>
      </c>
      <c r="N178" s="1" t="s">
        <v>25</v>
      </c>
      <c r="O178">
        <v>1</v>
      </c>
      <c r="P178">
        <v>1</v>
      </c>
      <c r="Q178" s="1" t="s">
        <v>86</v>
      </c>
      <c r="R178">
        <v>2</v>
      </c>
      <c r="S178" s="1" t="s">
        <v>24</v>
      </c>
      <c r="T178">
        <v>23626000</v>
      </c>
      <c r="U178" t="s">
        <v>183</v>
      </c>
      <c r="V178" s="1" t="s">
        <v>168</v>
      </c>
      <c r="W178" s="1" t="s">
        <v>169</v>
      </c>
      <c r="X178" s="1" t="str">
        <f>VLOOKUP(V178,Broker_Directory!A:C,3,FALSE)</f>
        <v>Tier A</v>
      </c>
      <c r="Y178" s="1">
        <f>HLOOKUP(X178, Commission_Rates!A$1:C$2, 2, FALSE)</f>
        <v>0.02</v>
      </c>
      <c r="Z178" s="1">
        <f t="shared" si="6"/>
        <v>0</v>
      </c>
      <c r="AA178" s="1">
        <f t="shared" si="7"/>
        <v>0</v>
      </c>
      <c r="AB178" s="1">
        <f t="shared" si="8"/>
        <v>0</v>
      </c>
    </row>
    <row r="179" spans="1:28" x14ac:dyDescent="0.3">
      <c r="A179" s="1" t="s">
        <v>28</v>
      </c>
      <c r="B179" s="1" t="s">
        <v>95</v>
      </c>
      <c r="C179">
        <v>4</v>
      </c>
      <c r="D179">
        <v>3</v>
      </c>
      <c r="E179">
        <v>1723</v>
      </c>
      <c r="F179">
        <v>4658</v>
      </c>
      <c r="G179">
        <v>1</v>
      </c>
      <c r="H179">
        <v>2025</v>
      </c>
      <c r="I179">
        <v>2025</v>
      </c>
      <c r="J179" s="1" t="s">
        <v>30</v>
      </c>
      <c r="K179">
        <v>0</v>
      </c>
      <c r="L179" s="1" t="s">
        <v>64</v>
      </c>
      <c r="M179" s="1" t="s">
        <v>24</v>
      </c>
      <c r="N179" s="1" t="s">
        <v>35</v>
      </c>
      <c r="O179">
        <v>3</v>
      </c>
      <c r="P179">
        <v>3</v>
      </c>
      <c r="Q179" s="1" t="s">
        <v>129</v>
      </c>
      <c r="R179">
        <v>1</v>
      </c>
      <c r="S179" s="1" t="s">
        <v>27</v>
      </c>
      <c r="T179">
        <v>17580000</v>
      </c>
      <c r="U179" t="s">
        <v>182</v>
      </c>
      <c r="V179" s="1" t="s">
        <v>171</v>
      </c>
      <c r="W179" s="1" t="s">
        <v>172</v>
      </c>
      <c r="X179" s="1" t="str">
        <f>VLOOKUP(V179,Broker_Directory!A:C,3,FALSE)</f>
        <v>Tier B</v>
      </c>
      <c r="Y179" s="1">
        <f>HLOOKUP(X179, Commission_Rates!A$1:C$2, 2, FALSE)</f>
        <v>1.4999999999999999E-2</v>
      </c>
      <c r="Z179" s="1">
        <f t="shared" si="6"/>
        <v>0</v>
      </c>
      <c r="AA179" s="1">
        <f t="shared" si="7"/>
        <v>0</v>
      </c>
      <c r="AB179" s="1">
        <f t="shared" si="8"/>
        <v>0</v>
      </c>
    </row>
    <row r="180" spans="1:28" x14ac:dyDescent="0.3">
      <c r="A180" s="1" t="s">
        <v>20</v>
      </c>
      <c r="B180" s="1" t="s">
        <v>21</v>
      </c>
      <c r="C180">
        <v>1</v>
      </c>
      <c r="D180">
        <v>2</v>
      </c>
      <c r="E180">
        <v>2092</v>
      </c>
      <c r="F180">
        <v>2305</v>
      </c>
      <c r="G180">
        <v>3</v>
      </c>
      <c r="H180">
        <v>2011</v>
      </c>
      <c r="I180">
        <v>0</v>
      </c>
      <c r="J180" s="1" t="s">
        <v>30</v>
      </c>
      <c r="K180">
        <v>1</v>
      </c>
      <c r="L180" s="1" t="s">
        <v>31</v>
      </c>
      <c r="M180" s="1" t="s">
        <v>27</v>
      </c>
      <c r="N180" s="1" t="s">
        <v>35</v>
      </c>
      <c r="O180">
        <v>2</v>
      </c>
      <c r="P180">
        <v>2</v>
      </c>
      <c r="Q180" s="1" t="s">
        <v>26</v>
      </c>
      <c r="R180">
        <v>0</v>
      </c>
      <c r="S180" s="1" t="s">
        <v>24</v>
      </c>
      <c r="T180">
        <v>25324000</v>
      </c>
      <c r="U180" t="s">
        <v>183</v>
      </c>
      <c r="V180" s="1" t="s">
        <v>171</v>
      </c>
      <c r="W180" s="1" t="s">
        <v>172</v>
      </c>
      <c r="X180" s="1" t="str">
        <f>VLOOKUP(V180,Broker_Directory!A:C,3,FALSE)</f>
        <v>Tier B</v>
      </c>
      <c r="Y180" s="1">
        <f>HLOOKUP(X180, Commission_Rates!A$1:C$2, 2, FALSE)</f>
        <v>1.4999999999999999E-2</v>
      </c>
      <c r="Z180" s="1">
        <f t="shared" si="6"/>
        <v>0</v>
      </c>
      <c r="AA180" s="1">
        <f t="shared" si="7"/>
        <v>0</v>
      </c>
      <c r="AB180" s="1">
        <f t="shared" si="8"/>
        <v>0</v>
      </c>
    </row>
    <row r="181" spans="1:28" x14ac:dyDescent="0.3">
      <c r="A181" s="1" t="s">
        <v>33</v>
      </c>
      <c r="B181" s="1" t="s">
        <v>75</v>
      </c>
      <c r="C181">
        <v>1</v>
      </c>
      <c r="D181">
        <v>3</v>
      </c>
      <c r="E181">
        <v>894</v>
      </c>
      <c r="F181">
        <v>7064</v>
      </c>
      <c r="G181">
        <v>3</v>
      </c>
      <c r="H181">
        <v>2000</v>
      </c>
      <c r="I181">
        <v>2017</v>
      </c>
      <c r="J181" s="1" t="s">
        <v>58</v>
      </c>
      <c r="K181">
        <v>2</v>
      </c>
      <c r="L181" s="1" t="s">
        <v>64</v>
      </c>
      <c r="M181" s="1" t="s">
        <v>27</v>
      </c>
      <c r="N181" s="1" t="s">
        <v>25</v>
      </c>
      <c r="O181">
        <v>2</v>
      </c>
      <c r="P181">
        <v>5</v>
      </c>
      <c r="Q181" s="1" t="s">
        <v>140</v>
      </c>
      <c r="R181">
        <v>3</v>
      </c>
      <c r="S181" s="1" t="s">
        <v>27</v>
      </c>
      <c r="T181">
        <v>7919000</v>
      </c>
      <c r="U181" t="s">
        <v>183</v>
      </c>
      <c r="V181" s="1" t="s">
        <v>171</v>
      </c>
      <c r="W181" s="1" t="s">
        <v>172</v>
      </c>
      <c r="X181" s="1" t="str">
        <f>VLOOKUP(V181,Broker_Directory!A:C,3,FALSE)</f>
        <v>Tier B</v>
      </c>
      <c r="Y181" s="1">
        <f>HLOOKUP(X181, Commission_Rates!A$1:C$2, 2, FALSE)</f>
        <v>1.4999999999999999E-2</v>
      </c>
      <c r="Z181" s="1">
        <f t="shared" si="6"/>
        <v>0</v>
      </c>
      <c r="AA181" s="1">
        <f t="shared" si="7"/>
        <v>0</v>
      </c>
      <c r="AB181" s="1">
        <f t="shared" si="8"/>
        <v>0</v>
      </c>
    </row>
    <row r="182" spans="1:28" x14ac:dyDescent="0.3">
      <c r="A182" s="1" t="s">
        <v>28</v>
      </c>
      <c r="B182" s="1" t="s">
        <v>95</v>
      </c>
      <c r="C182">
        <v>5</v>
      </c>
      <c r="D182">
        <v>3</v>
      </c>
      <c r="E182">
        <v>2128</v>
      </c>
      <c r="F182">
        <v>7630</v>
      </c>
      <c r="G182">
        <v>3</v>
      </c>
      <c r="H182">
        <v>1972</v>
      </c>
      <c r="I182">
        <v>1995</v>
      </c>
      <c r="J182" s="1" t="s">
        <v>30</v>
      </c>
      <c r="K182">
        <v>2</v>
      </c>
      <c r="L182" s="1" t="s">
        <v>31</v>
      </c>
      <c r="M182" s="1" t="s">
        <v>24</v>
      </c>
      <c r="N182" s="1" t="s">
        <v>35</v>
      </c>
      <c r="O182">
        <v>0</v>
      </c>
      <c r="P182">
        <v>5</v>
      </c>
      <c r="Q182" s="1" t="s">
        <v>146</v>
      </c>
      <c r="R182">
        <v>0</v>
      </c>
      <c r="S182" s="1" t="s">
        <v>24</v>
      </c>
      <c r="T182">
        <v>21755000</v>
      </c>
      <c r="U182" t="s">
        <v>184</v>
      </c>
      <c r="V182" s="1" t="s">
        <v>174</v>
      </c>
      <c r="W182" s="1" t="s">
        <v>175</v>
      </c>
      <c r="X182" s="1" t="str">
        <f>VLOOKUP(V182,Broker_Directory!A:C,3,FALSE)</f>
        <v>Tier A</v>
      </c>
      <c r="Y182" s="1">
        <f>HLOOKUP(X182, Commission_Rates!A$1:C$2, 2, FALSE)</f>
        <v>0.02</v>
      </c>
      <c r="Z182" s="1">
        <f t="shared" si="6"/>
        <v>435100</v>
      </c>
      <c r="AA182" s="1">
        <f t="shared" si="7"/>
        <v>652650</v>
      </c>
      <c r="AB182" s="1">
        <f t="shared" si="8"/>
        <v>217550</v>
      </c>
    </row>
    <row r="183" spans="1:28" x14ac:dyDescent="0.3">
      <c r="A183" s="1" t="s">
        <v>33</v>
      </c>
      <c r="B183" s="1" t="s">
        <v>34</v>
      </c>
      <c r="C183">
        <v>5</v>
      </c>
      <c r="D183">
        <v>2</v>
      </c>
      <c r="E183">
        <v>4932</v>
      </c>
      <c r="F183">
        <v>5834</v>
      </c>
      <c r="G183">
        <v>2</v>
      </c>
      <c r="H183">
        <v>1968</v>
      </c>
      <c r="I183">
        <v>1988</v>
      </c>
      <c r="J183" s="1" t="s">
        <v>58</v>
      </c>
      <c r="K183">
        <v>1</v>
      </c>
      <c r="L183" s="1" t="s">
        <v>64</v>
      </c>
      <c r="M183" s="1" t="s">
        <v>27</v>
      </c>
      <c r="N183" s="1" t="s">
        <v>25</v>
      </c>
      <c r="O183">
        <v>10</v>
      </c>
      <c r="P183">
        <v>0</v>
      </c>
      <c r="Q183" s="1" t="s">
        <v>147</v>
      </c>
      <c r="R183">
        <v>3</v>
      </c>
      <c r="S183" s="1" t="s">
        <v>24</v>
      </c>
      <c r="T183">
        <v>42442000</v>
      </c>
      <c r="U183" t="s">
        <v>182</v>
      </c>
      <c r="V183" s="1" t="s">
        <v>174</v>
      </c>
      <c r="W183" s="1" t="s">
        <v>175</v>
      </c>
      <c r="X183" s="1" t="str">
        <f>VLOOKUP(V183,Broker_Directory!A:C,3,FALSE)</f>
        <v>Tier A</v>
      </c>
      <c r="Y183" s="1">
        <f>HLOOKUP(X183, Commission_Rates!A$1:C$2, 2, FALSE)</f>
        <v>0.02</v>
      </c>
      <c r="Z183" s="1">
        <f t="shared" si="6"/>
        <v>0</v>
      </c>
      <c r="AA183" s="1">
        <f t="shared" si="7"/>
        <v>0</v>
      </c>
      <c r="AB183" s="1">
        <f t="shared" si="8"/>
        <v>0</v>
      </c>
    </row>
    <row r="184" spans="1:28" x14ac:dyDescent="0.3">
      <c r="A184" s="1" t="s">
        <v>53</v>
      </c>
      <c r="B184" s="1" t="s">
        <v>66</v>
      </c>
      <c r="C184">
        <v>2</v>
      </c>
      <c r="D184">
        <v>1</v>
      </c>
      <c r="E184">
        <v>3171</v>
      </c>
      <c r="F184">
        <v>5323</v>
      </c>
      <c r="G184">
        <v>1</v>
      </c>
      <c r="H184">
        <v>1950</v>
      </c>
      <c r="I184">
        <v>1955</v>
      </c>
      <c r="J184" s="1" t="s">
        <v>22</v>
      </c>
      <c r="K184">
        <v>3</v>
      </c>
      <c r="L184" s="1" t="s">
        <v>41</v>
      </c>
      <c r="M184" s="1" t="s">
        <v>24</v>
      </c>
      <c r="N184" s="1" t="s">
        <v>46</v>
      </c>
      <c r="O184">
        <v>7</v>
      </c>
      <c r="P184">
        <v>3</v>
      </c>
      <c r="Q184" s="1" t="s">
        <v>82</v>
      </c>
      <c r="R184">
        <v>3</v>
      </c>
      <c r="S184" s="1" t="s">
        <v>24</v>
      </c>
      <c r="T184">
        <v>28809000</v>
      </c>
      <c r="U184" t="s">
        <v>183</v>
      </c>
      <c r="V184" s="1" t="s">
        <v>179</v>
      </c>
      <c r="W184" s="1" t="s">
        <v>180</v>
      </c>
      <c r="X184" s="1" t="str">
        <f>VLOOKUP(V184,Broker_Directory!A:C,3,FALSE)</f>
        <v>Tier B</v>
      </c>
      <c r="Y184" s="1">
        <f>HLOOKUP(X184, Commission_Rates!A$1:C$2, 2, FALSE)</f>
        <v>1.4999999999999999E-2</v>
      </c>
      <c r="Z184" s="1">
        <f t="shared" si="6"/>
        <v>0</v>
      </c>
      <c r="AA184" s="1">
        <f t="shared" si="7"/>
        <v>0</v>
      </c>
      <c r="AB184" s="1">
        <f t="shared" si="8"/>
        <v>0</v>
      </c>
    </row>
    <row r="185" spans="1:28" x14ac:dyDescent="0.3">
      <c r="A185" s="1" t="s">
        <v>37</v>
      </c>
      <c r="B185" s="1" t="s">
        <v>45</v>
      </c>
      <c r="C185">
        <v>2</v>
      </c>
      <c r="D185">
        <v>2</v>
      </c>
      <c r="E185">
        <v>3996</v>
      </c>
      <c r="F185">
        <v>4649</v>
      </c>
      <c r="G185">
        <v>1</v>
      </c>
      <c r="H185">
        <v>1987</v>
      </c>
      <c r="I185">
        <v>1987</v>
      </c>
      <c r="J185" s="1" t="s">
        <v>30</v>
      </c>
      <c r="K185">
        <v>2</v>
      </c>
      <c r="L185" s="1" t="s">
        <v>23</v>
      </c>
      <c r="M185" s="1" t="s">
        <v>24</v>
      </c>
      <c r="N185" s="1" t="s">
        <v>46</v>
      </c>
      <c r="O185">
        <v>2</v>
      </c>
      <c r="P185">
        <v>3</v>
      </c>
      <c r="Q185" s="1" t="s">
        <v>124</v>
      </c>
      <c r="R185">
        <v>0</v>
      </c>
      <c r="S185" s="1" t="s">
        <v>24</v>
      </c>
      <c r="T185">
        <v>32223000</v>
      </c>
      <c r="U185" t="s">
        <v>182</v>
      </c>
      <c r="V185" s="1" t="s">
        <v>176</v>
      </c>
      <c r="W185" s="1" t="s">
        <v>177</v>
      </c>
      <c r="X185" s="1" t="str">
        <f>VLOOKUP(V185,Broker_Directory!A:C,3,FALSE)</f>
        <v>Tier C</v>
      </c>
      <c r="Y185" s="1">
        <f>HLOOKUP(X185, Commission_Rates!A$1:C$2, 2, FALSE)</f>
        <v>0.01</v>
      </c>
      <c r="Z185" s="1">
        <f t="shared" si="6"/>
        <v>0</v>
      </c>
      <c r="AA185" s="1">
        <f t="shared" si="7"/>
        <v>0</v>
      </c>
      <c r="AB185" s="1">
        <f t="shared" si="8"/>
        <v>0</v>
      </c>
    </row>
    <row r="186" spans="1:28" x14ac:dyDescent="0.3">
      <c r="A186" s="1" t="s">
        <v>53</v>
      </c>
      <c r="B186" s="1" t="s">
        <v>100</v>
      </c>
      <c r="C186">
        <v>5</v>
      </c>
      <c r="D186">
        <v>4</v>
      </c>
      <c r="E186">
        <v>553</v>
      </c>
      <c r="F186">
        <v>7669</v>
      </c>
      <c r="G186">
        <v>3</v>
      </c>
      <c r="H186">
        <v>1971</v>
      </c>
      <c r="I186">
        <v>2008</v>
      </c>
      <c r="J186" s="1" t="s">
        <v>22</v>
      </c>
      <c r="K186">
        <v>1</v>
      </c>
      <c r="L186" s="1" t="s">
        <v>23</v>
      </c>
      <c r="M186" s="1" t="s">
        <v>24</v>
      </c>
      <c r="N186" s="1" t="s">
        <v>46</v>
      </c>
      <c r="O186">
        <v>3</v>
      </c>
      <c r="P186">
        <v>1</v>
      </c>
      <c r="Q186" s="1" t="s">
        <v>104</v>
      </c>
      <c r="R186">
        <v>2</v>
      </c>
      <c r="S186" s="1" t="s">
        <v>27</v>
      </c>
      <c r="T186">
        <v>5462000</v>
      </c>
      <c r="U186" t="s">
        <v>184</v>
      </c>
      <c r="V186" s="1" t="s">
        <v>179</v>
      </c>
      <c r="W186" s="1" t="s">
        <v>180</v>
      </c>
      <c r="X186" s="1" t="str">
        <f>VLOOKUP(V186,Broker_Directory!A:C,3,FALSE)</f>
        <v>Tier B</v>
      </c>
      <c r="Y186" s="1">
        <f>HLOOKUP(X186, Commission_Rates!A$1:C$2, 2, FALSE)</f>
        <v>1.4999999999999999E-2</v>
      </c>
      <c r="Z186" s="1">
        <f t="shared" si="6"/>
        <v>81930</v>
      </c>
      <c r="AA186" s="1">
        <f t="shared" si="7"/>
        <v>163860</v>
      </c>
      <c r="AB186" s="1">
        <f t="shared" si="8"/>
        <v>81930</v>
      </c>
    </row>
    <row r="187" spans="1:28" x14ac:dyDescent="0.3">
      <c r="A187" s="1" t="s">
        <v>53</v>
      </c>
      <c r="B187" s="1" t="s">
        <v>66</v>
      </c>
      <c r="C187">
        <v>1</v>
      </c>
      <c r="D187">
        <v>1</v>
      </c>
      <c r="E187">
        <v>3518</v>
      </c>
      <c r="F187">
        <v>8251</v>
      </c>
      <c r="G187">
        <v>3</v>
      </c>
      <c r="H187">
        <v>2012</v>
      </c>
      <c r="I187">
        <v>2013</v>
      </c>
      <c r="J187" s="1" t="s">
        <v>58</v>
      </c>
      <c r="K187">
        <v>2</v>
      </c>
      <c r="L187" s="1" t="s">
        <v>23</v>
      </c>
      <c r="M187" s="1" t="s">
        <v>27</v>
      </c>
      <c r="N187" s="1" t="s">
        <v>25</v>
      </c>
      <c r="O187">
        <v>4</v>
      </c>
      <c r="P187">
        <v>5</v>
      </c>
      <c r="Q187" s="1" t="s">
        <v>91</v>
      </c>
      <c r="R187">
        <v>1</v>
      </c>
      <c r="S187" s="1" t="s">
        <v>24</v>
      </c>
      <c r="T187">
        <v>31942000</v>
      </c>
      <c r="U187" t="s">
        <v>182</v>
      </c>
      <c r="V187" s="1" t="s">
        <v>168</v>
      </c>
      <c r="W187" s="1" t="s">
        <v>169</v>
      </c>
      <c r="X187" s="1" t="str">
        <f>VLOOKUP(V187,Broker_Directory!A:C,3,FALSE)</f>
        <v>Tier A</v>
      </c>
      <c r="Y187" s="1">
        <f>HLOOKUP(X187, Commission_Rates!A$1:C$2, 2, FALSE)</f>
        <v>0.02</v>
      </c>
      <c r="Z187" s="1">
        <f t="shared" si="6"/>
        <v>0</v>
      </c>
      <c r="AA187" s="1">
        <f t="shared" si="7"/>
        <v>0</v>
      </c>
      <c r="AB187" s="1">
        <f t="shared" si="8"/>
        <v>0</v>
      </c>
    </row>
    <row r="188" spans="1:28" x14ac:dyDescent="0.3">
      <c r="A188" s="1" t="s">
        <v>20</v>
      </c>
      <c r="B188" s="1" t="s">
        <v>40</v>
      </c>
      <c r="C188">
        <v>2</v>
      </c>
      <c r="D188">
        <v>3</v>
      </c>
      <c r="E188">
        <v>971</v>
      </c>
      <c r="F188">
        <v>8779</v>
      </c>
      <c r="G188">
        <v>1</v>
      </c>
      <c r="H188">
        <v>1989</v>
      </c>
      <c r="I188">
        <v>2013</v>
      </c>
      <c r="J188" s="1" t="s">
        <v>22</v>
      </c>
      <c r="K188">
        <v>3</v>
      </c>
      <c r="L188" s="1" t="s">
        <v>64</v>
      </c>
      <c r="M188" s="1" t="s">
        <v>24</v>
      </c>
      <c r="N188" s="1" t="s">
        <v>35</v>
      </c>
      <c r="O188">
        <v>8</v>
      </c>
      <c r="P188">
        <v>3</v>
      </c>
      <c r="Q188" s="1" t="s">
        <v>143</v>
      </c>
      <c r="R188">
        <v>2</v>
      </c>
      <c r="S188" s="1" t="s">
        <v>27</v>
      </c>
      <c r="T188">
        <v>11917000</v>
      </c>
      <c r="U188" t="s">
        <v>183</v>
      </c>
      <c r="V188" s="1" t="s">
        <v>176</v>
      </c>
      <c r="W188" s="1" t="s">
        <v>177</v>
      </c>
      <c r="X188" s="1" t="str">
        <f>VLOOKUP(V188,Broker_Directory!A:C,3,FALSE)</f>
        <v>Tier C</v>
      </c>
      <c r="Y188" s="1">
        <f>HLOOKUP(X188, Commission_Rates!A$1:C$2, 2, FALSE)</f>
        <v>0.01</v>
      </c>
      <c r="Z188" s="1">
        <f t="shared" si="6"/>
        <v>0</v>
      </c>
      <c r="AA188" s="1">
        <f t="shared" si="7"/>
        <v>0</v>
      </c>
      <c r="AB188" s="1">
        <f t="shared" si="8"/>
        <v>0</v>
      </c>
    </row>
    <row r="189" spans="1:28" x14ac:dyDescent="0.3">
      <c r="A189" s="1" t="s">
        <v>53</v>
      </c>
      <c r="B189" s="1" t="s">
        <v>66</v>
      </c>
      <c r="C189">
        <v>4</v>
      </c>
      <c r="D189">
        <v>1</v>
      </c>
      <c r="E189">
        <v>2456</v>
      </c>
      <c r="F189">
        <v>6108</v>
      </c>
      <c r="G189">
        <v>2</v>
      </c>
      <c r="H189">
        <v>1983</v>
      </c>
      <c r="I189">
        <v>1996</v>
      </c>
      <c r="J189" s="1" t="s">
        <v>30</v>
      </c>
      <c r="K189">
        <v>0</v>
      </c>
      <c r="L189" s="1" t="s">
        <v>31</v>
      </c>
      <c r="M189" s="1" t="s">
        <v>24</v>
      </c>
      <c r="N189" s="1" t="s">
        <v>25</v>
      </c>
      <c r="O189">
        <v>10</v>
      </c>
      <c r="P189">
        <v>2</v>
      </c>
      <c r="Q189" s="1" t="s">
        <v>91</v>
      </c>
      <c r="R189">
        <v>1</v>
      </c>
      <c r="S189" s="1" t="s">
        <v>24</v>
      </c>
      <c r="T189">
        <v>22539000</v>
      </c>
      <c r="U189" t="s">
        <v>182</v>
      </c>
      <c r="V189" s="1" t="s">
        <v>176</v>
      </c>
      <c r="W189" s="1" t="s">
        <v>177</v>
      </c>
      <c r="X189" s="1" t="str">
        <f>VLOOKUP(V189,Broker_Directory!A:C,3,FALSE)</f>
        <v>Tier C</v>
      </c>
      <c r="Y189" s="1">
        <f>HLOOKUP(X189, Commission_Rates!A$1:C$2, 2, FALSE)</f>
        <v>0.01</v>
      </c>
      <c r="Z189" s="1">
        <f t="shared" si="6"/>
        <v>0</v>
      </c>
      <c r="AA189" s="1">
        <f t="shared" si="7"/>
        <v>0</v>
      </c>
      <c r="AB189" s="1">
        <f t="shared" si="8"/>
        <v>0</v>
      </c>
    </row>
    <row r="190" spans="1:28" x14ac:dyDescent="0.3">
      <c r="A190" s="1" t="s">
        <v>37</v>
      </c>
      <c r="B190" s="1" t="s">
        <v>45</v>
      </c>
      <c r="C190">
        <v>4</v>
      </c>
      <c r="D190">
        <v>4</v>
      </c>
      <c r="E190">
        <v>4991</v>
      </c>
      <c r="F190">
        <v>6971</v>
      </c>
      <c r="G190">
        <v>2</v>
      </c>
      <c r="H190">
        <v>1988</v>
      </c>
      <c r="I190">
        <v>1992</v>
      </c>
      <c r="J190" s="1" t="s">
        <v>22</v>
      </c>
      <c r="K190">
        <v>0</v>
      </c>
      <c r="L190" s="1" t="s">
        <v>31</v>
      </c>
      <c r="M190" s="1" t="s">
        <v>24</v>
      </c>
      <c r="N190" s="1" t="s">
        <v>46</v>
      </c>
      <c r="O190">
        <v>2</v>
      </c>
      <c r="P190">
        <v>1</v>
      </c>
      <c r="Q190" s="1" t="s">
        <v>124</v>
      </c>
      <c r="R190">
        <v>1</v>
      </c>
      <c r="S190" s="1" t="s">
        <v>24</v>
      </c>
      <c r="T190">
        <v>40378000</v>
      </c>
      <c r="U190" t="s">
        <v>182</v>
      </c>
      <c r="V190" s="1" t="s">
        <v>174</v>
      </c>
      <c r="W190" s="1" t="s">
        <v>175</v>
      </c>
      <c r="X190" s="1" t="str">
        <f>VLOOKUP(V190,Broker_Directory!A:C,3,FALSE)</f>
        <v>Tier A</v>
      </c>
      <c r="Y190" s="1">
        <f>HLOOKUP(X190, Commission_Rates!A$1:C$2, 2, FALSE)</f>
        <v>0.02</v>
      </c>
      <c r="Z190" s="1">
        <f t="shared" si="6"/>
        <v>0</v>
      </c>
      <c r="AA190" s="1">
        <f t="shared" si="7"/>
        <v>0</v>
      </c>
      <c r="AB190" s="1">
        <f t="shared" si="8"/>
        <v>0</v>
      </c>
    </row>
    <row r="191" spans="1:28" x14ac:dyDescent="0.3">
      <c r="A191" s="1" t="s">
        <v>20</v>
      </c>
      <c r="B191" s="1" t="s">
        <v>50</v>
      </c>
      <c r="C191">
        <v>1</v>
      </c>
      <c r="D191">
        <v>4</v>
      </c>
      <c r="E191">
        <v>1954</v>
      </c>
      <c r="F191">
        <v>8742</v>
      </c>
      <c r="G191">
        <v>3</v>
      </c>
      <c r="H191">
        <v>1968</v>
      </c>
      <c r="I191">
        <v>2020</v>
      </c>
      <c r="J191" s="1" t="s">
        <v>30</v>
      </c>
      <c r="K191">
        <v>2</v>
      </c>
      <c r="L191" s="1" t="s">
        <v>23</v>
      </c>
      <c r="M191" s="1" t="s">
        <v>24</v>
      </c>
      <c r="N191" s="1" t="s">
        <v>46</v>
      </c>
      <c r="O191">
        <v>8</v>
      </c>
      <c r="P191">
        <v>3</v>
      </c>
      <c r="Q191" s="1" t="s">
        <v>51</v>
      </c>
      <c r="R191">
        <v>2</v>
      </c>
      <c r="S191" s="1" t="s">
        <v>27</v>
      </c>
      <c r="T191">
        <v>23733000</v>
      </c>
      <c r="U191" t="s">
        <v>182</v>
      </c>
      <c r="V191" s="1" t="s">
        <v>168</v>
      </c>
      <c r="W191" s="1" t="s">
        <v>169</v>
      </c>
      <c r="X191" s="1" t="str">
        <f>VLOOKUP(V191,Broker_Directory!A:C,3,FALSE)</f>
        <v>Tier A</v>
      </c>
      <c r="Y191" s="1">
        <f>HLOOKUP(X191, Commission_Rates!A$1:C$2, 2, FALSE)</f>
        <v>0.02</v>
      </c>
      <c r="Z191" s="1">
        <f t="shared" si="6"/>
        <v>0</v>
      </c>
      <c r="AA191" s="1">
        <f t="shared" si="7"/>
        <v>0</v>
      </c>
      <c r="AB191" s="1">
        <f t="shared" si="8"/>
        <v>0</v>
      </c>
    </row>
    <row r="192" spans="1:28" x14ac:dyDescent="0.3">
      <c r="A192" s="1" t="s">
        <v>20</v>
      </c>
      <c r="B192" s="1" t="s">
        <v>133</v>
      </c>
      <c r="C192">
        <v>5</v>
      </c>
      <c r="D192">
        <v>4</v>
      </c>
      <c r="E192">
        <v>1221</v>
      </c>
      <c r="F192">
        <v>8061</v>
      </c>
      <c r="G192">
        <v>1</v>
      </c>
      <c r="H192">
        <v>1968</v>
      </c>
      <c r="I192">
        <v>2003</v>
      </c>
      <c r="J192" s="1" t="s">
        <v>58</v>
      </c>
      <c r="K192">
        <v>0</v>
      </c>
      <c r="L192" s="1" t="s">
        <v>23</v>
      </c>
      <c r="M192" s="1" t="s">
        <v>27</v>
      </c>
      <c r="N192" s="1" t="s">
        <v>35</v>
      </c>
      <c r="O192">
        <v>5</v>
      </c>
      <c r="P192">
        <v>3</v>
      </c>
      <c r="Q192" s="1" t="s">
        <v>148</v>
      </c>
      <c r="R192">
        <v>3</v>
      </c>
      <c r="S192" s="1" t="s">
        <v>27</v>
      </c>
      <c r="T192">
        <v>15087000</v>
      </c>
      <c r="U192" t="s">
        <v>183</v>
      </c>
      <c r="V192" s="1" t="s">
        <v>168</v>
      </c>
      <c r="W192" s="1" t="s">
        <v>169</v>
      </c>
      <c r="X192" s="1" t="str">
        <f>VLOOKUP(V192,Broker_Directory!A:C,3,FALSE)</f>
        <v>Tier A</v>
      </c>
      <c r="Y192" s="1">
        <f>HLOOKUP(X192, Commission_Rates!A$1:C$2, 2, FALSE)</f>
        <v>0.02</v>
      </c>
      <c r="Z192" s="1">
        <f t="shared" si="6"/>
        <v>0</v>
      </c>
      <c r="AA192" s="1">
        <f t="shared" si="7"/>
        <v>0</v>
      </c>
      <c r="AB192" s="1">
        <f t="shared" si="8"/>
        <v>0</v>
      </c>
    </row>
    <row r="193" spans="1:28" x14ac:dyDescent="0.3">
      <c r="A193" s="1" t="s">
        <v>33</v>
      </c>
      <c r="B193" s="1" t="s">
        <v>43</v>
      </c>
      <c r="C193">
        <v>4</v>
      </c>
      <c r="D193">
        <v>1</v>
      </c>
      <c r="E193">
        <v>1710</v>
      </c>
      <c r="F193">
        <v>6272</v>
      </c>
      <c r="G193">
        <v>2</v>
      </c>
      <c r="H193">
        <v>1968</v>
      </c>
      <c r="I193">
        <v>2006</v>
      </c>
      <c r="J193" s="1" t="s">
        <v>22</v>
      </c>
      <c r="K193">
        <v>0</v>
      </c>
      <c r="L193" s="1" t="s">
        <v>41</v>
      </c>
      <c r="M193" s="1" t="s">
        <v>27</v>
      </c>
      <c r="N193" s="1" t="s">
        <v>35</v>
      </c>
      <c r="O193">
        <v>3</v>
      </c>
      <c r="P193">
        <v>0</v>
      </c>
      <c r="Q193" s="1" t="s">
        <v>44</v>
      </c>
      <c r="R193">
        <v>2</v>
      </c>
      <c r="S193" s="1" t="s">
        <v>27</v>
      </c>
      <c r="T193">
        <v>14835000</v>
      </c>
      <c r="U193" t="s">
        <v>184</v>
      </c>
      <c r="V193" s="1" t="s">
        <v>168</v>
      </c>
      <c r="W193" s="1" t="s">
        <v>169</v>
      </c>
      <c r="X193" s="1" t="str">
        <f>VLOOKUP(V193,Broker_Directory!A:C,3,FALSE)</f>
        <v>Tier A</v>
      </c>
      <c r="Y193" s="1">
        <f>HLOOKUP(X193, Commission_Rates!A$1:C$2, 2, FALSE)</f>
        <v>0.02</v>
      </c>
      <c r="Z193" s="1">
        <f t="shared" si="6"/>
        <v>296700</v>
      </c>
      <c r="AA193" s="1">
        <f t="shared" si="7"/>
        <v>445050</v>
      </c>
      <c r="AB193" s="1">
        <f t="shared" si="8"/>
        <v>148350</v>
      </c>
    </row>
    <row r="194" spans="1:28" x14ac:dyDescent="0.3">
      <c r="A194" s="1" t="s">
        <v>20</v>
      </c>
      <c r="B194" s="1" t="s">
        <v>69</v>
      </c>
      <c r="C194">
        <v>3</v>
      </c>
      <c r="D194">
        <v>3</v>
      </c>
      <c r="E194">
        <v>2596</v>
      </c>
      <c r="F194">
        <v>9550</v>
      </c>
      <c r="G194">
        <v>2</v>
      </c>
      <c r="H194">
        <v>1962</v>
      </c>
      <c r="I194">
        <v>1990</v>
      </c>
      <c r="J194" s="1" t="s">
        <v>52</v>
      </c>
      <c r="K194">
        <v>2</v>
      </c>
      <c r="L194" s="1" t="s">
        <v>41</v>
      </c>
      <c r="M194" s="1" t="s">
        <v>27</v>
      </c>
      <c r="N194" s="1" t="s">
        <v>46</v>
      </c>
      <c r="O194">
        <v>6</v>
      </c>
      <c r="P194">
        <v>4</v>
      </c>
      <c r="Q194" s="1" t="s">
        <v>74</v>
      </c>
      <c r="R194">
        <v>1</v>
      </c>
      <c r="S194" s="1" t="s">
        <v>27</v>
      </c>
      <c r="T194">
        <v>31447000</v>
      </c>
      <c r="U194" t="s">
        <v>183</v>
      </c>
      <c r="V194" s="1" t="s">
        <v>174</v>
      </c>
      <c r="W194" s="1" t="s">
        <v>175</v>
      </c>
      <c r="X194" s="1" t="str">
        <f>VLOOKUP(V194,Broker_Directory!A:C,3,FALSE)</f>
        <v>Tier A</v>
      </c>
      <c r="Y194" s="1">
        <f>HLOOKUP(X194, Commission_Rates!A$1:C$2, 2, FALSE)</f>
        <v>0.02</v>
      </c>
      <c r="Z194" s="1">
        <f t="shared" ref="Z194:Z257" si="9">IF(U194="Sold",T194*Y194,0)</f>
        <v>0</v>
      </c>
      <c r="AA194" s="1">
        <f t="shared" ref="AA194:AA257" si="10">IF(U194="Sold", T194 * 0.03, 0)</f>
        <v>0</v>
      </c>
      <c r="AB194" s="1">
        <f t="shared" ref="AB194:AB257" si="11">AA194 - Z194</f>
        <v>0</v>
      </c>
    </row>
    <row r="195" spans="1:28" x14ac:dyDescent="0.3">
      <c r="A195" s="1" t="s">
        <v>28</v>
      </c>
      <c r="B195" s="1" t="s">
        <v>29</v>
      </c>
      <c r="C195">
        <v>4</v>
      </c>
      <c r="D195">
        <v>3</v>
      </c>
      <c r="E195">
        <v>760</v>
      </c>
      <c r="F195">
        <v>9252</v>
      </c>
      <c r="G195">
        <v>1</v>
      </c>
      <c r="H195">
        <v>1958</v>
      </c>
      <c r="I195">
        <v>1996</v>
      </c>
      <c r="J195" s="1" t="s">
        <v>22</v>
      </c>
      <c r="K195">
        <v>1</v>
      </c>
      <c r="L195" s="1" t="s">
        <v>23</v>
      </c>
      <c r="M195" s="1" t="s">
        <v>24</v>
      </c>
      <c r="N195" s="1" t="s">
        <v>25</v>
      </c>
      <c r="O195">
        <v>3</v>
      </c>
      <c r="P195">
        <v>0</v>
      </c>
      <c r="Q195" s="1" t="s">
        <v>149</v>
      </c>
      <c r="R195">
        <v>0</v>
      </c>
      <c r="S195" s="1" t="s">
        <v>27</v>
      </c>
      <c r="T195">
        <v>8010000</v>
      </c>
      <c r="U195" t="s">
        <v>184</v>
      </c>
      <c r="V195" s="1" t="s">
        <v>171</v>
      </c>
      <c r="W195" s="1" t="s">
        <v>172</v>
      </c>
      <c r="X195" s="1" t="str">
        <f>VLOOKUP(V195,Broker_Directory!A:C,3,FALSE)</f>
        <v>Tier B</v>
      </c>
      <c r="Y195" s="1">
        <f>HLOOKUP(X195, Commission_Rates!A$1:C$2, 2, FALSE)</f>
        <v>1.4999999999999999E-2</v>
      </c>
      <c r="Z195" s="1">
        <f t="shared" si="9"/>
        <v>120150</v>
      </c>
      <c r="AA195" s="1">
        <f t="shared" si="10"/>
        <v>240300</v>
      </c>
      <c r="AB195" s="1">
        <f t="shared" si="11"/>
        <v>120150</v>
      </c>
    </row>
    <row r="196" spans="1:28" x14ac:dyDescent="0.3">
      <c r="A196" s="1" t="s">
        <v>20</v>
      </c>
      <c r="B196" s="1" t="s">
        <v>69</v>
      </c>
      <c r="C196">
        <v>2</v>
      </c>
      <c r="D196">
        <v>3</v>
      </c>
      <c r="E196">
        <v>3317</v>
      </c>
      <c r="F196">
        <v>7169</v>
      </c>
      <c r="G196">
        <v>3</v>
      </c>
      <c r="H196">
        <v>2000</v>
      </c>
      <c r="I196">
        <v>2019</v>
      </c>
      <c r="J196" s="1" t="s">
        <v>58</v>
      </c>
      <c r="K196">
        <v>0</v>
      </c>
      <c r="L196" s="1" t="s">
        <v>31</v>
      </c>
      <c r="M196" s="1" t="s">
        <v>27</v>
      </c>
      <c r="N196" s="1" t="s">
        <v>46</v>
      </c>
      <c r="O196">
        <v>9</v>
      </c>
      <c r="P196">
        <v>3</v>
      </c>
      <c r="Q196" s="1" t="s">
        <v>70</v>
      </c>
      <c r="R196">
        <v>3</v>
      </c>
      <c r="S196" s="1" t="s">
        <v>27</v>
      </c>
      <c r="T196">
        <v>40099000</v>
      </c>
      <c r="U196" t="s">
        <v>184</v>
      </c>
      <c r="V196" s="1" t="s">
        <v>168</v>
      </c>
      <c r="W196" s="1" t="s">
        <v>169</v>
      </c>
      <c r="X196" s="1" t="str">
        <f>VLOOKUP(V196,Broker_Directory!A:C,3,FALSE)</f>
        <v>Tier A</v>
      </c>
      <c r="Y196" s="1">
        <f>HLOOKUP(X196, Commission_Rates!A$1:C$2, 2, FALSE)</f>
        <v>0.02</v>
      </c>
      <c r="Z196" s="1">
        <f t="shared" si="9"/>
        <v>801980</v>
      </c>
      <c r="AA196" s="1">
        <f t="shared" si="10"/>
        <v>1202970</v>
      </c>
      <c r="AB196" s="1">
        <f t="shared" si="11"/>
        <v>400990</v>
      </c>
    </row>
    <row r="197" spans="1:28" x14ac:dyDescent="0.3">
      <c r="A197" s="1" t="s">
        <v>53</v>
      </c>
      <c r="B197" s="1" t="s">
        <v>66</v>
      </c>
      <c r="C197">
        <v>3</v>
      </c>
      <c r="D197">
        <v>1</v>
      </c>
      <c r="E197">
        <v>2635</v>
      </c>
      <c r="F197">
        <v>2909</v>
      </c>
      <c r="G197">
        <v>2</v>
      </c>
      <c r="H197">
        <v>1956</v>
      </c>
      <c r="I197">
        <v>1975</v>
      </c>
      <c r="J197" s="1" t="s">
        <v>52</v>
      </c>
      <c r="K197">
        <v>1</v>
      </c>
      <c r="L197" s="1" t="s">
        <v>31</v>
      </c>
      <c r="M197" s="1" t="s">
        <v>24</v>
      </c>
      <c r="N197" s="1" t="s">
        <v>46</v>
      </c>
      <c r="O197">
        <v>10</v>
      </c>
      <c r="P197">
        <v>3</v>
      </c>
      <c r="Q197" s="1" t="s">
        <v>142</v>
      </c>
      <c r="R197">
        <v>0</v>
      </c>
      <c r="S197" s="1" t="s">
        <v>27</v>
      </c>
      <c r="T197">
        <v>23960000</v>
      </c>
      <c r="U197" t="s">
        <v>182</v>
      </c>
      <c r="V197" s="1" t="s">
        <v>174</v>
      </c>
      <c r="W197" s="1" t="s">
        <v>175</v>
      </c>
      <c r="X197" s="1" t="str">
        <f>VLOOKUP(V197,Broker_Directory!A:C,3,FALSE)</f>
        <v>Tier A</v>
      </c>
      <c r="Y197" s="1">
        <f>HLOOKUP(X197, Commission_Rates!A$1:C$2, 2, FALSE)</f>
        <v>0.02</v>
      </c>
      <c r="Z197" s="1">
        <f t="shared" si="9"/>
        <v>0</v>
      </c>
      <c r="AA197" s="1">
        <f t="shared" si="10"/>
        <v>0</v>
      </c>
      <c r="AB197" s="1">
        <f t="shared" si="11"/>
        <v>0</v>
      </c>
    </row>
    <row r="198" spans="1:28" x14ac:dyDescent="0.3">
      <c r="A198" s="1" t="s">
        <v>28</v>
      </c>
      <c r="B198" s="1" t="s">
        <v>110</v>
      </c>
      <c r="C198">
        <v>5</v>
      </c>
      <c r="D198">
        <v>1</v>
      </c>
      <c r="E198">
        <v>2133</v>
      </c>
      <c r="F198">
        <v>4250</v>
      </c>
      <c r="G198">
        <v>3</v>
      </c>
      <c r="H198">
        <v>1989</v>
      </c>
      <c r="I198">
        <v>2005</v>
      </c>
      <c r="J198" s="1" t="s">
        <v>22</v>
      </c>
      <c r="K198">
        <v>3</v>
      </c>
      <c r="L198" s="1" t="s">
        <v>64</v>
      </c>
      <c r="M198" s="1" t="s">
        <v>27</v>
      </c>
      <c r="N198" s="1" t="s">
        <v>46</v>
      </c>
      <c r="O198">
        <v>3</v>
      </c>
      <c r="P198">
        <v>3</v>
      </c>
      <c r="Q198" s="1" t="s">
        <v>111</v>
      </c>
      <c r="R198">
        <v>3</v>
      </c>
      <c r="S198" s="1" t="s">
        <v>24</v>
      </c>
      <c r="T198">
        <v>21765000</v>
      </c>
      <c r="U198" t="s">
        <v>183</v>
      </c>
      <c r="V198" s="1" t="s">
        <v>176</v>
      </c>
      <c r="W198" s="1" t="s">
        <v>177</v>
      </c>
      <c r="X198" s="1" t="str">
        <f>VLOOKUP(V198,Broker_Directory!A:C,3,FALSE)</f>
        <v>Tier C</v>
      </c>
      <c r="Y198" s="1">
        <f>HLOOKUP(X198, Commission_Rates!A$1:C$2, 2, FALSE)</f>
        <v>0.01</v>
      </c>
      <c r="Z198" s="1">
        <f t="shared" si="9"/>
        <v>0</v>
      </c>
      <c r="AA198" s="1">
        <f t="shared" si="10"/>
        <v>0</v>
      </c>
      <c r="AB198" s="1">
        <f t="shared" si="11"/>
        <v>0</v>
      </c>
    </row>
    <row r="199" spans="1:28" x14ac:dyDescent="0.3">
      <c r="A199" s="1" t="s">
        <v>20</v>
      </c>
      <c r="B199" s="1" t="s">
        <v>133</v>
      </c>
      <c r="C199">
        <v>3</v>
      </c>
      <c r="D199">
        <v>3</v>
      </c>
      <c r="E199">
        <v>2745</v>
      </c>
      <c r="F199">
        <v>8401</v>
      </c>
      <c r="G199">
        <v>1</v>
      </c>
      <c r="H199">
        <v>2011</v>
      </c>
      <c r="I199">
        <v>2012</v>
      </c>
      <c r="J199" s="1" t="s">
        <v>30</v>
      </c>
      <c r="K199">
        <v>2</v>
      </c>
      <c r="L199" s="1" t="s">
        <v>64</v>
      </c>
      <c r="M199" s="1" t="s">
        <v>27</v>
      </c>
      <c r="N199" s="1" t="s">
        <v>46</v>
      </c>
      <c r="O199">
        <v>10</v>
      </c>
      <c r="P199">
        <v>5</v>
      </c>
      <c r="Q199" s="1" t="s">
        <v>148</v>
      </c>
      <c r="R199">
        <v>1</v>
      </c>
      <c r="S199" s="1" t="s">
        <v>24</v>
      </c>
      <c r="T199">
        <v>33265000</v>
      </c>
      <c r="U199" t="s">
        <v>182</v>
      </c>
      <c r="V199" s="1" t="s">
        <v>176</v>
      </c>
      <c r="W199" s="1" t="s">
        <v>177</v>
      </c>
      <c r="X199" s="1" t="str">
        <f>VLOOKUP(V199,Broker_Directory!A:C,3,FALSE)</f>
        <v>Tier C</v>
      </c>
      <c r="Y199" s="1">
        <f>HLOOKUP(X199, Commission_Rates!A$1:C$2, 2, FALSE)</f>
        <v>0.01</v>
      </c>
      <c r="Z199" s="1">
        <f t="shared" si="9"/>
        <v>0</v>
      </c>
      <c r="AA199" s="1">
        <f t="shared" si="10"/>
        <v>0</v>
      </c>
      <c r="AB199" s="1">
        <f t="shared" si="11"/>
        <v>0</v>
      </c>
    </row>
    <row r="200" spans="1:28" x14ac:dyDescent="0.3">
      <c r="A200" s="1" t="s">
        <v>33</v>
      </c>
      <c r="B200" s="1" t="s">
        <v>75</v>
      </c>
      <c r="C200">
        <v>1</v>
      </c>
      <c r="D200">
        <v>4</v>
      </c>
      <c r="E200">
        <v>2918</v>
      </c>
      <c r="F200">
        <v>8544</v>
      </c>
      <c r="G200">
        <v>1</v>
      </c>
      <c r="H200">
        <v>1953</v>
      </c>
      <c r="I200">
        <v>2015</v>
      </c>
      <c r="J200" s="1" t="s">
        <v>30</v>
      </c>
      <c r="K200">
        <v>2</v>
      </c>
      <c r="L200" s="1" t="s">
        <v>41</v>
      </c>
      <c r="M200" s="1" t="s">
        <v>27</v>
      </c>
      <c r="N200" s="1" t="s">
        <v>46</v>
      </c>
      <c r="O200">
        <v>0</v>
      </c>
      <c r="P200">
        <v>4</v>
      </c>
      <c r="Q200" s="1" t="s">
        <v>135</v>
      </c>
      <c r="R200">
        <v>2</v>
      </c>
      <c r="S200" s="1" t="s">
        <v>24</v>
      </c>
      <c r="T200">
        <v>25073000</v>
      </c>
      <c r="U200" t="s">
        <v>183</v>
      </c>
      <c r="V200" s="1" t="s">
        <v>168</v>
      </c>
      <c r="W200" s="1" t="s">
        <v>169</v>
      </c>
      <c r="X200" s="1" t="str">
        <f>VLOOKUP(V200,Broker_Directory!A:C,3,FALSE)</f>
        <v>Tier A</v>
      </c>
      <c r="Y200" s="1">
        <f>HLOOKUP(X200, Commission_Rates!A$1:C$2, 2, FALSE)</f>
        <v>0.02</v>
      </c>
      <c r="Z200" s="1">
        <f t="shared" si="9"/>
        <v>0</v>
      </c>
      <c r="AA200" s="1">
        <f t="shared" si="10"/>
        <v>0</v>
      </c>
      <c r="AB200" s="1">
        <f t="shared" si="11"/>
        <v>0</v>
      </c>
    </row>
    <row r="201" spans="1:28" x14ac:dyDescent="0.3">
      <c r="A201" s="1" t="s">
        <v>33</v>
      </c>
      <c r="B201" s="1" t="s">
        <v>98</v>
      </c>
      <c r="C201">
        <v>3</v>
      </c>
      <c r="D201">
        <v>3</v>
      </c>
      <c r="E201">
        <v>1692</v>
      </c>
      <c r="F201">
        <v>4709</v>
      </c>
      <c r="G201">
        <v>2</v>
      </c>
      <c r="H201">
        <v>1962</v>
      </c>
      <c r="I201">
        <v>2021</v>
      </c>
      <c r="J201" s="1" t="s">
        <v>52</v>
      </c>
      <c r="K201">
        <v>2</v>
      </c>
      <c r="L201" s="1" t="s">
        <v>31</v>
      </c>
      <c r="M201" s="1" t="s">
        <v>27</v>
      </c>
      <c r="N201" s="1" t="s">
        <v>35</v>
      </c>
      <c r="O201">
        <v>1</v>
      </c>
      <c r="P201">
        <v>1</v>
      </c>
      <c r="Q201" s="1" t="s">
        <v>150</v>
      </c>
      <c r="R201">
        <v>1</v>
      </c>
      <c r="S201" s="1" t="s">
        <v>27</v>
      </c>
      <c r="T201">
        <v>14677000</v>
      </c>
      <c r="U201" t="s">
        <v>182</v>
      </c>
      <c r="V201" s="1" t="s">
        <v>168</v>
      </c>
      <c r="W201" s="1" t="s">
        <v>169</v>
      </c>
      <c r="X201" s="1" t="str">
        <f>VLOOKUP(V201,Broker_Directory!A:C,3,FALSE)</f>
        <v>Tier A</v>
      </c>
      <c r="Y201" s="1">
        <f>HLOOKUP(X201, Commission_Rates!A$1:C$2, 2, FALSE)</f>
        <v>0.02</v>
      </c>
      <c r="Z201" s="1">
        <f t="shared" si="9"/>
        <v>0</v>
      </c>
      <c r="AA201" s="1">
        <f t="shared" si="10"/>
        <v>0</v>
      </c>
      <c r="AB201" s="1">
        <f t="shared" si="11"/>
        <v>0</v>
      </c>
    </row>
    <row r="202" spans="1:28" x14ac:dyDescent="0.3">
      <c r="A202" s="1" t="s">
        <v>37</v>
      </c>
      <c r="B202" s="1" t="s">
        <v>38</v>
      </c>
      <c r="C202">
        <v>3</v>
      </c>
      <c r="D202">
        <v>3</v>
      </c>
      <c r="E202">
        <v>2708</v>
      </c>
      <c r="F202">
        <v>6557</v>
      </c>
      <c r="G202">
        <v>1</v>
      </c>
      <c r="H202">
        <v>2010</v>
      </c>
      <c r="I202">
        <v>2010</v>
      </c>
      <c r="J202" s="1" t="s">
        <v>58</v>
      </c>
      <c r="K202">
        <v>3</v>
      </c>
      <c r="L202" s="1" t="s">
        <v>31</v>
      </c>
      <c r="M202" s="1" t="s">
        <v>24</v>
      </c>
      <c r="N202" s="1" t="s">
        <v>35</v>
      </c>
      <c r="O202">
        <v>6</v>
      </c>
      <c r="P202">
        <v>4</v>
      </c>
      <c r="Q202" s="1" t="s">
        <v>39</v>
      </c>
      <c r="R202">
        <v>3</v>
      </c>
      <c r="S202" s="1" t="s">
        <v>24</v>
      </c>
      <c r="T202">
        <v>22044000</v>
      </c>
      <c r="U202" t="s">
        <v>184</v>
      </c>
      <c r="V202" s="1" t="s">
        <v>174</v>
      </c>
      <c r="W202" s="1" t="s">
        <v>175</v>
      </c>
      <c r="X202" s="1" t="str">
        <f>VLOOKUP(V202,Broker_Directory!A:C,3,FALSE)</f>
        <v>Tier A</v>
      </c>
      <c r="Y202" s="1">
        <f>HLOOKUP(X202, Commission_Rates!A$1:C$2, 2, FALSE)</f>
        <v>0.02</v>
      </c>
      <c r="Z202" s="1">
        <f t="shared" si="9"/>
        <v>440880</v>
      </c>
      <c r="AA202" s="1">
        <f t="shared" si="10"/>
        <v>661320</v>
      </c>
      <c r="AB202" s="1">
        <f t="shared" si="11"/>
        <v>220440</v>
      </c>
    </row>
    <row r="203" spans="1:28" x14ac:dyDescent="0.3">
      <c r="A203" s="1" t="s">
        <v>28</v>
      </c>
      <c r="B203" s="1" t="s">
        <v>110</v>
      </c>
      <c r="C203">
        <v>2</v>
      </c>
      <c r="D203">
        <v>3</v>
      </c>
      <c r="E203">
        <v>3652</v>
      </c>
      <c r="F203">
        <v>8366</v>
      </c>
      <c r="G203">
        <v>2</v>
      </c>
      <c r="H203">
        <v>1968</v>
      </c>
      <c r="I203">
        <v>1987</v>
      </c>
      <c r="J203" s="1" t="s">
        <v>52</v>
      </c>
      <c r="K203">
        <v>0</v>
      </c>
      <c r="L203" s="1" t="s">
        <v>41</v>
      </c>
      <c r="M203" s="1" t="s">
        <v>27</v>
      </c>
      <c r="N203" s="1" t="s">
        <v>35</v>
      </c>
      <c r="O203">
        <v>2</v>
      </c>
      <c r="P203">
        <v>2</v>
      </c>
      <c r="Q203" s="1" t="s">
        <v>119</v>
      </c>
      <c r="R203">
        <v>0</v>
      </c>
      <c r="S203" s="1" t="s">
        <v>27</v>
      </c>
      <c r="T203">
        <v>36750000</v>
      </c>
      <c r="U203" t="s">
        <v>182</v>
      </c>
      <c r="V203" s="1" t="s">
        <v>171</v>
      </c>
      <c r="W203" s="1" t="s">
        <v>172</v>
      </c>
      <c r="X203" s="1" t="str">
        <f>VLOOKUP(V203,Broker_Directory!A:C,3,FALSE)</f>
        <v>Tier B</v>
      </c>
      <c r="Y203" s="1">
        <f>HLOOKUP(X203, Commission_Rates!A$1:C$2, 2, FALSE)</f>
        <v>1.4999999999999999E-2</v>
      </c>
      <c r="Z203" s="1">
        <f t="shared" si="9"/>
        <v>0</v>
      </c>
      <c r="AA203" s="1">
        <f t="shared" si="10"/>
        <v>0</v>
      </c>
      <c r="AB203" s="1">
        <f t="shared" si="11"/>
        <v>0</v>
      </c>
    </row>
    <row r="204" spans="1:28" x14ac:dyDescent="0.3">
      <c r="A204" s="1" t="s">
        <v>53</v>
      </c>
      <c r="B204" s="1" t="s">
        <v>66</v>
      </c>
      <c r="C204">
        <v>2</v>
      </c>
      <c r="D204">
        <v>2</v>
      </c>
      <c r="E204">
        <v>4310</v>
      </c>
      <c r="F204">
        <v>5081</v>
      </c>
      <c r="G204">
        <v>1</v>
      </c>
      <c r="H204">
        <v>2005</v>
      </c>
      <c r="I204">
        <v>2024</v>
      </c>
      <c r="J204" s="1" t="s">
        <v>22</v>
      </c>
      <c r="K204">
        <v>3</v>
      </c>
      <c r="L204" s="1" t="s">
        <v>41</v>
      </c>
      <c r="M204" s="1" t="s">
        <v>27</v>
      </c>
      <c r="N204" s="1" t="s">
        <v>46</v>
      </c>
      <c r="O204">
        <v>0</v>
      </c>
      <c r="P204">
        <v>0</v>
      </c>
      <c r="Q204" s="1" t="s">
        <v>67</v>
      </c>
      <c r="R204">
        <v>2</v>
      </c>
      <c r="S204" s="1" t="s">
        <v>24</v>
      </c>
      <c r="T204">
        <v>39050000</v>
      </c>
      <c r="U204" t="s">
        <v>183</v>
      </c>
      <c r="V204" s="1" t="s">
        <v>171</v>
      </c>
      <c r="W204" s="1" t="s">
        <v>172</v>
      </c>
      <c r="X204" s="1" t="str">
        <f>VLOOKUP(V204,Broker_Directory!A:C,3,FALSE)</f>
        <v>Tier B</v>
      </c>
      <c r="Y204" s="1">
        <f>HLOOKUP(X204, Commission_Rates!A$1:C$2, 2, FALSE)</f>
        <v>1.4999999999999999E-2</v>
      </c>
      <c r="Z204" s="1">
        <f t="shared" si="9"/>
        <v>0</v>
      </c>
      <c r="AA204" s="1">
        <f t="shared" si="10"/>
        <v>0</v>
      </c>
      <c r="AB204" s="1">
        <f t="shared" si="11"/>
        <v>0</v>
      </c>
    </row>
    <row r="205" spans="1:28" x14ac:dyDescent="0.3">
      <c r="A205" s="1" t="s">
        <v>53</v>
      </c>
      <c r="B205" s="1" t="s">
        <v>100</v>
      </c>
      <c r="C205">
        <v>2</v>
      </c>
      <c r="D205">
        <v>1</v>
      </c>
      <c r="E205">
        <v>333</v>
      </c>
      <c r="F205">
        <v>4459</v>
      </c>
      <c r="G205">
        <v>1</v>
      </c>
      <c r="H205">
        <v>1994</v>
      </c>
      <c r="I205">
        <v>2012</v>
      </c>
      <c r="J205" s="1" t="s">
        <v>52</v>
      </c>
      <c r="K205">
        <v>0</v>
      </c>
      <c r="L205" s="1" t="s">
        <v>41</v>
      </c>
      <c r="M205" s="1" t="s">
        <v>27</v>
      </c>
      <c r="N205" s="1" t="s">
        <v>25</v>
      </c>
      <c r="O205">
        <v>1</v>
      </c>
      <c r="P205">
        <v>0</v>
      </c>
      <c r="Q205" s="1" t="s">
        <v>151</v>
      </c>
      <c r="R205">
        <v>2</v>
      </c>
      <c r="S205" s="1" t="s">
        <v>27</v>
      </c>
      <c r="T205">
        <v>3252000</v>
      </c>
      <c r="U205" t="s">
        <v>184</v>
      </c>
      <c r="V205" s="1" t="s">
        <v>168</v>
      </c>
      <c r="W205" s="1" t="s">
        <v>169</v>
      </c>
      <c r="X205" s="1" t="str">
        <f>VLOOKUP(V205,Broker_Directory!A:C,3,FALSE)</f>
        <v>Tier A</v>
      </c>
      <c r="Y205" s="1">
        <f>HLOOKUP(X205, Commission_Rates!A$1:C$2, 2, FALSE)</f>
        <v>0.02</v>
      </c>
      <c r="Z205" s="1">
        <f t="shared" si="9"/>
        <v>65040</v>
      </c>
      <c r="AA205" s="1">
        <f t="shared" si="10"/>
        <v>97560</v>
      </c>
      <c r="AB205" s="1">
        <f t="shared" si="11"/>
        <v>32520</v>
      </c>
    </row>
    <row r="206" spans="1:28" x14ac:dyDescent="0.3">
      <c r="A206" s="1" t="s">
        <v>33</v>
      </c>
      <c r="B206" s="1" t="s">
        <v>43</v>
      </c>
      <c r="C206">
        <v>5</v>
      </c>
      <c r="D206">
        <v>3</v>
      </c>
      <c r="E206">
        <v>3852</v>
      </c>
      <c r="F206">
        <v>9528</v>
      </c>
      <c r="G206">
        <v>1</v>
      </c>
      <c r="H206">
        <v>1993</v>
      </c>
      <c r="I206">
        <v>2023</v>
      </c>
      <c r="J206" s="1" t="s">
        <v>30</v>
      </c>
      <c r="K206">
        <v>1</v>
      </c>
      <c r="L206" s="1" t="s">
        <v>31</v>
      </c>
      <c r="M206" s="1" t="s">
        <v>27</v>
      </c>
      <c r="N206" s="1" t="s">
        <v>25</v>
      </c>
      <c r="O206">
        <v>3</v>
      </c>
      <c r="P206">
        <v>1</v>
      </c>
      <c r="Q206" s="1" t="s">
        <v>130</v>
      </c>
      <c r="R206">
        <v>1</v>
      </c>
      <c r="S206" s="1" t="s">
        <v>24</v>
      </c>
      <c r="T206">
        <v>33242000</v>
      </c>
      <c r="U206" t="s">
        <v>184</v>
      </c>
      <c r="V206" s="1" t="s">
        <v>174</v>
      </c>
      <c r="W206" s="1" t="s">
        <v>175</v>
      </c>
      <c r="X206" s="1" t="str">
        <f>VLOOKUP(V206,Broker_Directory!A:C,3,FALSE)</f>
        <v>Tier A</v>
      </c>
      <c r="Y206" s="1">
        <f>HLOOKUP(X206, Commission_Rates!A$1:C$2, 2, FALSE)</f>
        <v>0.02</v>
      </c>
      <c r="Z206" s="1">
        <f t="shared" si="9"/>
        <v>664840</v>
      </c>
      <c r="AA206" s="1">
        <f t="shared" si="10"/>
        <v>997260</v>
      </c>
      <c r="AB206" s="1">
        <f t="shared" si="11"/>
        <v>332420</v>
      </c>
    </row>
    <row r="207" spans="1:28" x14ac:dyDescent="0.3">
      <c r="A207" s="1" t="s">
        <v>33</v>
      </c>
      <c r="B207" s="1" t="s">
        <v>43</v>
      </c>
      <c r="C207">
        <v>2</v>
      </c>
      <c r="D207">
        <v>1</v>
      </c>
      <c r="E207">
        <v>3303</v>
      </c>
      <c r="F207">
        <v>9178</v>
      </c>
      <c r="G207">
        <v>3</v>
      </c>
      <c r="H207">
        <v>1954</v>
      </c>
      <c r="I207">
        <v>2001</v>
      </c>
      <c r="J207" s="1" t="s">
        <v>30</v>
      </c>
      <c r="K207">
        <v>0</v>
      </c>
      <c r="L207" s="1" t="s">
        <v>23</v>
      </c>
      <c r="M207" s="1" t="s">
        <v>24</v>
      </c>
      <c r="N207" s="1" t="s">
        <v>35</v>
      </c>
      <c r="O207">
        <v>0</v>
      </c>
      <c r="P207">
        <v>0</v>
      </c>
      <c r="Q207" s="1" t="s">
        <v>83</v>
      </c>
      <c r="R207">
        <v>3</v>
      </c>
      <c r="S207" s="1" t="s">
        <v>27</v>
      </c>
      <c r="T207">
        <v>28335500</v>
      </c>
      <c r="U207" t="s">
        <v>183</v>
      </c>
      <c r="V207" s="1" t="s">
        <v>179</v>
      </c>
      <c r="W207" s="1" t="s">
        <v>180</v>
      </c>
      <c r="X207" s="1" t="str">
        <f>VLOOKUP(V207,Broker_Directory!A:C,3,FALSE)</f>
        <v>Tier B</v>
      </c>
      <c r="Y207" s="1">
        <f>HLOOKUP(X207, Commission_Rates!A$1:C$2, 2, FALSE)</f>
        <v>1.4999999999999999E-2</v>
      </c>
      <c r="Z207" s="1">
        <f t="shared" si="9"/>
        <v>0</v>
      </c>
      <c r="AA207" s="1">
        <f t="shared" si="10"/>
        <v>0</v>
      </c>
      <c r="AB207" s="1">
        <f t="shared" si="11"/>
        <v>0</v>
      </c>
    </row>
    <row r="208" spans="1:28" x14ac:dyDescent="0.3">
      <c r="A208" s="1" t="s">
        <v>37</v>
      </c>
      <c r="B208" s="1" t="s">
        <v>87</v>
      </c>
      <c r="C208">
        <v>5</v>
      </c>
      <c r="D208">
        <v>3</v>
      </c>
      <c r="E208">
        <v>4186</v>
      </c>
      <c r="F208">
        <v>9985</v>
      </c>
      <c r="G208">
        <v>1</v>
      </c>
      <c r="H208">
        <v>1976</v>
      </c>
      <c r="I208">
        <v>2019</v>
      </c>
      <c r="J208" s="1" t="s">
        <v>58</v>
      </c>
      <c r="K208">
        <v>2</v>
      </c>
      <c r="L208" s="1" t="s">
        <v>41</v>
      </c>
      <c r="M208" s="1" t="s">
        <v>24</v>
      </c>
      <c r="N208" s="1" t="s">
        <v>35</v>
      </c>
      <c r="O208">
        <v>8</v>
      </c>
      <c r="P208">
        <v>2</v>
      </c>
      <c r="Q208" s="1" t="s">
        <v>152</v>
      </c>
      <c r="R208">
        <v>3</v>
      </c>
      <c r="S208" s="1" t="s">
        <v>24</v>
      </c>
      <c r="T208">
        <v>33968000</v>
      </c>
      <c r="U208" t="s">
        <v>182</v>
      </c>
      <c r="V208" s="1" t="s">
        <v>179</v>
      </c>
      <c r="W208" s="1" t="s">
        <v>180</v>
      </c>
      <c r="X208" s="1" t="str">
        <f>VLOOKUP(V208,Broker_Directory!A:C,3,FALSE)</f>
        <v>Tier B</v>
      </c>
      <c r="Y208" s="1">
        <f>HLOOKUP(X208, Commission_Rates!A$1:C$2, 2, FALSE)</f>
        <v>1.4999999999999999E-2</v>
      </c>
      <c r="Z208" s="1">
        <f t="shared" si="9"/>
        <v>0</v>
      </c>
      <c r="AA208" s="1">
        <f t="shared" si="10"/>
        <v>0</v>
      </c>
      <c r="AB208" s="1">
        <f t="shared" si="11"/>
        <v>0</v>
      </c>
    </row>
    <row r="209" spans="1:28" x14ac:dyDescent="0.3">
      <c r="A209" s="1" t="s">
        <v>33</v>
      </c>
      <c r="B209" s="1" t="s">
        <v>43</v>
      </c>
      <c r="C209">
        <v>1</v>
      </c>
      <c r="D209">
        <v>3</v>
      </c>
      <c r="E209">
        <v>1233</v>
      </c>
      <c r="F209">
        <v>3024</v>
      </c>
      <c r="G209">
        <v>2</v>
      </c>
      <c r="H209">
        <v>1975</v>
      </c>
      <c r="I209">
        <v>2012</v>
      </c>
      <c r="J209" s="1" t="s">
        <v>52</v>
      </c>
      <c r="K209">
        <v>2</v>
      </c>
      <c r="L209" s="1" t="s">
        <v>31</v>
      </c>
      <c r="M209" s="1" t="s">
        <v>27</v>
      </c>
      <c r="N209" s="1" t="s">
        <v>35</v>
      </c>
      <c r="O209">
        <v>6</v>
      </c>
      <c r="P209">
        <v>2</v>
      </c>
      <c r="Q209" s="1" t="s">
        <v>130</v>
      </c>
      <c r="R209">
        <v>0</v>
      </c>
      <c r="S209" s="1" t="s">
        <v>27</v>
      </c>
      <c r="T209">
        <v>10660500</v>
      </c>
      <c r="U209" t="s">
        <v>182</v>
      </c>
      <c r="V209" s="1" t="s">
        <v>174</v>
      </c>
      <c r="W209" s="1" t="s">
        <v>175</v>
      </c>
      <c r="X209" s="1" t="str">
        <f>VLOOKUP(V209,Broker_Directory!A:C,3,FALSE)</f>
        <v>Tier A</v>
      </c>
      <c r="Y209" s="1">
        <f>HLOOKUP(X209, Commission_Rates!A$1:C$2, 2, FALSE)</f>
        <v>0.02</v>
      </c>
      <c r="Z209" s="1">
        <f t="shared" si="9"/>
        <v>0</v>
      </c>
      <c r="AA209" s="1">
        <f t="shared" si="10"/>
        <v>0</v>
      </c>
      <c r="AB209" s="1">
        <f t="shared" si="11"/>
        <v>0</v>
      </c>
    </row>
    <row r="210" spans="1:28" x14ac:dyDescent="0.3">
      <c r="A210" s="1" t="s">
        <v>28</v>
      </c>
      <c r="B210" s="1" t="s">
        <v>29</v>
      </c>
      <c r="C210">
        <v>3</v>
      </c>
      <c r="D210">
        <v>2</v>
      </c>
      <c r="E210">
        <v>322</v>
      </c>
      <c r="F210">
        <v>580</v>
      </c>
      <c r="G210">
        <v>3</v>
      </c>
      <c r="H210">
        <v>1961</v>
      </c>
      <c r="I210">
        <v>1974</v>
      </c>
      <c r="J210" s="1" t="s">
        <v>22</v>
      </c>
      <c r="K210">
        <v>1</v>
      </c>
      <c r="L210" s="1" t="s">
        <v>23</v>
      </c>
      <c r="M210" s="1" t="s">
        <v>24</v>
      </c>
      <c r="N210" s="1" t="s">
        <v>35</v>
      </c>
      <c r="O210">
        <v>1</v>
      </c>
      <c r="P210">
        <v>2</v>
      </c>
      <c r="Q210" s="1" t="s">
        <v>149</v>
      </c>
      <c r="R210">
        <v>3</v>
      </c>
      <c r="S210" s="1" t="s">
        <v>27</v>
      </c>
      <c r="T210">
        <v>3560000</v>
      </c>
      <c r="U210" t="s">
        <v>184</v>
      </c>
      <c r="V210" s="1" t="s">
        <v>168</v>
      </c>
      <c r="W210" s="1" t="s">
        <v>169</v>
      </c>
      <c r="X210" s="1" t="str">
        <f>VLOOKUP(V210,Broker_Directory!A:C,3,FALSE)</f>
        <v>Tier A</v>
      </c>
      <c r="Y210" s="1">
        <f>HLOOKUP(X210, Commission_Rates!A$1:C$2, 2, FALSE)</f>
        <v>0.02</v>
      </c>
      <c r="Z210" s="1">
        <f t="shared" si="9"/>
        <v>71200</v>
      </c>
      <c r="AA210" s="1">
        <f t="shared" si="10"/>
        <v>106800</v>
      </c>
      <c r="AB210" s="1">
        <f t="shared" si="11"/>
        <v>35600</v>
      </c>
    </row>
    <row r="211" spans="1:28" x14ac:dyDescent="0.3">
      <c r="A211" s="1" t="s">
        <v>53</v>
      </c>
      <c r="B211" s="1" t="s">
        <v>54</v>
      </c>
      <c r="C211">
        <v>1</v>
      </c>
      <c r="D211">
        <v>1</v>
      </c>
      <c r="E211">
        <v>1731</v>
      </c>
      <c r="F211">
        <v>2427</v>
      </c>
      <c r="G211">
        <v>2</v>
      </c>
      <c r="H211">
        <v>1996</v>
      </c>
      <c r="I211">
        <v>2020</v>
      </c>
      <c r="J211" s="1" t="s">
        <v>30</v>
      </c>
      <c r="K211">
        <v>3</v>
      </c>
      <c r="L211" s="1" t="s">
        <v>23</v>
      </c>
      <c r="M211" s="1" t="s">
        <v>24</v>
      </c>
      <c r="N211" s="1" t="s">
        <v>25</v>
      </c>
      <c r="O211">
        <v>0</v>
      </c>
      <c r="P211">
        <v>1</v>
      </c>
      <c r="Q211" s="1" t="s">
        <v>59</v>
      </c>
      <c r="R211">
        <v>2</v>
      </c>
      <c r="S211" s="1" t="s">
        <v>27</v>
      </c>
      <c r="T211">
        <v>15829000</v>
      </c>
      <c r="U211" t="s">
        <v>182</v>
      </c>
      <c r="V211" s="1" t="s">
        <v>176</v>
      </c>
      <c r="W211" s="1" t="s">
        <v>177</v>
      </c>
      <c r="X211" s="1" t="str">
        <f>VLOOKUP(V211,Broker_Directory!A:C,3,FALSE)</f>
        <v>Tier C</v>
      </c>
      <c r="Y211" s="1">
        <f>HLOOKUP(X211, Commission_Rates!A$1:C$2, 2, FALSE)</f>
        <v>0.01</v>
      </c>
      <c r="Z211" s="1">
        <f t="shared" si="9"/>
        <v>0</v>
      </c>
      <c r="AA211" s="1">
        <f t="shared" si="10"/>
        <v>0</v>
      </c>
      <c r="AB211" s="1">
        <f t="shared" si="11"/>
        <v>0</v>
      </c>
    </row>
    <row r="212" spans="1:28" x14ac:dyDescent="0.3">
      <c r="A212" s="1" t="s">
        <v>37</v>
      </c>
      <c r="B212" s="1" t="s">
        <v>45</v>
      </c>
      <c r="C212">
        <v>3</v>
      </c>
      <c r="D212">
        <v>1</v>
      </c>
      <c r="E212">
        <v>3352</v>
      </c>
      <c r="F212">
        <v>6209</v>
      </c>
      <c r="G212">
        <v>1</v>
      </c>
      <c r="H212">
        <v>1964</v>
      </c>
      <c r="I212">
        <v>1988</v>
      </c>
      <c r="J212" s="1" t="s">
        <v>22</v>
      </c>
      <c r="K212">
        <v>3</v>
      </c>
      <c r="L212" s="1" t="s">
        <v>64</v>
      </c>
      <c r="M212" s="1" t="s">
        <v>27</v>
      </c>
      <c r="N212" s="1" t="s">
        <v>35</v>
      </c>
      <c r="O212">
        <v>7</v>
      </c>
      <c r="P212">
        <v>3</v>
      </c>
      <c r="Q212" s="1" t="s">
        <v>124</v>
      </c>
      <c r="R212">
        <v>0</v>
      </c>
      <c r="S212" s="1" t="s">
        <v>24</v>
      </c>
      <c r="T212">
        <v>27066000</v>
      </c>
      <c r="U212" t="s">
        <v>182</v>
      </c>
      <c r="V212" s="1" t="s">
        <v>176</v>
      </c>
      <c r="W212" s="1" t="s">
        <v>177</v>
      </c>
      <c r="X212" s="1" t="str">
        <f>VLOOKUP(V212,Broker_Directory!A:C,3,FALSE)</f>
        <v>Tier C</v>
      </c>
      <c r="Y212" s="1">
        <f>HLOOKUP(X212, Commission_Rates!A$1:C$2, 2, FALSE)</f>
        <v>0.01</v>
      </c>
      <c r="Z212" s="1">
        <f t="shared" si="9"/>
        <v>0</v>
      </c>
      <c r="AA212" s="1">
        <f t="shared" si="10"/>
        <v>0</v>
      </c>
      <c r="AB212" s="1">
        <f t="shared" si="11"/>
        <v>0</v>
      </c>
    </row>
    <row r="213" spans="1:28" x14ac:dyDescent="0.3">
      <c r="A213" s="1" t="s">
        <v>20</v>
      </c>
      <c r="B213" s="1" t="s">
        <v>40</v>
      </c>
      <c r="C213">
        <v>1</v>
      </c>
      <c r="D213">
        <v>4</v>
      </c>
      <c r="E213">
        <v>4254</v>
      </c>
      <c r="F213">
        <v>8964</v>
      </c>
      <c r="G213">
        <v>3</v>
      </c>
      <c r="H213">
        <v>2006</v>
      </c>
      <c r="I213">
        <v>2010</v>
      </c>
      <c r="J213" s="1" t="s">
        <v>22</v>
      </c>
      <c r="K213">
        <v>2</v>
      </c>
      <c r="L213" s="1" t="s">
        <v>23</v>
      </c>
      <c r="M213" s="1" t="s">
        <v>24</v>
      </c>
      <c r="N213" s="1" t="s">
        <v>46</v>
      </c>
      <c r="O213">
        <v>7</v>
      </c>
      <c r="P213">
        <v>0</v>
      </c>
      <c r="Q213" s="1" t="s">
        <v>153</v>
      </c>
      <c r="R213">
        <v>3</v>
      </c>
      <c r="S213" s="1" t="s">
        <v>24</v>
      </c>
      <c r="T213">
        <v>51398000</v>
      </c>
      <c r="U213" t="s">
        <v>184</v>
      </c>
      <c r="V213" s="1" t="s">
        <v>174</v>
      </c>
      <c r="W213" s="1" t="s">
        <v>175</v>
      </c>
      <c r="X213" s="1" t="str">
        <f>VLOOKUP(V213,Broker_Directory!A:C,3,FALSE)</f>
        <v>Tier A</v>
      </c>
      <c r="Y213" s="1">
        <f>HLOOKUP(X213, Commission_Rates!A$1:C$2, 2, FALSE)</f>
        <v>0.02</v>
      </c>
      <c r="Z213" s="1">
        <f t="shared" si="9"/>
        <v>1027960</v>
      </c>
      <c r="AA213" s="1">
        <f t="shared" si="10"/>
        <v>1541940</v>
      </c>
      <c r="AB213" s="1">
        <f t="shared" si="11"/>
        <v>513980</v>
      </c>
    </row>
    <row r="214" spans="1:28" x14ac:dyDescent="0.3">
      <c r="A214" s="1" t="s">
        <v>20</v>
      </c>
      <c r="B214" s="1" t="s">
        <v>69</v>
      </c>
      <c r="C214">
        <v>3</v>
      </c>
      <c r="D214">
        <v>1</v>
      </c>
      <c r="E214">
        <v>4599</v>
      </c>
      <c r="F214">
        <v>9372</v>
      </c>
      <c r="G214">
        <v>3</v>
      </c>
      <c r="H214">
        <v>2022</v>
      </c>
      <c r="I214">
        <v>2022</v>
      </c>
      <c r="J214" s="1" t="s">
        <v>30</v>
      </c>
      <c r="K214">
        <v>0</v>
      </c>
      <c r="L214" s="1" t="s">
        <v>41</v>
      </c>
      <c r="M214" s="1" t="s">
        <v>24</v>
      </c>
      <c r="N214" s="1" t="s">
        <v>46</v>
      </c>
      <c r="O214">
        <v>5</v>
      </c>
      <c r="P214">
        <v>5</v>
      </c>
      <c r="Q214" s="1" t="s">
        <v>120</v>
      </c>
      <c r="R214">
        <v>1</v>
      </c>
      <c r="S214" s="1" t="s">
        <v>24</v>
      </c>
      <c r="T214">
        <v>55518000</v>
      </c>
      <c r="U214" t="s">
        <v>182</v>
      </c>
      <c r="V214" s="1" t="s">
        <v>171</v>
      </c>
      <c r="W214" s="1" t="s">
        <v>172</v>
      </c>
      <c r="X214" s="1" t="str">
        <f>VLOOKUP(V214,Broker_Directory!A:C,3,FALSE)</f>
        <v>Tier B</v>
      </c>
      <c r="Y214" s="1">
        <f>HLOOKUP(X214, Commission_Rates!A$1:C$2, 2, FALSE)</f>
        <v>1.4999999999999999E-2</v>
      </c>
      <c r="Z214" s="1">
        <f t="shared" si="9"/>
        <v>0</v>
      </c>
      <c r="AA214" s="1">
        <f t="shared" si="10"/>
        <v>0</v>
      </c>
      <c r="AB214" s="1">
        <f t="shared" si="11"/>
        <v>0</v>
      </c>
    </row>
    <row r="215" spans="1:28" x14ac:dyDescent="0.3">
      <c r="A215" s="1" t="s">
        <v>20</v>
      </c>
      <c r="B215" s="1" t="s">
        <v>40</v>
      </c>
      <c r="C215">
        <v>5</v>
      </c>
      <c r="D215">
        <v>4</v>
      </c>
      <c r="E215">
        <v>4361</v>
      </c>
      <c r="F215">
        <v>5765</v>
      </c>
      <c r="G215">
        <v>1</v>
      </c>
      <c r="H215">
        <v>2012</v>
      </c>
      <c r="I215">
        <v>2016</v>
      </c>
      <c r="J215" s="1" t="s">
        <v>52</v>
      </c>
      <c r="K215">
        <v>2</v>
      </c>
      <c r="L215" s="1" t="s">
        <v>64</v>
      </c>
      <c r="M215" s="1" t="s">
        <v>24</v>
      </c>
      <c r="N215" s="1" t="s">
        <v>35</v>
      </c>
      <c r="O215">
        <v>3</v>
      </c>
      <c r="P215">
        <v>4</v>
      </c>
      <c r="Q215" s="1" t="s">
        <v>153</v>
      </c>
      <c r="R215">
        <v>3</v>
      </c>
      <c r="S215" s="1" t="s">
        <v>24</v>
      </c>
      <c r="T215">
        <v>52842000</v>
      </c>
      <c r="U215" t="s">
        <v>184</v>
      </c>
      <c r="V215" s="1" t="s">
        <v>171</v>
      </c>
      <c r="W215" s="1" t="s">
        <v>172</v>
      </c>
      <c r="X215" s="1" t="str">
        <f>VLOOKUP(V215,Broker_Directory!A:C,3,FALSE)</f>
        <v>Tier B</v>
      </c>
      <c r="Y215" s="1">
        <f>HLOOKUP(X215, Commission_Rates!A$1:C$2, 2, FALSE)</f>
        <v>1.4999999999999999E-2</v>
      </c>
      <c r="Z215" s="1">
        <f t="shared" si="9"/>
        <v>792630</v>
      </c>
      <c r="AA215" s="1">
        <f t="shared" si="10"/>
        <v>1585260</v>
      </c>
      <c r="AB215" s="1">
        <f t="shared" si="11"/>
        <v>792630</v>
      </c>
    </row>
    <row r="216" spans="1:28" x14ac:dyDescent="0.3">
      <c r="A216" s="1" t="s">
        <v>20</v>
      </c>
      <c r="B216" s="1" t="s">
        <v>50</v>
      </c>
      <c r="C216">
        <v>4</v>
      </c>
      <c r="D216">
        <v>4</v>
      </c>
      <c r="E216">
        <v>1021</v>
      </c>
      <c r="F216">
        <v>9237</v>
      </c>
      <c r="G216">
        <v>2</v>
      </c>
      <c r="H216">
        <v>1990</v>
      </c>
      <c r="I216">
        <v>1996</v>
      </c>
      <c r="J216" s="1" t="s">
        <v>22</v>
      </c>
      <c r="K216">
        <v>0</v>
      </c>
      <c r="L216" s="1" t="s">
        <v>23</v>
      </c>
      <c r="M216" s="1" t="s">
        <v>27</v>
      </c>
      <c r="N216" s="1" t="s">
        <v>46</v>
      </c>
      <c r="O216">
        <v>0</v>
      </c>
      <c r="P216">
        <v>4</v>
      </c>
      <c r="Q216" s="1" t="s">
        <v>113</v>
      </c>
      <c r="R216">
        <v>0</v>
      </c>
      <c r="S216" s="1" t="s">
        <v>27</v>
      </c>
      <c r="T216">
        <v>12612000</v>
      </c>
      <c r="U216" t="s">
        <v>184</v>
      </c>
      <c r="V216" s="1" t="s">
        <v>174</v>
      </c>
      <c r="W216" s="1" t="s">
        <v>175</v>
      </c>
      <c r="X216" s="1" t="str">
        <f>VLOOKUP(V216,Broker_Directory!A:C,3,FALSE)</f>
        <v>Tier A</v>
      </c>
      <c r="Y216" s="1">
        <f>HLOOKUP(X216, Commission_Rates!A$1:C$2, 2, FALSE)</f>
        <v>0.02</v>
      </c>
      <c r="Z216" s="1">
        <f t="shared" si="9"/>
        <v>252240</v>
      </c>
      <c r="AA216" s="1">
        <f t="shared" si="10"/>
        <v>378360</v>
      </c>
      <c r="AB216" s="1">
        <f t="shared" si="11"/>
        <v>126120</v>
      </c>
    </row>
    <row r="217" spans="1:28" x14ac:dyDescent="0.3">
      <c r="A217" s="1" t="s">
        <v>33</v>
      </c>
      <c r="B217" s="1" t="s">
        <v>43</v>
      </c>
      <c r="C217">
        <v>2</v>
      </c>
      <c r="D217">
        <v>4</v>
      </c>
      <c r="E217">
        <v>3092</v>
      </c>
      <c r="F217">
        <v>6118</v>
      </c>
      <c r="G217">
        <v>1</v>
      </c>
      <c r="H217">
        <v>1978</v>
      </c>
      <c r="I217">
        <v>2006</v>
      </c>
      <c r="J217" s="1" t="s">
        <v>30</v>
      </c>
      <c r="K217">
        <v>3</v>
      </c>
      <c r="L217" s="1" t="s">
        <v>64</v>
      </c>
      <c r="M217" s="1" t="s">
        <v>27</v>
      </c>
      <c r="N217" s="1" t="s">
        <v>25</v>
      </c>
      <c r="O217">
        <v>1</v>
      </c>
      <c r="P217">
        <v>5</v>
      </c>
      <c r="Q217" s="1" t="s">
        <v>130</v>
      </c>
      <c r="R217">
        <v>0</v>
      </c>
      <c r="S217" s="1" t="s">
        <v>27</v>
      </c>
      <c r="T217">
        <v>26597000</v>
      </c>
      <c r="U217" t="s">
        <v>183</v>
      </c>
      <c r="V217" s="1" t="s">
        <v>174</v>
      </c>
      <c r="W217" s="1" t="s">
        <v>175</v>
      </c>
      <c r="X217" s="1" t="str">
        <f>VLOOKUP(V217,Broker_Directory!A:C,3,FALSE)</f>
        <v>Tier A</v>
      </c>
      <c r="Y217" s="1">
        <f>HLOOKUP(X217, Commission_Rates!A$1:C$2, 2, FALSE)</f>
        <v>0.02</v>
      </c>
      <c r="Z217" s="1">
        <f t="shared" si="9"/>
        <v>0</v>
      </c>
      <c r="AA217" s="1">
        <f t="shared" si="10"/>
        <v>0</v>
      </c>
      <c r="AB217" s="1">
        <f t="shared" si="11"/>
        <v>0</v>
      </c>
    </row>
    <row r="218" spans="1:28" x14ac:dyDescent="0.3">
      <c r="A218" s="1" t="s">
        <v>53</v>
      </c>
      <c r="B218" s="1" t="s">
        <v>89</v>
      </c>
      <c r="C218">
        <v>5</v>
      </c>
      <c r="D218">
        <v>3</v>
      </c>
      <c r="E218">
        <v>1170</v>
      </c>
      <c r="F218">
        <v>1970</v>
      </c>
      <c r="G218">
        <v>1</v>
      </c>
      <c r="H218">
        <v>2013</v>
      </c>
      <c r="I218">
        <v>2014</v>
      </c>
      <c r="J218" s="1" t="s">
        <v>22</v>
      </c>
      <c r="K218">
        <v>0</v>
      </c>
      <c r="L218" s="1" t="s">
        <v>64</v>
      </c>
      <c r="M218" s="1" t="s">
        <v>24</v>
      </c>
      <c r="N218" s="1" t="s">
        <v>25</v>
      </c>
      <c r="O218">
        <v>1</v>
      </c>
      <c r="P218">
        <v>3</v>
      </c>
      <c r="Q218" s="1" t="s">
        <v>154</v>
      </c>
      <c r="R218">
        <v>3</v>
      </c>
      <c r="S218" s="1" t="s">
        <v>24</v>
      </c>
      <c r="T218">
        <v>11085000</v>
      </c>
      <c r="U218" t="s">
        <v>184</v>
      </c>
      <c r="V218" s="1" t="s">
        <v>168</v>
      </c>
      <c r="W218" s="1" t="s">
        <v>169</v>
      </c>
      <c r="X218" s="1" t="str">
        <f>VLOOKUP(V218,Broker_Directory!A:C,3,FALSE)</f>
        <v>Tier A</v>
      </c>
      <c r="Y218" s="1">
        <f>HLOOKUP(X218, Commission_Rates!A$1:C$2, 2, FALSE)</f>
        <v>0.02</v>
      </c>
      <c r="Z218" s="1">
        <f t="shared" si="9"/>
        <v>221700</v>
      </c>
      <c r="AA218" s="1">
        <f t="shared" si="10"/>
        <v>332550</v>
      </c>
      <c r="AB218" s="1">
        <f t="shared" si="11"/>
        <v>110850</v>
      </c>
    </row>
    <row r="219" spans="1:28" x14ac:dyDescent="0.3">
      <c r="A219" s="1" t="s">
        <v>53</v>
      </c>
      <c r="B219" s="1" t="s">
        <v>105</v>
      </c>
      <c r="C219">
        <v>4</v>
      </c>
      <c r="D219">
        <v>1</v>
      </c>
      <c r="E219">
        <v>1309</v>
      </c>
      <c r="F219">
        <v>8740</v>
      </c>
      <c r="G219">
        <v>2</v>
      </c>
      <c r="H219">
        <v>2025</v>
      </c>
      <c r="I219">
        <v>0</v>
      </c>
      <c r="J219" s="1" t="s">
        <v>22</v>
      </c>
      <c r="K219">
        <v>0</v>
      </c>
      <c r="L219" s="1" t="s">
        <v>23</v>
      </c>
      <c r="M219" s="1" t="s">
        <v>27</v>
      </c>
      <c r="N219" s="1" t="s">
        <v>35</v>
      </c>
      <c r="O219">
        <v>7</v>
      </c>
      <c r="P219">
        <v>4</v>
      </c>
      <c r="Q219" s="1" t="s">
        <v>116</v>
      </c>
      <c r="R219">
        <v>1</v>
      </c>
      <c r="S219" s="1" t="s">
        <v>24</v>
      </c>
      <c r="T219">
        <v>12116000</v>
      </c>
      <c r="U219" t="s">
        <v>182</v>
      </c>
      <c r="V219" s="1" t="s">
        <v>168</v>
      </c>
      <c r="W219" s="1" t="s">
        <v>169</v>
      </c>
      <c r="X219" s="1" t="str">
        <f>VLOOKUP(V219,Broker_Directory!A:C,3,FALSE)</f>
        <v>Tier A</v>
      </c>
      <c r="Y219" s="1">
        <f>HLOOKUP(X219, Commission_Rates!A$1:C$2, 2, FALSE)</f>
        <v>0.02</v>
      </c>
      <c r="Z219" s="1">
        <f t="shared" si="9"/>
        <v>0</v>
      </c>
      <c r="AA219" s="1">
        <f t="shared" si="10"/>
        <v>0</v>
      </c>
      <c r="AB219" s="1">
        <f t="shared" si="11"/>
        <v>0</v>
      </c>
    </row>
    <row r="220" spans="1:28" x14ac:dyDescent="0.3">
      <c r="A220" s="1" t="s">
        <v>20</v>
      </c>
      <c r="B220" s="1" t="s">
        <v>50</v>
      </c>
      <c r="C220">
        <v>5</v>
      </c>
      <c r="D220">
        <v>3</v>
      </c>
      <c r="E220">
        <v>4429</v>
      </c>
      <c r="F220">
        <v>7630</v>
      </c>
      <c r="G220">
        <v>2</v>
      </c>
      <c r="H220">
        <v>1981</v>
      </c>
      <c r="I220">
        <v>1997</v>
      </c>
      <c r="J220" s="1" t="s">
        <v>22</v>
      </c>
      <c r="K220">
        <v>2</v>
      </c>
      <c r="L220" s="1" t="s">
        <v>64</v>
      </c>
      <c r="M220" s="1" t="s">
        <v>27</v>
      </c>
      <c r="N220" s="1" t="s">
        <v>25</v>
      </c>
      <c r="O220">
        <v>2</v>
      </c>
      <c r="P220">
        <v>3</v>
      </c>
      <c r="Q220" s="1" t="s">
        <v>51</v>
      </c>
      <c r="R220">
        <v>2</v>
      </c>
      <c r="S220" s="1" t="s">
        <v>24</v>
      </c>
      <c r="T220">
        <v>53683000</v>
      </c>
      <c r="U220" t="s">
        <v>184</v>
      </c>
      <c r="V220" s="1" t="s">
        <v>174</v>
      </c>
      <c r="W220" s="1" t="s">
        <v>175</v>
      </c>
      <c r="X220" s="1" t="str">
        <f>VLOOKUP(V220,Broker_Directory!A:C,3,FALSE)</f>
        <v>Tier A</v>
      </c>
      <c r="Y220" s="1">
        <f>HLOOKUP(X220, Commission_Rates!A$1:C$2, 2, FALSE)</f>
        <v>0.02</v>
      </c>
      <c r="Z220" s="1">
        <f t="shared" si="9"/>
        <v>1073660</v>
      </c>
      <c r="AA220" s="1">
        <f t="shared" si="10"/>
        <v>1610490</v>
      </c>
      <c r="AB220" s="1">
        <f t="shared" si="11"/>
        <v>536830</v>
      </c>
    </row>
    <row r="221" spans="1:28" x14ac:dyDescent="0.3">
      <c r="A221" s="1" t="s">
        <v>28</v>
      </c>
      <c r="B221" s="1" t="s">
        <v>110</v>
      </c>
      <c r="C221">
        <v>5</v>
      </c>
      <c r="D221">
        <v>3</v>
      </c>
      <c r="E221">
        <v>3128</v>
      </c>
      <c r="F221">
        <v>8686</v>
      </c>
      <c r="G221">
        <v>1</v>
      </c>
      <c r="H221">
        <v>1972</v>
      </c>
      <c r="I221">
        <v>2003</v>
      </c>
      <c r="J221" s="1" t="s">
        <v>30</v>
      </c>
      <c r="K221">
        <v>0</v>
      </c>
      <c r="L221" s="1" t="s">
        <v>64</v>
      </c>
      <c r="M221" s="1" t="s">
        <v>27</v>
      </c>
      <c r="N221" s="1" t="s">
        <v>35</v>
      </c>
      <c r="O221">
        <v>9</v>
      </c>
      <c r="P221">
        <v>5</v>
      </c>
      <c r="Q221" s="1" t="s">
        <v>155</v>
      </c>
      <c r="R221">
        <v>2</v>
      </c>
      <c r="S221" s="1" t="s">
        <v>27</v>
      </c>
      <c r="T221">
        <v>31670000</v>
      </c>
      <c r="U221" t="s">
        <v>183</v>
      </c>
      <c r="V221" s="1" t="s">
        <v>179</v>
      </c>
      <c r="W221" s="1" t="s">
        <v>180</v>
      </c>
      <c r="X221" s="1" t="str">
        <f>VLOOKUP(V221,Broker_Directory!A:C,3,FALSE)</f>
        <v>Tier B</v>
      </c>
      <c r="Y221" s="1">
        <f>HLOOKUP(X221, Commission_Rates!A$1:C$2, 2, FALSE)</f>
        <v>1.4999999999999999E-2</v>
      </c>
      <c r="Z221" s="1">
        <f t="shared" si="9"/>
        <v>0</v>
      </c>
      <c r="AA221" s="1">
        <f t="shared" si="10"/>
        <v>0</v>
      </c>
      <c r="AB221" s="1">
        <f t="shared" si="11"/>
        <v>0</v>
      </c>
    </row>
    <row r="222" spans="1:28" x14ac:dyDescent="0.3">
      <c r="A222" s="1" t="s">
        <v>20</v>
      </c>
      <c r="B222" s="1" t="s">
        <v>133</v>
      </c>
      <c r="C222">
        <v>1</v>
      </c>
      <c r="D222">
        <v>1</v>
      </c>
      <c r="E222">
        <v>3420</v>
      </c>
      <c r="F222">
        <v>4660</v>
      </c>
      <c r="G222">
        <v>1</v>
      </c>
      <c r="H222">
        <v>1957</v>
      </c>
      <c r="I222">
        <v>1981</v>
      </c>
      <c r="J222" s="1" t="s">
        <v>30</v>
      </c>
      <c r="K222">
        <v>1</v>
      </c>
      <c r="L222" s="1" t="s">
        <v>64</v>
      </c>
      <c r="M222" s="1" t="s">
        <v>27</v>
      </c>
      <c r="N222" s="1" t="s">
        <v>25</v>
      </c>
      <c r="O222">
        <v>0</v>
      </c>
      <c r="P222">
        <v>5</v>
      </c>
      <c r="Q222" s="1" t="s">
        <v>148</v>
      </c>
      <c r="R222">
        <v>1</v>
      </c>
      <c r="S222" s="1" t="s">
        <v>24</v>
      </c>
      <c r="T222">
        <v>41280000</v>
      </c>
      <c r="U222" t="s">
        <v>184</v>
      </c>
      <c r="V222" s="1" t="s">
        <v>171</v>
      </c>
      <c r="W222" s="1" t="s">
        <v>172</v>
      </c>
      <c r="X222" s="1" t="str">
        <f>VLOOKUP(V222,Broker_Directory!A:C,3,FALSE)</f>
        <v>Tier B</v>
      </c>
      <c r="Y222" s="1">
        <f>HLOOKUP(X222, Commission_Rates!A$1:C$2, 2, FALSE)</f>
        <v>1.4999999999999999E-2</v>
      </c>
      <c r="Z222" s="1">
        <f t="shared" si="9"/>
        <v>619200</v>
      </c>
      <c r="AA222" s="1">
        <f t="shared" si="10"/>
        <v>1238400</v>
      </c>
      <c r="AB222" s="1">
        <f t="shared" si="11"/>
        <v>619200</v>
      </c>
    </row>
    <row r="223" spans="1:28" x14ac:dyDescent="0.3">
      <c r="A223" s="1" t="s">
        <v>53</v>
      </c>
      <c r="B223" s="1" t="s">
        <v>54</v>
      </c>
      <c r="C223">
        <v>1</v>
      </c>
      <c r="D223">
        <v>2</v>
      </c>
      <c r="E223">
        <v>4897</v>
      </c>
      <c r="F223">
        <v>8132</v>
      </c>
      <c r="G223">
        <v>1</v>
      </c>
      <c r="H223">
        <v>2015</v>
      </c>
      <c r="I223">
        <v>2025</v>
      </c>
      <c r="J223" s="1" t="s">
        <v>30</v>
      </c>
      <c r="K223">
        <v>0</v>
      </c>
      <c r="L223" s="1" t="s">
        <v>41</v>
      </c>
      <c r="M223" s="1" t="s">
        <v>27</v>
      </c>
      <c r="N223" s="1" t="s">
        <v>46</v>
      </c>
      <c r="O223">
        <v>10</v>
      </c>
      <c r="P223">
        <v>2</v>
      </c>
      <c r="Q223" s="1" t="s">
        <v>156</v>
      </c>
      <c r="R223">
        <v>0</v>
      </c>
      <c r="S223" s="1" t="s">
        <v>27</v>
      </c>
      <c r="T223">
        <v>44203000</v>
      </c>
      <c r="U223" t="s">
        <v>183</v>
      </c>
      <c r="V223" s="1" t="s">
        <v>179</v>
      </c>
      <c r="W223" s="1" t="s">
        <v>180</v>
      </c>
      <c r="X223" s="1" t="str">
        <f>VLOOKUP(V223,Broker_Directory!A:C,3,FALSE)</f>
        <v>Tier B</v>
      </c>
      <c r="Y223" s="1">
        <f>HLOOKUP(X223, Commission_Rates!A$1:C$2, 2, FALSE)</f>
        <v>1.4999999999999999E-2</v>
      </c>
      <c r="Z223" s="1">
        <f t="shared" si="9"/>
        <v>0</v>
      </c>
      <c r="AA223" s="1">
        <f t="shared" si="10"/>
        <v>0</v>
      </c>
      <c r="AB223" s="1">
        <f t="shared" si="11"/>
        <v>0</v>
      </c>
    </row>
    <row r="224" spans="1:28" x14ac:dyDescent="0.3">
      <c r="A224" s="1" t="s">
        <v>28</v>
      </c>
      <c r="B224" s="1" t="s">
        <v>95</v>
      </c>
      <c r="C224">
        <v>4</v>
      </c>
      <c r="D224">
        <v>2</v>
      </c>
      <c r="E224">
        <v>3312</v>
      </c>
      <c r="F224">
        <v>9547</v>
      </c>
      <c r="G224">
        <v>3</v>
      </c>
      <c r="H224">
        <v>2019</v>
      </c>
      <c r="I224">
        <v>2021</v>
      </c>
      <c r="J224" s="1" t="s">
        <v>52</v>
      </c>
      <c r="K224">
        <v>2</v>
      </c>
      <c r="L224" s="1" t="s">
        <v>41</v>
      </c>
      <c r="M224" s="1" t="s">
        <v>24</v>
      </c>
      <c r="N224" s="1" t="s">
        <v>35</v>
      </c>
      <c r="O224">
        <v>1</v>
      </c>
      <c r="P224">
        <v>1</v>
      </c>
      <c r="Q224" s="1" t="s">
        <v>96</v>
      </c>
      <c r="R224">
        <v>0</v>
      </c>
      <c r="S224" s="1" t="s">
        <v>27</v>
      </c>
      <c r="T224">
        <v>33465000</v>
      </c>
      <c r="U224" t="s">
        <v>183</v>
      </c>
      <c r="V224" s="1" t="s">
        <v>176</v>
      </c>
      <c r="W224" s="1" t="s">
        <v>177</v>
      </c>
      <c r="X224" s="1" t="str">
        <f>VLOOKUP(V224,Broker_Directory!A:C,3,FALSE)</f>
        <v>Tier C</v>
      </c>
      <c r="Y224" s="1">
        <f>HLOOKUP(X224, Commission_Rates!A$1:C$2, 2, FALSE)</f>
        <v>0.01</v>
      </c>
      <c r="Z224" s="1">
        <f t="shared" si="9"/>
        <v>0</v>
      </c>
      <c r="AA224" s="1">
        <f t="shared" si="10"/>
        <v>0</v>
      </c>
      <c r="AB224" s="1">
        <f t="shared" si="11"/>
        <v>0</v>
      </c>
    </row>
    <row r="225" spans="1:28" x14ac:dyDescent="0.3">
      <c r="A225" s="1" t="s">
        <v>20</v>
      </c>
      <c r="B225" s="1" t="s">
        <v>50</v>
      </c>
      <c r="C225">
        <v>3</v>
      </c>
      <c r="D225">
        <v>3</v>
      </c>
      <c r="E225">
        <v>1365</v>
      </c>
      <c r="F225">
        <v>4051</v>
      </c>
      <c r="G225">
        <v>3</v>
      </c>
      <c r="H225">
        <v>1982</v>
      </c>
      <c r="I225">
        <v>0</v>
      </c>
      <c r="J225" s="1" t="s">
        <v>30</v>
      </c>
      <c r="K225">
        <v>3</v>
      </c>
      <c r="L225" s="1" t="s">
        <v>31</v>
      </c>
      <c r="M225" s="1" t="s">
        <v>24</v>
      </c>
      <c r="N225" s="1" t="s">
        <v>25</v>
      </c>
      <c r="O225">
        <v>5</v>
      </c>
      <c r="P225">
        <v>4</v>
      </c>
      <c r="Q225" s="1" t="s">
        <v>113</v>
      </c>
      <c r="R225">
        <v>2</v>
      </c>
      <c r="S225" s="1" t="s">
        <v>27</v>
      </c>
      <c r="T225">
        <v>16810000</v>
      </c>
      <c r="U225" t="s">
        <v>184</v>
      </c>
      <c r="V225" s="1" t="s">
        <v>176</v>
      </c>
      <c r="W225" s="1" t="s">
        <v>177</v>
      </c>
      <c r="X225" s="1" t="str">
        <f>VLOOKUP(V225,Broker_Directory!A:C,3,FALSE)</f>
        <v>Tier C</v>
      </c>
      <c r="Y225" s="1">
        <f>HLOOKUP(X225, Commission_Rates!A$1:C$2, 2, FALSE)</f>
        <v>0.01</v>
      </c>
      <c r="Z225" s="1">
        <f t="shared" si="9"/>
        <v>168100</v>
      </c>
      <c r="AA225" s="1">
        <f t="shared" si="10"/>
        <v>504300</v>
      </c>
      <c r="AB225" s="1">
        <f t="shared" si="11"/>
        <v>336200</v>
      </c>
    </row>
    <row r="226" spans="1:28" x14ac:dyDescent="0.3">
      <c r="A226" s="1" t="s">
        <v>33</v>
      </c>
      <c r="B226" s="1" t="s">
        <v>43</v>
      </c>
      <c r="C226">
        <v>3</v>
      </c>
      <c r="D226">
        <v>1</v>
      </c>
      <c r="E226">
        <v>2903</v>
      </c>
      <c r="F226">
        <v>7257</v>
      </c>
      <c r="G226">
        <v>1</v>
      </c>
      <c r="H226">
        <v>1973</v>
      </c>
      <c r="I226">
        <v>2005</v>
      </c>
      <c r="J226" s="1" t="s">
        <v>58</v>
      </c>
      <c r="K226">
        <v>1</v>
      </c>
      <c r="L226" s="1" t="s">
        <v>41</v>
      </c>
      <c r="M226" s="1" t="s">
        <v>27</v>
      </c>
      <c r="N226" s="1" t="s">
        <v>25</v>
      </c>
      <c r="O226">
        <v>5</v>
      </c>
      <c r="P226">
        <v>1</v>
      </c>
      <c r="Q226" s="1" t="s">
        <v>130</v>
      </c>
      <c r="R226">
        <v>2</v>
      </c>
      <c r="S226" s="1" t="s">
        <v>27</v>
      </c>
      <c r="T226">
        <v>24980500</v>
      </c>
      <c r="U226" t="s">
        <v>184</v>
      </c>
      <c r="V226" s="1" t="s">
        <v>179</v>
      </c>
      <c r="W226" s="1" t="s">
        <v>180</v>
      </c>
      <c r="X226" s="1" t="str">
        <f>VLOOKUP(V226,Broker_Directory!A:C,3,FALSE)</f>
        <v>Tier B</v>
      </c>
      <c r="Y226" s="1">
        <f>HLOOKUP(X226, Commission_Rates!A$1:C$2, 2, FALSE)</f>
        <v>1.4999999999999999E-2</v>
      </c>
      <c r="Z226" s="1">
        <f t="shared" si="9"/>
        <v>374707.5</v>
      </c>
      <c r="AA226" s="1">
        <f t="shared" si="10"/>
        <v>749415</v>
      </c>
      <c r="AB226" s="1">
        <f t="shared" si="11"/>
        <v>374707.5</v>
      </c>
    </row>
    <row r="227" spans="1:28" x14ac:dyDescent="0.3">
      <c r="A227" s="1" t="s">
        <v>53</v>
      </c>
      <c r="B227" s="1" t="s">
        <v>89</v>
      </c>
      <c r="C227">
        <v>2</v>
      </c>
      <c r="D227">
        <v>4</v>
      </c>
      <c r="E227">
        <v>4898</v>
      </c>
      <c r="F227">
        <v>5020</v>
      </c>
      <c r="G227">
        <v>1</v>
      </c>
      <c r="H227">
        <v>1994</v>
      </c>
      <c r="I227">
        <v>2021</v>
      </c>
      <c r="J227" s="1" t="s">
        <v>52</v>
      </c>
      <c r="K227">
        <v>1</v>
      </c>
      <c r="L227" s="1" t="s">
        <v>23</v>
      </c>
      <c r="M227" s="1" t="s">
        <v>27</v>
      </c>
      <c r="N227" s="1" t="s">
        <v>46</v>
      </c>
      <c r="O227">
        <v>1</v>
      </c>
      <c r="P227">
        <v>3</v>
      </c>
      <c r="Q227" s="1" t="s">
        <v>90</v>
      </c>
      <c r="R227">
        <v>2</v>
      </c>
      <c r="S227" s="1" t="s">
        <v>24</v>
      </c>
      <c r="T227">
        <v>44402000</v>
      </c>
      <c r="U227" t="s">
        <v>182</v>
      </c>
      <c r="V227" s="1" t="s">
        <v>174</v>
      </c>
      <c r="W227" s="1" t="s">
        <v>175</v>
      </c>
      <c r="X227" s="1" t="str">
        <f>VLOOKUP(V227,Broker_Directory!A:C,3,FALSE)</f>
        <v>Tier A</v>
      </c>
      <c r="Y227" s="1">
        <f>HLOOKUP(X227, Commission_Rates!A$1:C$2, 2, FALSE)</f>
        <v>0.02</v>
      </c>
      <c r="Z227" s="1">
        <f t="shared" si="9"/>
        <v>0</v>
      </c>
      <c r="AA227" s="1">
        <f t="shared" si="10"/>
        <v>0</v>
      </c>
      <c r="AB227" s="1">
        <f t="shared" si="11"/>
        <v>0</v>
      </c>
    </row>
    <row r="228" spans="1:28" x14ac:dyDescent="0.3">
      <c r="A228" s="1" t="s">
        <v>33</v>
      </c>
      <c r="B228" s="1" t="s">
        <v>34</v>
      </c>
      <c r="C228">
        <v>5</v>
      </c>
      <c r="D228">
        <v>4</v>
      </c>
      <c r="E228">
        <v>4287</v>
      </c>
      <c r="F228">
        <v>4696</v>
      </c>
      <c r="G228">
        <v>2</v>
      </c>
      <c r="H228">
        <v>1974</v>
      </c>
      <c r="I228">
        <v>1993</v>
      </c>
      <c r="J228" s="1" t="s">
        <v>58</v>
      </c>
      <c r="K228">
        <v>0</v>
      </c>
      <c r="L228" s="1" t="s">
        <v>31</v>
      </c>
      <c r="M228" s="1" t="s">
        <v>24</v>
      </c>
      <c r="N228" s="1" t="s">
        <v>35</v>
      </c>
      <c r="O228">
        <v>1</v>
      </c>
      <c r="P228">
        <v>1</v>
      </c>
      <c r="Q228" s="1" t="s">
        <v>132</v>
      </c>
      <c r="R228">
        <v>3</v>
      </c>
      <c r="S228" s="1" t="s">
        <v>24</v>
      </c>
      <c r="T228">
        <v>36969500</v>
      </c>
      <c r="U228" t="s">
        <v>183</v>
      </c>
      <c r="V228" s="1" t="s">
        <v>168</v>
      </c>
      <c r="W228" s="1" t="s">
        <v>169</v>
      </c>
      <c r="X228" s="1" t="str">
        <f>VLOOKUP(V228,Broker_Directory!A:C,3,FALSE)</f>
        <v>Tier A</v>
      </c>
      <c r="Y228" s="1">
        <f>HLOOKUP(X228, Commission_Rates!A$1:C$2, 2, FALSE)</f>
        <v>0.02</v>
      </c>
      <c r="Z228" s="1">
        <f t="shared" si="9"/>
        <v>0</v>
      </c>
      <c r="AA228" s="1">
        <f t="shared" si="10"/>
        <v>0</v>
      </c>
      <c r="AB228" s="1">
        <f t="shared" si="11"/>
        <v>0</v>
      </c>
    </row>
    <row r="229" spans="1:28" x14ac:dyDescent="0.3">
      <c r="A229" s="1" t="s">
        <v>28</v>
      </c>
      <c r="B229" s="1" t="s">
        <v>95</v>
      </c>
      <c r="C229">
        <v>4</v>
      </c>
      <c r="D229">
        <v>1</v>
      </c>
      <c r="E229">
        <v>1559</v>
      </c>
      <c r="F229">
        <v>1998</v>
      </c>
      <c r="G229">
        <v>2</v>
      </c>
      <c r="H229">
        <v>1992</v>
      </c>
      <c r="I229">
        <v>1993</v>
      </c>
      <c r="J229" s="1" t="s">
        <v>58</v>
      </c>
      <c r="K229">
        <v>0</v>
      </c>
      <c r="L229" s="1" t="s">
        <v>23</v>
      </c>
      <c r="M229" s="1" t="s">
        <v>24</v>
      </c>
      <c r="N229" s="1" t="s">
        <v>46</v>
      </c>
      <c r="O229">
        <v>8</v>
      </c>
      <c r="P229">
        <v>0</v>
      </c>
      <c r="Q229" s="1" t="s">
        <v>96</v>
      </c>
      <c r="R229">
        <v>2</v>
      </c>
      <c r="S229" s="1" t="s">
        <v>27</v>
      </c>
      <c r="T229">
        <v>15915000</v>
      </c>
      <c r="U229" t="s">
        <v>182</v>
      </c>
      <c r="V229" s="1" t="s">
        <v>171</v>
      </c>
      <c r="W229" s="1" t="s">
        <v>172</v>
      </c>
      <c r="X229" s="1" t="str">
        <f>VLOOKUP(V229,Broker_Directory!A:C,3,FALSE)</f>
        <v>Tier B</v>
      </c>
      <c r="Y229" s="1">
        <f>HLOOKUP(X229, Commission_Rates!A$1:C$2, 2, FALSE)</f>
        <v>1.4999999999999999E-2</v>
      </c>
      <c r="Z229" s="1">
        <f t="shared" si="9"/>
        <v>0</v>
      </c>
      <c r="AA229" s="1">
        <f t="shared" si="10"/>
        <v>0</v>
      </c>
      <c r="AB229" s="1">
        <f t="shared" si="11"/>
        <v>0</v>
      </c>
    </row>
    <row r="230" spans="1:28" x14ac:dyDescent="0.3">
      <c r="A230" s="1" t="s">
        <v>37</v>
      </c>
      <c r="B230" s="1" t="s">
        <v>72</v>
      </c>
      <c r="C230">
        <v>4</v>
      </c>
      <c r="D230">
        <v>4</v>
      </c>
      <c r="E230">
        <v>2891</v>
      </c>
      <c r="F230">
        <v>3079</v>
      </c>
      <c r="G230">
        <v>2</v>
      </c>
      <c r="H230">
        <v>1965</v>
      </c>
      <c r="I230">
        <v>1998</v>
      </c>
      <c r="J230" s="1" t="s">
        <v>58</v>
      </c>
      <c r="K230">
        <v>0</v>
      </c>
      <c r="L230" s="1" t="s">
        <v>23</v>
      </c>
      <c r="M230" s="1" t="s">
        <v>24</v>
      </c>
      <c r="N230" s="1" t="s">
        <v>46</v>
      </c>
      <c r="O230">
        <v>8</v>
      </c>
      <c r="P230">
        <v>0</v>
      </c>
      <c r="Q230" s="1" t="s">
        <v>127</v>
      </c>
      <c r="R230">
        <v>2</v>
      </c>
      <c r="S230" s="1" t="s">
        <v>24</v>
      </c>
      <c r="T230">
        <v>23593000</v>
      </c>
      <c r="U230" t="s">
        <v>182</v>
      </c>
      <c r="V230" s="1" t="s">
        <v>176</v>
      </c>
      <c r="W230" s="1" t="s">
        <v>177</v>
      </c>
      <c r="X230" s="1" t="str">
        <f>VLOOKUP(V230,Broker_Directory!A:C,3,FALSE)</f>
        <v>Tier C</v>
      </c>
      <c r="Y230" s="1">
        <f>HLOOKUP(X230, Commission_Rates!A$1:C$2, 2, FALSE)</f>
        <v>0.01</v>
      </c>
      <c r="Z230" s="1">
        <f t="shared" si="9"/>
        <v>0</v>
      </c>
      <c r="AA230" s="1">
        <f t="shared" si="10"/>
        <v>0</v>
      </c>
      <c r="AB230" s="1">
        <f t="shared" si="11"/>
        <v>0</v>
      </c>
    </row>
    <row r="231" spans="1:28" x14ac:dyDescent="0.3">
      <c r="A231" s="1" t="s">
        <v>53</v>
      </c>
      <c r="B231" s="1" t="s">
        <v>54</v>
      </c>
      <c r="C231">
        <v>4</v>
      </c>
      <c r="D231">
        <v>4</v>
      </c>
      <c r="E231">
        <v>552</v>
      </c>
      <c r="F231">
        <v>8367</v>
      </c>
      <c r="G231">
        <v>1</v>
      </c>
      <c r="H231">
        <v>2018</v>
      </c>
      <c r="I231">
        <v>2020</v>
      </c>
      <c r="J231" s="1" t="s">
        <v>52</v>
      </c>
      <c r="K231">
        <v>3</v>
      </c>
      <c r="L231" s="1" t="s">
        <v>64</v>
      </c>
      <c r="M231" s="1" t="s">
        <v>24</v>
      </c>
      <c r="N231" s="1" t="s">
        <v>46</v>
      </c>
      <c r="O231">
        <v>10</v>
      </c>
      <c r="P231">
        <v>5</v>
      </c>
      <c r="Q231" s="1" t="s">
        <v>144</v>
      </c>
      <c r="R231">
        <v>0</v>
      </c>
      <c r="S231" s="1" t="s">
        <v>24</v>
      </c>
      <c r="T231">
        <v>5383000</v>
      </c>
      <c r="U231" t="s">
        <v>184</v>
      </c>
      <c r="V231" s="1" t="s">
        <v>168</v>
      </c>
      <c r="W231" s="1" t="s">
        <v>169</v>
      </c>
      <c r="X231" s="1" t="str">
        <f>VLOOKUP(V231,Broker_Directory!A:C,3,FALSE)</f>
        <v>Tier A</v>
      </c>
      <c r="Y231" s="1">
        <f>HLOOKUP(X231, Commission_Rates!A$1:C$2, 2, FALSE)</f>
        <v>0.02</v>
      </c>
      <c r="Z231" s="1">
        <f t="shared" si="9"/>
        <v>107660</v>
      </c>
      <c r="AA231" s="1">
        <f t="shared" si="10"/>
        <v>161490</v>
      </c>
      <c r="AB231" s="1">
        <f t="shared" si="11"/>
        <v>53830</v>
      </c>
    </row>
    <row r="232" spans="1:28" x14ac:dyDescent="0.3">
      <c r="A232" s="1" t="s">
        <v>20</v>
      </c>
      <c r="B232" s="1" t="s">
        <v>21</v>
      </c>
      <c r="C232">
        <v>1</v>
      </c>
      <c r="D232">
        <v>4</v>
      </c>
      <c r="E232">
        <v>4700</v>
      </c>
      <c r="F232">
        <v>9235</v>
      </c>
      <c r="G232">
        <v>1</v>
      </c>
      <c r="H232">
        <v>1989</v>
      </c>
      <c r="I232">
        <v>2001</v>
      </c>
      <c r="J232" s="1" t="s">
        <v>30</v>
      </c>
      <c r="K232">
        <v>1</v>
      </c>
      <c r="L232" s="1" t="s">
        <v>41</v>
      </c>
      <c r="M232" s="1" t="s">
        <v>24</v>
      </c>
      <c r="N232" s="1" t="s">
        <v>25</v>
      </c>
      <c r="O232">
        <v>2</v>
      </c>
      <c r="P232">
        <v>1</v>
      </c>
      <c r="Q232" s="1" t="s">
        <v>114</v>
      </c>
      <c r="R232">
        <v>1</v>
      </c>
      <c r="S232" s="1" t="s">
        <v>24</v>
      </c>
      <c r="T232">
        <v>56755000</v>
      </c>
      <c r="U232" t="s">
        <v>182</v>
      </c>
      <c r="V232" s="1" t="s">
        <v>176</v>
      </c>
      <c r="W232" s="1" t="s">
        <v>177</v>
      </c>
      <c r="X232" s="1" t="str">
        <f>VLOOKUP(V232,Broker_Directory!A:C,3,FALSE)</f>
        <v>Tier C</v>
      </c>
      <c r="Y232" s="1">
        <f>HLOOKUP(X232, Commission_Rates!A$1:C$2, 2, FALSE)</f>
        <v>0.01</v>
      </c>
      <c r="Z232" s="1">
        <f t="shared" si="9"/>
        <v>0</v>
      </c>
      <c r="AA232" s="1">
        <f t="shared" si="10"/>
        <v>0</v>
      </c>
      <c r="AB232" s="1">
        <f t="shared" si="11"/>
        <v>0</v>
      </c>
    </row>
    <row r="233" spans="1:28" x14ac:dyDescent="0.3">
      <c r="A233" s="1" t="s">
        <v>28</v>
      </c>
      <c r="B233" s="1" t="s">
        <v>95</v>
      </c>
      <c r="C233">
        <v>1</v>
      </c>
      <c r="D233">
        <v>4</v>
      </c>
      <c r="E233">
        <v>4802</v>
      </c>
      <c r="F233">
        <v>5451</v>
      </c>
      <c r="G233">
        <v>2</v>
      </c>
      <c r="H233">
        <v>1958</v>
      </c>
      <c r="I233">
        <v>1989</v>
      </c>
      <c r="J233" s="1" t="s">
        <v>58</v>
      </c>
      <c r="K233">
        <v>1</v>
      </c>
      <c r="L233" s="1" t="s">
        <v>41</v>
      </c>
      <c r="M233" s="1" t="s">
        <v>27</v>
      </c>
      <c r="N233" s="1" t="s">
        <v>46</v>
      </c>
      <c r="O233">
        <v>2</v>
      </c>
      <c r="P233">
        <v>5</v>
      </c>
      <c r="Q233" s="1" t="s">
        <v>96</v>
      </c>
      <c r="R233">
        <v>0</v>
      </c>
      <c r="S233" s="1" t="s">
        <v>27</v>
      </c>
      <c r="T233">
        <v>48230000</v>
      </c>
      <c r="U233" t="s">
        <v>183</v>
      </c>
      <c r="V233" s="1" t="s">
        <v>171</v>
      </c>
      <c r="W233" s="1" t="s">
        <v>172</v>
      </c>
      <c r="X233" s="1" t="str">
        <f>VLOOKUP(V233,Broker_Directory!A:C,3,FALSE)</f>
        <v>Tier B</v>
      </c>
      <c r="Y233" s="1">
        <f>HLOOKUP(X233, Commission_Rates!A$1:C$2, 2, FALSE)</f>
        <v>1.4999999999999999E-2</v>
      </c>
      <c r="Z233" s="1">
        <f t="shared" si="9"/>
        <v>0</v>
      </c>
      <c r="AA233" s="1">
        <f t="shared" si="10"/>
        <v>0</v>
      </c>
      <c r="AB233" s="1">
        <f t="shared" si="11"/>
        <v>0</v>
      </c>
    </row>
    <row r="234" spans="1:28" x14ac:dyDescent="0.3">
      <c r="A234" s="1" t="s">
        <v>33</v>
      </c>
      <c r="B234" s="1" t="s">
        <v>48</v>
      </c>
      <c r="C234">
        <v>2</v>
      </c>
      <c r="D234">
        <v>3</v>
      </c>
      <c r="E234">
        <v>4280</v>
      </c>
      <c r="F234">
        <v>8021</v>
      </c>
      <c r="G234">
        <v>2</v>
      </c>
      <c r="H234">
        <v>1989</v>
      </c>
      <c r="I234">
        <v>2025</v>
      </c>
      <c r="J234" s="1" t="s">
        <v>52</v>
      </c>
      <c r="K234">
        <v>2</v>
      </c>
      <c r="L234" s="1" t="s">
        <v>64</v>
      </c>
      <c r="M234" s="1" t="s">
        <v>27</v>
      </c>
      <c r="N234" s="1" t="s">
        <v>25</v>
      </c>
      <c r="O234">
        <v>0</v>
      </c>
      <c r="P234">
        <v>2</v>
      </c>
      <c r="Q234" s="1" t="s">
        <v>84</v>
      </c>
      <c r="R234">
        <v>1</v>
      </c>
      <c r="S234" s="1" t="s">
        <v>27</v>
      </c>
      <c r="T234">
        <v>36700000</v>
      </c>
      <c r="U234" t="s">
        <v>182</v>
      </c>
      <c r="V234" s="1" t="s">
        <v>171</v>
      </c>
      <c r="W234" s="1" t="s">
        <v>172</v>
      </c>
      <c r="X234" s="1" t="str">
        <f>VLOOKUP(V234,Broker_Directory!A:C,3,FALSE)</f>
        <v>Tier B</v>
      </c>
      <c r="Y234" s="1">
        <f>HLOOKUP(X234, Commission_Rates!A$1:C$2, 2, FALSE)</f>
        <v>1.4999999999999999E-2</v>
      </c>
      <c r="Z234" s="1">
        <f t="shared" si="9"/>
        <v>0</v>
      </c>
      <c r="AA234" s="1">
        <f t="shared" si="10"/>
        <v>0</v>
      </c>
      <c r="AB234" s="1">
        <f t="shared" si="11"/>
        <v>0</v>
      </c>
    </row>
    <row r="235" spans="1:28" x14ac:dyDescent="0.3">
      <c r="A235" s="1" t="s">
        <v>53</v>
      </c>
      <c r="B235" s="1" t="s">
        <v>89</v>
      </c>
      <c r="C235">
        <v>2</v>
      </c>
      <c r="D235">
        <v>3</v>
      </c>
      <c r="E235">
        <v>4231</v>
      </c>
      <c r="F235">
        <v>8072</v>
      </c>
      <c r="G235">
        <v>2</v>
      </c>
      <c r="H235">
        <v>1995</v>
      </c>
      <c r="I235">
        <v>2013</v>
      </c>
      <c r="J235" s="1" t="s">
        <v>22</v>
      </c>
      <c r="K235">
        <v>0</v>
      </c>
      <c r="L235" s="1" t="s">
        <v>31</v>
      </c>
      <c r="M235" s="1" t="s">
        <v>24</v>
      </c>
      <c r="N235" s="1" t="s">
        <v>46</v>
      </c>
      <c r="O235">
        <v>2</v>
      </c>
      <c r="P235">
        <v>4</v>
      </c>
      <c r="Q235" s="1" t="s">
        <v>154</v>
      </c>
      <c r="R235">
        <v>2</v>
      </c>
      <c r="S235" s="1" t="s">
        <v>24</v>
      </c>
      <c r="T235">
        <v>38414000</v>
      </c>
      <c r="U235" t="s">
        <v>182</v>
      </c>
      <c r="V235" s="1" t="s">
        <v>174</v>
      </c>
      <c r="W235" s="1" t="s">
        <v>175</v>
      </c>
      <c r="X235" s="1" t="str">
        <f>VLOOKUP(V235,Broker_Directory!A:C,3,FALSE)</f>
        <v>Tier A</v>
      </c>
      <c r="Y235" s="1">
        <f>HLOOKUP(X235, Commission_Rates!A$1:C$2, 2, FALSE)</f>
        <v>0.02</v>
      </c>
      <c r="Z235" s="1">
        <f t="shared" si="9"/>
        <v>0</v>
      </c>
      <c r="AA235" s="1">
        <f t="shared" si="10"/>
        <v>0</v>
      </c>
      <c r="AB235" s="1">
        <f t="shared" si="11"/>
        <v>0</v>
      </c>
    </row>
    <row r="236" spans="1:28" x14ac:dyDescent="0.3">
      <c r="A236" s="1" t="s">
        <v>20</v>
      </c>
      <c r="B236" s="1" t="s">
        <v>21</v>
      </c>
      <c r="C236">
        <v>5</v>
      </c>
      <c r="D236">
        <v>1</v>
      </c>
      <c r="E236">
        <v>3618</v>
      </c>
      <c r="F236">
        <v>9969</v>
      </c>
      <c r="G236">
        <v>3</v>
      </c>
      <c r="H236">
        <v>1977</v>
      </c>
      <c r="I236">
        <v>1978</v>
      </c>
      <c r="J236" s="1" t="s">
        <v>30</v>
      </c>
      <c r="K236">
        <v>3</v>
      </c>
      <c r="L236" s="1" t="s">
        <v>31</v>
      </c>
      <c r="M236" s="1" t="s">
        <v>27</v>
      </c>
      <c r="N236" s="1" t="s">
        <v>46</v>
      </c>
      <c r="O236">
        <v>3</v>
      </c>
      <c r="P236">
        <v>4</v>
      </c>
      <c r="Q236" s="1" t="s">
        <v>114</v>
      </c>
      <c r="R236">
        <v>1</v>
      </c>
      <c r="S236" s="1" t="s">
        <v>27</v>
      </c>
      <c r="T236">
        <v>43771000</v>
      </c>
      <c r="U236" t="s">
        <v>182</v>
      </c>
      <c r="V236" s="1" t="s">
        <v>168</v>
      </c>
      <c r="W236" s="1" t="s">
        <v>169</v>
      </c>
      <c r="X236" s="1" t="str">
        <f>VLOOKUP(V236,Broker_Directory!A:C,3,FALSE)</f>
        <v>Tier A</v>
      </c>
      <c r="Y236" s="1">
        <f>HLOOKUP(X236, Commission_Rates!A$1:C$2, 2, FALSE)</f>
        <v>0.02</v>
      </c>
      <c r="Z236" s="1">
        <f t="shared" si="9"/>
        <v>0</v>
      </c>
      <c r="AA236" s="1">
        <f t="shared" si="10"/>
        <v>0</v>
      </c>
      <c r="AB236" s="1">
        <f t="shared" si="11"/>
        <v>0</v>
      </c>
    </row>
    <row r="237" spans="1:28" x14ac:dyDescent="0.3">
      <c r="A237" s="1" t="s">
        <v>33</v>
      </c>
      <c r="B237" s="1" t="s">
        <v>43</v>
      </c>
      <c r="C237">
        <v>1</v>
      </c>
      <c r="D237">
        <v>4</v>
      </c>
      <c r="E237">
        <v>3280</v>
      </c>
      <c r="F237">
        <v>7443</v>
      </c>
      <c r="G237">
        <v>1</v>
      </c>
      <c r="H237">
        <v>1980</v>
      </c>
      <c r="I237">
        <v>2018</v>
      </c>
      <c r="J237" s="1" t="s">
        <v>52</v>
      </c>
      <c r="K237">
        <v>1</v>
      </c>
      <c r="L237" s="1" t="s">
        <v>41</v>
      </c>
      <c r="M237" s="1" t="s">
        <v>24</v>
      </c>
      <c r="N237" s="1" t="s">
        <v>25</v>
      </c>
      <c r="O237">
        <v>9</v>
      </c>
      <c r="P237">
        <v>4</v>
      </c>
      <c r="Q237" s="1" t="s">
        <v>130</v>
      </c>
      <c r="R237">
        <v>3</v>
      </c>
      <c r="S237" s="1" t="s">
        <v>27</v>
      </c>
      <c r="T237">
        <v>28215000</v>
      </c>
      <c r="U237" t="s">
        <v>184</v>
      </c>
      <c r="V237" s="1" t="s">
        <v>179</v>
      </c>
      <c r="W237" s="1" t="s">
        <v>180</v>
      </c>
      <c r="X237" s="1" t="str">
        <f>VLOOKUP(V237,Broker_Directory!A:C,3,FALSE)</f>
        <v>Tier B</v>
      </c>
      <c r="Y237" s="1">
        <f>HLOOKUP(X237, Commission_Rates!A$1:C$2, 2, FALSE)</f>
        <v>1.4999999999999999E-2</v>
      </c>
      <c r="Z237" s="1">
        <f t="shared" si="9"/>
        <v>423225</v>
      </c>
      <c r="AA237" s="1">
        <f t="shared" si="10"/>
        <v>846450</v>
      </c>
      <c r="AB237" s="1">
        <f t="shared" si="11"/>
        <v>423225</v>
      </c>
    </row>
    <row r="238" spans="1:28" x14ac:dyDescent="0.3">
      <c r="A238" s="1" t="s">
        <v>20</v>
      </c>
      <c r="B238" s="1" t="s">
        <v>40</v>
      </c>
      <c r="C238">
        <v>4</v>
      </c>
      <c r="D238">
        <v>2</v>
      </c>
      <c r="E238">
        <v>814</v>
      </c>
      <c r="F238">
        <v>5195</v>
      </c>
      <c r="G238">
        <v>2</v>
      </c>
      <c r="H238">
        <v>1979</v>
      </c>
      <c r="I238">
        <v>1980</v>
      </c>
      <c r="J238" s="1" t="s">
        <v>52</v>
      </c>
      <c r="K238">
        <v>2</v>
      </c>
      <c r="L238" s="1" t="s">
        <v>41</v>
      </c>
      <c r="M238" s="1" t="s">
        <v>27</v>
      </c>
      <c r="N238" s="1" t="s">
        <v>46</v>
      </c>
      <c r="O238">
        <v>0</v>
      </c>
      <c r="P238">
        <v>0</v>
      </c>
      <c r="Q238" s="1" t="s">
        <v>42</v>
      </c>
      <c r="R238">
        <v>0</v>
      </c>
      <c r="S238" s="1" t="s">
        <v>27</v>
      </c>
      <c r="T238">
        <v>10068000</v>
      </c>
      <c r="U238" t="s">
        <v>182</v>
      </c>
      <c r="V238" s="1" t="s">
        <v>179</v>
      </c>
      <c r="W238" s="1" t="s">
        <v>180</v>
      </c>
      <c r="X238" s="1" t="str">
        <f>VLOOKUP(V238,Broker_Directory!A:C,3,FALSE)</f>
        <v>Tier B</v>
      </c>
      <c r="Y238" s="1">
        <f>HLOOKUP(X238, Commission_Rates!A$1:C$2, 2, FALSE)</f>
        <v>1.4999999999999999E-2</v>
      </c>
      <c r="Z238" s="1">
        <f t="shared" si="9"/>
        <v>0</v>
      </c>
      <c r="AA238" s="1">
        <f t="shared" si="10"/>
        <v>0</v>
      </c>
      <c r="AB238" s="1">
        <f t="shared" si="11"/>
        <v>0</v>
      </c>
    </row>
    <row r="239" spans="1:28" x14ac:dyDescent="0.3">
      <c r="A239" s="1" t="s">
        <v>53</v>
      </c>
      <c r="B239" s="1" t="s">
        <v>100</v>
      </c>
      <c r="C239">
        <v>5</v>
      </c>
      <c r="D239">
        <v>2</v>
      </c>
      <c r="E239">
        <v>3385</v>
      </c>
      <c r="F239">
        <v>8789</v>
      </c>
      <c r="G239">
        <v>2</v>
      </c>
      <c r="H239">
        <v>1996</v>
      </c>
      <c r="I239">
        <v>2013</v>
      </c>
      <c r="J239" s="1" t="s">
        <v>58</v>
      </c>
      <c r="K239">
        <v>2</v>
      </c>
      <c r="L239" s="1" t="s">
        <v>41</v>
      </c>
      <c r="M239" s="1" t="s">
        <v>24</v>
      </c>
      <c r="N239" s="1" t="s">
        <v>35</v>
      </c>
      <c r="O239">
        <v>6</v>
      </c>
      <c r="P239">
        <v>2</v>
      </c>
      <c r="Q239" s="1" t="s">
        <v>151</v>
      </c>
      <c r="R239">
        <v>3</v>
      </c>
      <c r="S239" s="1" t="s">
        <v>27</v>
      </c>
      <c r="T239">
        <v>30885000</v>
      </c>
      <c r="U239" t="s">
        <v>184</v>
      </c>
      <c r="V239" s="1" t="s">
        <v>171</v>
      </c>
      <c r="W239" s="1" t="s">
        <v>172</v>
      </c>
      <c r="X239" s="1" t="str">
        <f>VLOOKUP(V239,Broker_Directory!A:C,3,FALSE)</f>
        <v>Tier B</v>
      </c>
      <c r="Y239" s="1">
        <f>HLOOKUP(X239, Commission_Rates!A$1:C$2, 2, FALSE)</f>
        <v>1.4999999999999999E-2</v>
      </c>
      <c r="Z239" s="1">
        <f t="shared" si="9"/>
        <v>463275</v>
      </c>
      <c r="AA239" s="1">
        <f t="shared" si="10"/>
        <v>926550</v>
      </c>
      <c r="AB239" s="1">
        <f t="shared" si="11"/>
        <v>463275</v>
      </c>
    </row>
    <row r="240" spans="1:28" x14ac:dyDescent="0.3">
      <c r="A240" s="1" t="s">
        <v>33</v>
      </c>
      <c r="B240" s="1" t="s">
        <v>48</v>
      </c>
      <c r="C240">
        <v>5</v>
      </c>
      <c r="D240">
        <v>2</v>
      </c>
      <c r="E240">
        <v>3903</v>
      </c>
      <c r="F240">
        <v>5309</v>
      </c>
      <c r="G240">
        <v>1</v>
      </c>
      <c r="H240">
        <v>1959</v>
      </c>
      <c r="I240">
        <v>2023</v>
      </c>
      <c r="J240" s="1" t="s">
        <v>30</v>
      </c>
      <c r="K240">
        <v>1</v>
      </c>
      <c r="L240" s="1" t="s">
        <v>31</v>
      </c>
      <c r="M240" s="1" t="s">
        <v>24</v>
      </c>
      <c r="N240" s="1" t="s">
        <v>25</v>
      </c>
      <c r="O240">
        <v>5</v>
      </c>
      <c r="P240">
        <v>4</v>
      </c>
      <c r="Q240" s="1" t="s">
        <v>49</v>
      </c>
      <c r="R240">
        <v>1</v>
      </c>
      <c r="S240" s="1" t="s">
        <v>27</v>
      </c>
      <c r="T240">
        <v>33620500</v>
      </c>
      <c r="U240" t="s">
        <v>184</v>
      </c>
      <c r="V240" s="1" t="s">
        <v>179</v>
      </c>
      <c r="W240" s="1" t="s">
        <v>180</v>
      </c>
      <c r="X240" s="1" t="str">
        <f>VLOOKUP(V240,Broker_Directory!A:C,3,FALSE)</f>
        <v>Tier B</v>
      </c>
      <c r="Y240" s="1">
        <f>HLOOKUP(X240, Commission_Rates!A$1:C$2, 2, FALSE)</f>
        <v>1.4999999999999999E-2</v>
      </c>
      <c r="Z240" s="1">
        <f t="shared" si="9"/>
        <v>504307.5</v>
      </c>
      <c r="AA240" s="1">
        <f t="shared" si="10"/>
        <v>1008615</v>
      </c>
      <c r="AB240" s="1">
        <f t="shared" si="11"/>
        <v>504307.5</v>
      </c>
    </row>
    <row r="241" spans="1:28" x14ac:dyDescent="0.3">
      <c r="A241" s="1" t="s">
        <v>53</v>
      </c>
      <c r="B241" s="1" t="s">
        <v>105</v>
      </c>
      <c r="C241">
        <v>4</v>
      </c>
      <c r="D241">
        <v>4</v>
      </c>
      <c r="E241">
        <v>4224</v>
      </c>
      <c r="F241">
        <v>6000</v>
      </c>
      <c r="G241">
        <v>3</v>
      </c>
      <c r="H241">
        <v>1970</v>
      </c>
      <c r="I241">
        <v>2010</v>
      </c>
      <c r="J241" s="1" t="s">
        <v>22</v>
      </c>
      <c r="K241">
        <v>0</v>
      </c>
      <c r="L241" s="1" t="s">
        <v>31</v>
      </c>
      <c r="M241" s="1" t="s">
        <v>24</v>
      </c>
      <c r="N241" s="1" t="s">
        <v>25</v>
      </c>
      <c r="O241">
        <v>9</v>
      </c>
      <c r="P241">
        <v>4</v>
      </c>
      <c r="Q241" s="1" t="s">
        <v>116</v>
      </c>
      <c r="R241">
        <v>1</v>
      </c>
      <c r="S241" s="1" t="s">
        <v>24</v>
      </c>
      <c r="T241">
        <v>38561000</v>
      </c>
      <c r="U241" t="s">
        <v>183</v>
      </c>
      <c r="V241" s="1" t="s">
        <v>176</v>
      </c>
      <c r="W241" s="1" t="s">
        <v>177</v>
      </c>
      <c r="X241" s="1" t="str">
        <f>VLOOKUP(V241,Broker_Directory!A:C,3,FALSE)</f>
        <v>Tier C</v>
      </c>
      <c r="Y241" s="1">
        <f>HLOOKUP(X241, Commission_Rates!A$1:C$2, 2, FALSE)</f>
        <v>0.01</v>
      </c>
      <c r="Z241" s="1">
        <f t="shared" si="9"/>
        <v>0</v>
      </c>
      <c r="AA241" s="1">
        <f t="shared" si="10"/>
        <v>0</v>
      </c>
      <c r="AB241" s="1">
        <f t="shared" si="11"/>
        <v>0</v>
      </c>
    </row>
    <row r="242" spans="1:28" x14ac:dyDescent="0.3">
      <c r="A242" s="1" t="s">
        <v>33</v>
      </c>
      <c r="B242" s="1" t="s">
        <v>75</v>
      </c>
      <c r="C242">
        <v>1</v>
      </c>
      <c r="D242">
        <v>2</v>
      </c>
      <c r="E242">
        <v>2415</v>
      </c>
      <c r="F242">
        <v>3939</v>
      </c>
      <c r="G242">
        <v>3</v>
      </c>
      <c r="H242">
        <v>2001</v>
      </c>
      <c r="I242">
        <v>2019</v>
      </c>
      <c r="J242" s="1" t="s">
        <v>58</v>
      </c>
      <c r="K242">
        <v>2</v>
      </c>
      <c r="L242" s="1" t="s">
        <v>23</v>
      </c>
      <c r="M242" s="1" t="s">
        <v>24</v>
      </c>
      <c r="N242" s="1" t="s">
        <v>46</v>
      </c>
      <c r="O242">
        <v>9</v>
      </c>
      <c r="P242">
        <v>3</v>
      </c>
      <c r="Q242" s="1" t="s">
        <v>140</v>
      </c>
      <c r="R242">
        <v>1</v>
      </c>
      <c r="S242" s="1" t="s">
        <v>24</v>
      </c>
      <c r="T242">
        <v>20787500</v>
      </c>
      <c r="U242" t="s">
        <v>182</v>
      </c>
      <c r="V242" s="1" t="s">
        <v>179</v>
      </c>
      <c r="W242" s="1" t="s">
        <v>180</v>
      </c>
      <c r="X242" s="1" t="str">
        <f>VLOOKUP(V242,Broker_Directory!A:C,3,FALSE)</f>
        <v>Tier B</v>
      </c>
      <c r="Y242" s="1">
        <f>HLOOKUP(X242, Commission_Rates!A$1:C$2, 2, FALSE)</f>
        <v>1.4999999999999999E-2</v>
      </c>
      <c r="Z242" s="1">
        <f t="shared" si="9"/>
        <v>0</v>
      </c>
      <c r="AA242" s="1">
        <f t="shared" si="10"/>
        <v>0</v>
      </c>
      <c r="AB242" s="1">
        <f t="shared" si="11"/>
        <v>0</v>
      </c>
    </row>
    <row r="243" spans="1:28" x14ac:dyDescent="0.3">
      <c r="A243" s="1" t="s">
        <v>37</v>
      </c>
      <c r="B243" s="1" t="s">
        <v>45</v>
      </c>
      <c r="C243">
        <v>2</v>
      </c>
      <c r="D243">
        <v>2</v>
      </c>
      <c r="E243">
        <v>4484</v>
      </c>
      <c r="F243">
        <v>6700</v>
      </c>
      <c r="G243">
        <v>1</v>
      </c>
      <c r="H243">
        <v>1993</v>
      </c>
      <c r="I243">
        <v>2021</v>
      </c>
      <c r="J243" s="1" t="s">
        <v>58</v>
      </c>
      <c r="K243">
        <v>1</v>
      </c>
      <c r="L243" s="1" t="s">
        <v>41</v>
      </c>
      <c r="M243" s="1" t="s">
        <v>27</v>
      </c>
      <c r="N243" s="1" t="s">
        <v>25</v>
      </c>
      <c r="O243">
        <v>1</v>
      </c>
      <c r="P243">
        <v>0</v>
      </c>
      <c r="Q243" s="1" t="s">
        <v>124</v>
      </c>
      <c r="R243">
        <v>3</v>
      </c>
      <c r="S243" s="1" t="s">
        <v>24</v>
      </c>
      <c r="T243">
        <v>36222000</v>
      </c>
      <c r="U243" t="s">
        <v>184</v>
      </c>
      <c r="V243" s="1" t="s">
        <v>174</v>
      </c>
      <c r="W243" s="1" t="s">
        <v>175</v>
      </c>
      <c r="X243" s="1" t="str">
        <f>VLOOKUP(V243,Broker_Directory!A:C,3,FALSE)</f>
        <v>Tier A</v>
      </c>
      <c r="Y243" s="1">
        <f>HLOOKUP(X243, Commission_Rates!A$1:C$2, 2, FALSE)</f>
        <v>0.02</v>
      </c>
      <c r="Z243" s="1">
        <f t="shared" si="9"/>
        <v>724440</v>
      </c>
      <c r="AA243" s="1">
        <f t="shared" si="10"/>
        <v>1086660</v>
      </c>
      <c r="AB243" s="1">
        <f t="shared" si="11"/>
        <v>362220</v>
      </c>
    </row>
    <row r="244" spans="1:28" x14ac:dyDescent="0.3">
      <c r="A244" s="1" t="s">
        <v>33</v>
      </c>
      <c r="B244" s="1" t="s">
        <v>48</v>
      </c>
      <c r="C244">
        <v>2</v>
      </c>
      <c r="D244">
        <v>4</v>
      </c>
      <c r="E244">
        <v>619</v>
      </c>
      <c r="F244">
        <v>9375</v>
      </c>
      <c r="G244">
        <v>3</v>
      </c>
      <c r="H244">
        <v>1965</v>
      </c>
      <c r="I244">
        <v>1969</v>
      </c>
      <c r="J244" s="1" t="s">
        <v>22</v>
      </c>
      <c r="K244">
        <v>1</v>
      </c>
      <c r="L244" s="1" t="s">
        <v>23</v>
      </c>
      <c r="M244" s="1" t="s">
        <v>27</v>
      </c>
      <c r="N244" s="1" t="s">
        <v>35</v>
      </c>
      <c r="O244">
        <v>6</v>
      </c>
      <c r="P244">
        <v>2</v>
      </c>
      <c r="Q244" s="1" t="s">
        <v>49</v>
      </c>
      <c r="R244">
        <v>3</v>
      </c>
      <c r="S244" s="1" t="s">
        <v>24</v>
      </c>
      <c r="T244">
        <v>5636500</v>
      </c>
      <c r="U244" t="s">
        <v>183</v>
      </c>
      <c r="V244" s="1" t="s">
        <v>176</v>
      </c>
      <c r="W244" s="1" t="s">
        <v>177</v>
      </c>
      <c r="X244" s="1" t="str">
        <f>VLOOKUP(V244,Broker_Directory!A:C,3,FALSE)</f>
        <v>Tier C</v>
      </c>
      <c r="Y244" s="1">
        <f>HLOOKUP(X244, Commission_Rates!A$1:C$2, 2, FALSE)</f>
        <v>0.01</v>
      </c>
      <c r="Z244" s="1">
        <f t="shared" si="9"/>
        <v>0</v>
      </c>
      <c r="AA244" s="1">
        <f t="shared" si="10"/>
        <v>0</v>
      </c>
      <c r="AB244" s="1">
        <f t="shared" si="11"/>
        <v>0</v>
      </c>
    </row>
    <row r="245" spans="1:28" x14ac:dyDescent="0.3">
      <c r="A245" s="1" t="s">
        <v>37</v>
      </c>
      <c r="B245" s="1" t="s">
        <v>72</v>
      </c>
      <c r="C245">
        <v>3</v>
      </c>
      <c r="D245">
        <v>1</v>
      </c>
      <c r="E245">
        <v>3785</v>
      </c>
      <c r="F245">
        <v>4931</v>
      </c>
      <c r="G245">
        <v>2</v>
      </c>
      <c r="H245">
        <v>2011</v>
      </c>
      <c r="I245">
        <v>2017</v>
      </c>
      <c r="J245" s="1" t="s">
        <v>58</v>
      </c>
      <c r="K245">
        <v>2</v>
      </c>
      <c r="L245" s="1" t="s">
        <v>41</v>
      </c>
      <c r="M245" s="1" t="s">
        <v>27</v>
      </c>
      <c r="N245" s="1" t="s">
        <v>25</v>
      </c>
      <c r="O245">
        <v>0</v>
      </c>
      <c r="P245">
        <v>5</v>
      </c>
      <c r="Q245" s="1" t="s">
        <v>107</v>
      </c>
      <c r="R245">
        <v>0</v>
      </c>
      <c r="S245" s="1" t="s">
        <v>24</v>
      </c>
      <c r="T245">
        <v>30625000</v>
      </c>
      <c r="U245" t="s">
        <v>182</v>
      </c>
      <c r="V245" s="1" t="s">
        <v>171</v>
      </c>
      <c r="W245" s="1" t="s">
        <v>172</v>
      </c>
      <c r="X245" s="1" t="str">
        <f>VLOOKUP(V245,Broker_Directory!A:C,3,FALSE)</f>
        <v>Tier B</v>
      </c>
      <c r="Y245" s="1">
        <f>HLOOKUP(X245, Commission_Rates!A$1:C$2, 2, FALSE)</f>
        <v>1.4999999999999999E-2</v>
      </c>
      <c r="Z245" s="1">
        <f t="shared" si="9"/>
        <v>0</v>
      </c>
      <c r="AA245" s="1">
        <f t="shared" si="10"/>
        <v>0</v>
      </c>
      <c r="AB245" s="1">
        <f t="shared" si="11"/>
        <v>0</v>
      </c>
    </row>
    <row r="246" spans="1:28" x14ac:dyDescent="0.3">
      <c r="A246" s="1" t="s">
        <v>37</v>
      </c>
      <c r="B246" s="1" t="s">
        <v>62</v>
      </c>
      <c r="C246">
        <v>3</v>
      </c>
      <c r="D246">
        <v>4</v>
      </c>
      <c r="E246">
        <v>3267</v>
      </c>
      <c r="F246">
        <v>4190</v>
      </c>
      <c r="G246">
        <v>1</v>
      </c>
      <c r="H246">
        <v>2004</v>
      </c>
      <c r="I246">
        <v>2023</v>
      </c>
      <c r="J246" s="1" t="s">
        <v>30</v>
      </c>
      <c r="K246">
        <v>2</v>
      </c>
      <c r="L246" s="1" t="s">
        <v>41</v>
      </c>
      <c r="M246" s="1" t="s">
        <v>27</v>
      </c>
      <c r="N246" s="1" t="s">
        <v>35</v>
      </c>
      <c r="O246">
        <v>4</v>
      </c>
      <c r="P246">
        <v>5</v>
      </c>
      <c r="Q246" s="1" t="s">
        <v>97</v>
      </c>
      <c r="R246">
        <v>1</v>
      </c>
      <c r="S246" s="1" t="s">
        <v>27</v>
      </c>
      <c r="T246">
        <v>26441000</v>
      </c>
      <c r="U246" t="s">
        <v>184</v>
      </c>
      <c r="V246" s="1" t="s">
        <v>179</v>
      </c>
      <c r="W246" s="1" t="s">
        <v>180</v>
      </c>
      <c r="X246" s="1" t="str">
        <f>VLOOKUP(V246,Broker_Directory!A:C,3,FALSE)</f>
        <v>Tier B</v>
      </c>
      <c r="Y246" s="1">
        <f>HLOOKUP(X246, Commission_Rates!A$1:C$2, 2, FALSE)</f>
        <v>1.4999999999999999E-2</v>
      </c>
      <c r="Z246" s="1">
        <f t="shared" si="9"/>
        <v>396615</v>
      </c>
      <c r="AA246" s="1">
        <f t="shared" si="10"/>
        <v>793230</v>
      </c>
      <c r="AB246" s="1">
        <f t="shared" si="11"/>
        <v>396615</v>
      </c>
    </row>
    <row r="247" spans="1:28" x14ac:dyDescent="0.3">
      <c r="A247" s="1" t="s">
        <v>33</v>
      </c>
      <c r="B247" s="1" t="s">
        <v>43</v>
      </c>
      <c r="C247">
        <v>4</v>
      </c>
      <c r="D247">
        <v>2</v>
      </c>
      <c r="E247">
        <v>3332</v>
      </c>
      <c r="F247">
        <v>7962</v>
      </c>
      <c r="G247">
        <v>3</v>
      </c>
      <c r="H247">
        <v>2011</v>
      </c>
      <c r="I247">
        <v>2018</v>
      </c>
      <c r="J247" s="1" t="s">
        <v>30</v>
      </c>
      <c r="K247">
        <v>2</v>
      </c>
      <c r="L247" s="1" t="s">
        <v>41</v>
      </c>
      <c r="M247" s="1" t="s">
        <v>24</v>
      </c>
      <c r="N247" s="1" t="s">
        <v>35</v>
      </c>
      <c r="O247">
        <v>1</v>
      </c>
      <c r="P247">
        <v>5</v>
      </c>
      <c r="Q247" s="1" t="s">
        <v>130</v>
      </c>
      <c r="R247">
        <v>3</v>
      </c>
      <c r="S247" s="1" t="s">
        <v>24</v>
      </c>
      <c r="T247">
        <v>28762000</v>
      </c>
      <c r="U247" t="s">
        <v>183</v>
      </c>
      <c r="V247" s="1" t="s">
        <v>176</v>
      </c>
      <c r="W247" s="1" t="s">
        <v>177</v>
      </c>
      <c r="X247" s="1" t="str">
        <f>VLOOKUP(V247,Broker_Directory!A:C,3,FALSE)</f>
        <v>Tier C</v>
      </c>
      <c r="Y247" s="1">
        <f>HLOOKUP(X247, Commission_Rates!A$1:C$2, 2, FALSE)</f>
        <v>0.01</v>
      </c>
      <c r="Z247" s="1">
        <f t="shared" si="9"/>
        <v>0</v>
      </c>
      <c r="AA247" s="1">
        <f t="shared" si="10"/>
        <v>0</v>
      </c>
      <c r="AB247" s="1">
        <f t="shared" si="11"/>
        <v>0</v>
      </c>
    </row>
    <row r="248" spans="1:28" x14ac:dyDescent="0.3">
      <c r="A248" s="1" t="s">
        <v>20</v>
      </c>
      <c r="B248" s="1" t="s">
        <v>40</v>
      </c>
      <c r="C248">
        <v>5</v>
      </c>
      <c r="D248">
        <v>4</v>
      </c>
      <c r="E248">
        <v>3072</v>
      </c>
      <c r="F248">
        <v>9682</v>
      </c>
      <c r="G248">
        <v>3</v>
      </c>
      <c r="H248">
        <v>1956</v>
      </c>
      <c r="I248">
        <v>1975</v>
      </c>
      <c r="J248" s="1" t="s">
        <v>22</v>
      </c>
      <c r="K248">
        <v>0</v>
      </c>
      <c r="L248" s="1" t="s">
        <v>23</v>
      </c>
      <c r="M248" s="1" t="s">
        <v>24</v>
      </c>
      <c r="N248" s="1" t="s">
        <v>46</v>
      </c>
      <c r="O248">
        <v>9</v>
      </c>
      <c r="P248">
        <v>3</v>
      </c>
      <c r="Q248" s="1" t="s">
        <v>115</v>
      </c>
      <c r="R248">
        <v>0</v>
      </c>
      <c r="S248" s="1" t="s">
        <v>27</v>
      </c>
      <c r="T248">
        <v>37319000</v>
      </c>
      <c r="U248" t="s">
        <v>183</v>
      </c>
      <c r="V248" s="1" t="s">
        <v>179</v>
      </c>
      <c r="W248" s="1" t="s">
        <v>180</v>
      </c>
      <c r="X248" s="1" t="str">
        <f>VLOOKUP(V248,Broker_Directory!A:C,3,FALSE)</f>
        <v>Tier B</v>
      </c>
      <c r="Y248" s="1">
        <f>HLOOKUP(X248, Commission_Rates!A$1:C$2, 2, FALSE)</f>
        <v>1.4999999999999999E-2</v>
      </c>
      <c r="Z248" s="1">
        <f t="shared" si="9"/>
        <v>0</v>
      </c>
      <c r="AA248" s="1">
        <f t="shared" si="10"/>
        <v>0</v>
      </c>
      <c r="AB248" s="1">
        <f t="shared" si="11"/>
        <v>0</v>
      </c>
    </row>
    <row r="249" spans="1:28" x14ac:dyDescent="0.3">
      <c r="A249" s="1" t="s">
        <v>28</v>
      </c>
      <c r="B249" s="1" t="s">
        <v>79</v>
      </c>
      <c r="C249">
        <v>1</v>
      </c>
      <c r="D249">
        <v>1</v>
      </c>
      <c r="E249">
        <v>3448</v>
      </c>
      <c r="F249">
        <v>6780</v>
      </c>
      <c r="G249">
        <v>3</v>
      </c>
      <c r="H249">
        <v>2016</v>
      </c>
      <c r="I249">
        <v>2019</v>
      </c>
      <c r="J249" s="1" t="s">
        <v>58</v>
      </c>
      <c r="K249">
        <v>1</v>
      </c>
      <c r="L249" s="1" t="s">
        <v>41</v>
      </c>
      <c r="M249" s="1" t="s">
        <v>27</v>
      </c>
      <c r="N249" s="1" t="s">
        <v>25</v>
      </c>
      <c r="O249">
        <v>3</v>
      </c>
      <c r="P249">
        <v>5</v>
      </c>
      <c r="Q249" s="1" t="s">
        <v>92</v>
      </c>
      <c r="R249">
        <v>1</v>
      </c>
      <c r="S249" s="1" t="s">
        <v>24</v>
      </c>
      <c r="T249">
        <v>34760000</v>
      </c>
      <c r="U249" t="s">
        <v>184</v>
      </c>
      <c r="V249" s="1" t="s">
        <v>174</v>
      </c>
      <c r="W249" s="1" t="s">
        <v>175</v>
      </c>
      <c r="X249" s="1" t="str">
        <f>VLOOKUP(V249,Broker_Directory!A:C,3,FALSE)</f>
        <v>Tier A</v>
      </c>
      <c r="Y249" s="1">
        <f>HLOOKUP(X249, Commission_Rates!A$1:C$2, 2, FALSE)</f>
        <v>0.02</v>
      </c>
      <c r="Z249" s="1">
        <f t="shared" si="9"/>
        <v>695200</v>
      </c>
      <c r="AA249" s="1">
        <f t="shared" si="10"/>
        <v>1042800</v>
      </c>
      <c r="AB249" s="1">
        <f t="shared" si="11"/>
        <v>347600</v>
      </c>
    </row>
    <row r="250" spans="1:28" x14ac:dyDescent="0.3">
      <c r="A250" s="1" t="s">
        <v>33</v>
      </c>
      <c r="B250" s="1" t="s">
        <v>43</v>
      </c>
      <c r="C250">
        <v>5</v>
      </c>
      <c r="D250">
        <v>2</v>
      </c>
      <c r="E250">
        <v>1688</v>
      </c>
      <c r="F250">
        <v>2328</v>
      </c>
      <c r="G250">
        <v>2</v>
      </c>
      <c r="H250">
        <v>1980</v>
      </c>
      <c r="I250">
        <v>2020</v>
      </c>
      <c r="J250" s="1" t="s">
        <v>58</v>
      </c>
      <c r="K250">
        <v>1</v>
      </c>
      <c r="L250" s="1" t="s">
        <v>23</v>
      </c>
      <c r="M250" s="1" t="s">
        <v>27</v>
      </c>
      <c r="N250" s="1" t="s">
        <v>46</v>
      </c>
      <c r="O250">
        <v>5</v>
      </c>
      <c r="P250">
        <v>5</v>
      </c>
      <c r="Q250" s="1" t="s">
        <v>44</v>
      </c>
      <c r="R250">
        <v>3</v>
      </c>
      <c r="S250" s="1" t="s">
        <v>24</v>
      </c>
      <c r="T250">
        <v>14793000</v>
      </c>
      <c r="U250" t="s">
        <v>182</v>
      </c>
      <c r="V250" s="1" t="s">
        <v>179</v>
      </c>
      <c r="W250" s="1" t="s">
        <v>180</v>
      </c>
      <c r="X250" s="1" t="str">
        <f>VLOOKUP(V250,Broker_Directory!A:C,3,FALSE)</f>
        <v>Tier B</v>
      </c>
      <c r="Y250" s="1">
        <f>HLOOKUP(X250, Commission_Rates!A$1:C$2, 2, FALSE)</f>
        <v>1.4999999999999999E-2</v>
      </c>
      <c r="Z250" s="1">
        <f t="shared" si="9"/>
        <v>0</v>
      </c>
      <c r="AA250" s="1">
        <f t="shared" si="10"/>
        <v>0</v>
      </c>
      <c r="AB250" s="1">
        <f t="shared" si="11"/>
        <v>0</v>
      </c>
    </row>
    <row r="251" spans="1:28" x14ac:dyDescent="0.3">
      <c r="A251" s="1" t="s">
        <v>33</v>
      </c>
      <c r="B251" s="1" t="s">
        <v>48</v>
      </c>
      <c r="C251">
        <v>1</v>
      </c>
      <c r="D251">
        <v>1</v>
      </c>
      <c r="E251">
        <v>4802</v>
      </c>
      <c r="F251">
        <v>7182</v>
      </c>
      <c r="G251">
        <v>3</v>
      </c>
      <c r="H251">
        <v>2021</v>
      </c>
      <c r="I251">
        <v>2024</v>
      </c>
      <c r="J251" s="1" t="s">
        <v>30</v>
      </c>
      <c r="K251">
        <v>2</v>
      </c>
      <c r="L251" s="1" t="s">
        <v>64</v>
      </c>
      <c r="M251" s="1" t="s">
        <v>24</v>
      </c>
      <c r="N251" s="1" t="s">
        <v>35</v>
      </c>
      <c r="O251">
        <v>3</v>
      </c>
      <c r="P251">
        <v>3</v>
      </c>
      <c r="Q251" s="1" t="s">
        <v>57</v>
      </c>
      <c r="R251">
        <v>0</v>
      </c>
      <c r="S251" s="1" t="s">
        <v>27</v>
      </c>
      <c r="T251">
        <v>40982000</v>
      </c>
      <c r="U251" t="s">
        <v>183</v>
      </c>
      <c r="V251" s="1" t="s">
        <v>174</v>
      </c>
      <c r="W251" s="1" t="s">
        <v>175</v>
      </c>
      <c r="X251" s="1" t="str">
        <f>VLOOKUP(V251,Broker_Directory!A:C,3,FALSE)</f>
        <v>Tier A</v>
      </c>
      <c r="Y251" s="1">
        <f>HLOOKUP(X251, Commission_Rates!A$1:C$2, 2, FALSE)</f>
        <v>0.02</v>
      </c>
      <c r="Z251" s="1">
        <f t="shared" si="9"/>
        <v>0</v>
      </c>
      <c r="AA251" s="1">
        <f t="shared" si="10"/>
        <v>0</v>
      </c>
      <c r="AB251" s="1">
        <f t="shared" si="11"/>
        <v>0</v>
      </c>
    </row>
    <row r="252" spans="1:28" x14ac:dyDescent="0.3">
      <c r="A252" s="1" t="s">
        <v>28</v>
      </c>
      <c r="B252" s="1" t="s">
        <v>29</v>
      </c>
      <c r="C252">
        <v>5</v>
      </c>
      <c r="D252">
        <v>1</v>
      </c>
      <c r="E252">
        <v>4876</v>
      </c>
      <c r="F252">
        <v>5518</v>
      </c>
      <c r="G252">
        <v>3</v>
      </c>
      <c r="H252">
        <v>1987</v>
      </c>
      <c r="I252">
        <v>2007</v>
      </c>
      <c r="J252" s="1" t="s">
        <v>58</v>
      </c>
      <c r="K252">
        <v>2</v>
      </c>
      <c r="L252" s="1" t="s">
        <v>64</v>
      </c>
      <c r="M252" s="1" t="s">
        <v>27</v>
      </c>
      <c r="N252" s="1" t="s">
        <v>46</v>
      </c>
      <c r="O252">
        <v>9</v>
      </c>
      <c r="P252">
        <v>3</v>
      </c>
      <c r="Q252" s="1" t="s">
        <v>149</v>
      </c>
      <c r="R252">
        <v>2</v>
      </c>
      <c r="S252" s="1" t="s">
        <v>27</v>
      </c>
      <c r="T252">
        <v>49130000</v>
      </c>
      <c r="U252" t="s">
        <v>183</v>
      </c>
      <c r="V252" s="1" t="s">
        <v>171</v>
      </c>
      <c r="W252" s="1" t="s">
        <v>172</v>
      </c>
      <c r="X252" s="1" t="str">
        <f>VLOOKUP(V252,Broker_Directory!A:C,3,FALSE)</f>
        <v>Tier B</v>
      </c>
      <c r="Y252" s="1">
        <f>HLOOKUP(X252, Commission_Rates!A$1:C$2, 2, FALSE)</f>
        <v>1.4999999999999999E-2</v>
      </c>
      <c r="Z252" s="1">
        <f t="shared" si="9"/>
        <v>0</v>
      </c>
      <c r="AA252" s="1">
        <f t="shared" si="10"/>
        <v>0</v>
      </c>
      <c r="AB252" s="1">
        <f t="shared" si="11"/>
        <v>0</v>
      </c>
    </row>
    <row r="253" spans="1:28" x14ac:dyDescent="0.3">
      <c r="A253" s="1" t="s">
        <v>37</v>
      </c>
      <c r="B253" s="1" t="s">
        <v>45</v>
      </c>
      <c r="C253">
        <v>1</v>
      </c>
      <c r="D253">
        <v>4</v>
      </c>
      <c r="E253">
        <v>1252</v>
      </c>
      <c r="F253">
        <v>5526</v>
      </c>
      <c r="G253">
        <v>1</v>
      </c>
      <c r="H253">
        <v>1998</v>
      </c>
      <c r="I253">
        <v>2017</v>
      </c>
      <c r="J253" s="1" t="s">
        <v>52</v>
      </c>
      <c r="K253">
        <v>1</v>
      </c>
      <c r="L253" s="1" t="s">
        <v>64</v>
      </c>
      <c r="M253" s="1" t="s">
        <v>27</v>
      </c>
      <c r="N253" s="1" t="s">
        <v>46</v>
      </c>
      <c r="O253">
        <v>8</v>
      </c>
      <c r="P253">
        <v>4</v>
      </c>
      <c r="Q253" s="1" t="s">
        <v>47</v>
      </c>
      <c r="R253">
        <v>2</v>
      </c>
      <c r="S253" s="1" t="s">
        <v>24</v>
      </c>
      <c r="T253">
        <v>10286000</v>
      </c>
      <c r="U253" t="s">
        <v>182</v>
      </c>
      <c r="V253" s="1" t="s">
        <v>168</v>
      </c>
      <c r="W253" s="1" t="s">
        <v>169</v>
      </c>
      <c r="X253" s="1" t="str">
        <f>VLOOKUP(V253,Broker_Directory!A:C,3,FALSE)</f>
        <v>Tier A</v>
      </c>
      <c r="Y253" s="1">
        <f>HLOOKUP(X253, Commission_Rates!A$1:C$2, 2, FALSE)</f>
        <v>0.02</v>
      </c>
      <c r="Z253" s="1">
        <f t="shared" si="9"/>
        <v>0</v>
      </c>
      <c r="AA253" s="1">
        <f t="shared" si="10"/>
        <v>0</v>
      </c>
      <c r="AB253" s="1">
        <f t="shared" si="11"/>
        <v>0</v>
      </c>
    </row>
    <row r="254" spans="1:28" x14ac:dyDescent="0.3">
      <c r="A254" s="1" t="s">
        <v>53</v>
      </c>
      <c r="B254" s="1" t="s">
        <v>105</v>
      </c>
      <c r="C254">
        <v>4</v>
      </c>
      <c r="D254">
        <v>3</v>
      </c>
      <c r="E254">
        <v>922</v>
      </c>
      <c r="F254">
        <v>3896</v>
      </c>
      <c r="G254">
        <v>2</v>
      </c>
      <c r="H254">
        <v>1990</v>
      </c>
      <c r="I254">
        <v>2011</v>
      </c>
      <c r="J254" s="1" t="s">
        <v>52</v>
      </c>
      <c r="K254">
        <v>2</v>
      </c>
      <c r="L254" s="1" t="s">
        <v>31</v>
      </c>
      <c r="M254" s="1" t="s">
        <v>24</v>
      </c>
      <c r="N254" s="1" t="s">
        <v>46</v>
      </c>
      <c r="O254">
        <v>3</v>
      </c>
      <c r="P254">
        <v>1</v>
      </c>
      <c r="Q254" s="1" t="s">
        <v>116</v>
      </c>
      <c r="R254">
        <v>2</v>
      </c>
      <c r="S254" s="1" t="s">
        <v>24</v>
      </c>
      <c r="T254">
        <v>8733000</v>
      </c>
      <c r="U254" t="s">
        <v>184</v>
      </c>
      <c r="V254" s="1" t="s">
        <v>168</v>
      </c>
      <c r="W254" s="1" t="s">
        <v>169</v>
      </c>
      <c r="X254" s="1" t="str">
        <f>VLOOKUP(V254,Broker_Directory!A:C,3,FALSE)</f>
        <v>Tier A</v>
      </c>
      <c r="Y254" s="1">
        <f>HLOOKUP(X254, Commission_Rates!A$1:C$2, 2, FALSE)</f>
        <v>0.02</v>
      </c>
      <c r="Z254" s="1">
        <f t="shared" si="9"/>
        <v>174660</v>
      </c>
      <c r="AA254" s="1">
        <f t="shared" si="10"/>
        <v>261990</v>
      </c>
      <c r="AB254" s="1">
        <f t="shared" si="11"/>
        <v>87330</v>
      </c>
    </row>
    <row r="255" spans="1:28" x14ac:dyDescent="0.3">
      <c r="A255" s="1" t="s">
        <v>28</v>
      </c>
      <c r="B255" s="1" t="s">
        <v>110</v>
      </c>
      <c r="C255">
        <v>2</v>
      </c>
      <c r="D255">
        <v>3</v>
      </c>
      <c r="E255">
        <v>1577</v>
      </c>
      <c r="F255">
        <v>3374</v>
      </c>
      <c r="G255">
        <v>1</v>
      </c>
      <c r="H255">
        <v>1960</v>
      </c>
      <c r="I255">
        <v>2022</v>
      </c>
      <c r="J255" s="1" t="s">
        <v>58</v>
      </c>
      <c r="K255">
        <v>0</v>
      </c>
      <c r="L255" s="1" t="s">
        <v>41</v>
      </c>
      <c r="M255" s="1" t="s">
        <v>27</v>
      </c>
      <c r="N255" s="1" t="s">
        <v>35</v>
      </c>
      <c r="O255">
        <v>5</v>
      </c>
      <c r="P255">
        <v>3</v>
      </c>
      <c r="Q255" s="1" t="s">
        <v>111</v>
      </c>
      <c r="R255">
        <v>3</v>
      </c>
      <c r="S255" s="1" t="s">
        <v>24</v>
      </c>
      <c r="T255">
        <v>16075000</v>
      </c>
      <c r="U255" t="s">
        <v>183</v>
      </c>
      <c r="V255" s="1" t="s">
        <v>174</v>
      </c>
      <c r="W255" s="1" t="s">
        <v>175</v>
      </c>
      <c r="X255" s="1" t="str">
        <f>VLOOKUP(V255,Broker_Directory!A:C,3,FALSE)</f>
        <v>Tier A</v>
      </c>
      <c r="Y255" s="1">
        <f>HLOOKUP(X255, Commission_Rates!A$1:C$2, 2, FALSE)</f>
        <v>0.02</v>
      </c>
      <c r="Z255" s="1">
        <f t="shared" si="9"/>
        <v>0</v>
      </c>
      <c r="AA255" s="1">
        <f t="shared" si="10"/>
        <v>0</v>
      </c>
      <c r="AB255" s="1">
        <f t="shared" si="11"/>
        <v>0</v>
      </c>
    </row>
    <row r="256" spans="1:28" x14ac:dyDescent="0.3">
      <c r="A256" s="1" t="s">
        <v>33</v>
      </c>
      <c r="B256" s="1" t="s">
        <v>34</v>
      </c>
      <c r="C256">
        <v>4</v>
      </c>
      <c r="D256">
        <v>2</v>
      </c>
      <c r="E256">
        <v>1350</v>
      </c>
      <c r="F256">
        <v>2287</v>
      </c>
      <c r="G256">
        <v>3</v>
      </c>
      <c r="H256">
        <v>2004</v>
      </c>
      <c r="I256">
        <v>2018</v>
      </c>
      <c r="J256" s="1" t="s">
        <v>58</v>
      </c>
      <c r="K256">
        <v>2</v>
      </c>
      <c r="L256" s="1" t="s">
        <v>41</v>
      </c>
      <c r="M256" s="1" t="s">
        <v>24</v>
      </c>
      <c r="N256" s="1" t="s">
        <v>46</v>
      </c>
      <c r="O256">
        <v>1</v>
      </c>
      <c r="P256">
        <v>5</v>
      </c>
      <c r="Q256" s="1" t="s">
        <v>85</v>
      </c>
      <c r="R256">
        <v>2</v>
      </c>
      <c r="S256" s="1" t="s">
        <v>24</v>
      </c>
      <c r="T256">
        <v>11900000</v>
      </c>
      <c r="U256" t="s">
        <v>184</v>
      </c>
      <c r="V256" s="1" t="s">
        <v>179</v>
      </c>
      <c r="W256" s="1" t="s">
        <v>180</v>
      </c>
      <c r="X256" s="1" t="str">
        <f>VLOOKUP(V256,Broker_Directory!A:C,3,FALSE)</f>
        <v>Tier B</v>
      </c>
      <c r="Y256" s="1">
        <f>HLOOKUP(X256, Commission_Rates!A$1:C$2, 2, FALSE)</f>
        <v>1.4999999999999999E-2</v>
      </c>
      <c r="Z256" s="1">
        <f t="shared" si="9"/>
        <v>178500</v>
      </c>
      <c r="AA256" s="1">
        <f t="shared" si="10"/>
        <v>357000</v>
      </c>
      <c r="AB256" s="1">
        <f t="shared" si="11"/>
        <v>178500</v>
      </c>
    </row>
    <row r="257" spans="1:28" x14ac:dyDescent="0.3">
      <c r="A257" s="1" t="s">
        <v>20</v>
      </c>
      <c r="B257" s="1" t="s">
        <v>40</v>
      </c>
      <c r="C257">
        <v>4</v>
      </c>
      <c r="D257">
        <v>1</v>
      </c>
      <c r="E257">
        <v>2965</v>
      </c>
      <c r="F257">
        <v>5977</v>
      </c>
      <c r="G257">
        <v>3</v>
      </c>
      <c r="H257">
        <v>1983</v>
      </c>
      <c r="I257">
        <v>1993</v>
      </c>
      <c r="J257" s="1" t="s">
        <v>30</v>
      </c>
      <c r="K257">
        <v>1</v>
      </c>
      <c r="L257" s="1" t="s">
        <v>64</v>
      </c>
      <c r="M257" s="1" t="s">
        <v>27</v>
      </c>
      <c r="N257" s="1" t="s">
        <v>35</v>
      </c>
      <c r="O257">
        <v>5</v>
      </c>
      <c r="P257">
        <v>2</v>
      </c>
      <c r="Q257" s="1" t="s">
        <v>143</v>
      </c>
      <c r="R257">
        <v>3</v>
      </c>
      <c r="S257" s="1" t="s">
        <v>27</v>
      </c>
      <c r="T257">
        <v>35915000</v>
      </c>
      <c r="U257" t="s">
        <v>184</v>
      </c>
      <c r="V257" s="1" t="s">
        <v>168</v>
      </c>
      <c r="W257" s="1" t="s">
        <v>169</v>
      </c>
      <c r="X257" s="1" t="str">
        <f>VLOOKUP(V257,Broker_Directory!A:C,3,FALSE)</f>
        <v>Tier A</v>
      </c>
      <c r="Y257" s="1">
        <f>HLOOKUP(X257, Commission_Rates!A$1:C$2, 2, FALSE)</f>
        <v>0.02</v>
      </c>
      <c r="Z257" s="1">
        <f t="shared" si="9"/>
        <v>718300</v>
      </c>
      <c r="AA257" s="1">
        <f t="shared" si="10"/>
        <v>1077450</v>
      </c>
      <c r="AB257" s="1">
        <f t="shared" si="11"/>
        <v>359150</v>
      </c>
    </row>
    <row r="258" spans="1:28" x14ac:dyDescent="0.3">
      <c r="A258" s="1" t="s">
        <v>28</v>
      </c>
      <c r="B258" s="1" t="s">
        <v>29</v>
      </c>
      <c r="C258">
        <v>3</v>
      </c>
      <c r="D258">
        <v>3</v>
      </c>
      <c r="E258">
        <v>3581</v>
      </c>
      <c r="F258">
        <v>5921</v>
      </c>
      <c r="G258">
        <v>2</v>
      </c>
      <c r="H258">
        <v>1973</v>
      </c>
      <c r="I258">
        <v>2008</v>
      </c>
      <c r="J258" s="1" t="s">
        <v>52</v>
      </c>
      <c r="K258">
        <v>1</v>
      </c>
      <c r="L258" s="1" t="s">
        <v>23</v>
      </c>
      <c r="M258" s="1" t="s">
        <v>27</v>
      </c>
      <c r="N258" s="1" t="s">
        <v>25</v>
      </c>
      <c r="O258">
        <v>8</v>
      </c>
      <c r="P258">
        <v>3</v>
      </c>
      <c r="Q258" s="1" t="s">
        <v>81</v>
      </c>
      <c r="R258">
        <v>1</v>
      </c>
      <c r="S258" s="1" t="s">
        <v>24</v>
      </c>
      <c r="T258">
        <v>36230000</v>
      </c>
      <c r="U258" t="s">
        <v>182</v>
      </c>
      <c r="V258" s="1" t="s">
        <v>176</v>
      </c>
      <c r="W258" s="1" t="s">
        <v>177</v>
      </c>
      <c r="X258" s="1" t="str">
        <f>VLOOKUP(V258,Broker_Directory!A:C,3,FALSE)</f>
        <v>Tier C</v>
      </c>
      <c r="Y258" s="1">
        <f>HLOOKUP(X258, Commission_Rates!A$1:C$2, 2, FALSE)</f>
        <v>0.01</v>
      </c>
      <c r="Z258" s="1">
        <f t="shared" ref="Z258:Z321" si="12">IF(U258="Sold",T258*Y258,0)</f>
        <v>0</v>
      </c>
      <c r="AA258" s="1">
        <f t="shared" ref="AA258:AA321" si="13">IF(U258="Sold", T258 * 0.03, 0)</f>
        <v>0</v>
      </c>
      <c r="AB258" s="1">
        <f t="shared" ref="AB258:AB321" si="14">AA258 - Z258</f>
        <v>0</v>
      </c>
    </row>
    <row r="259" spans="1:28" x14ac:dyDescent="0.3">
      <c r="A259" s="1" t="s">
        <v>28</v>
      </c>
      <c r="B259" s="1" t="s">
        <v>29</v>
      </c>
      <c r="C259">
        <v>1</v>
      </c>
      <c r="D259">
        <v>2</v>
      </c>
      <c r="E259">
        <v>3753</v>
      </c>
      <c r="F259">
        <v>7895</v>
      </c>
      <c r="G259">
        <v>1</v>
      </c>
      <c r="H259">
        <v>2016</v>
      </c>
      <c r="I259">
        <v>2023</v>
      </c>
      <c r="J259" s="1" t="s">
        <v>30</v>
      </c>
      <c r="K259">
        <v>3</v>
      </c>
      <c r="L259" s="1" t="s">
        <v>64</v>
      </c>
      <c r="M259" s="1" t="s">
        <v>27</v>
      </c>
      <c r="N259" s="1" t="s">
        <v>35</v>
      </c>
      <c r="O259">
        <v>9</v>
      </c>
      <c r="P259">
        <v>0</v>
      </c>
      <c r="Q259" s="1" t="s">
        <v>81</v>
      </c>
      <c r="R259">
        <v>0</v>
      </c>
      <c r="S259" s="1" t="s">
        <v>24</v>
      </c>
      <c r="T259">
        <v>37710000</v>
      </c>
      <c r="U259" t="s">
        <v>182</v>
      </c>
      <c r="V259" s="1" t="s">
        <v>176</v>
      </c>
      <c r="W259" s="1" t="s">
        <v>177</v>
      </c>
      <c r="X259" s="1" t="str">
        <f>VLOOKUP(V259,Broker_Directory!A:C,3,FALSE)</f>
        <v>Tier C</v>
      </c>
      <c r="Y259" s="1">
        <f>HLOOKUP(X259, Commission_Rates!A$1:C$2, 2, FALSE)</f>
        <v>0.01</v>
      </c>
      <c r="Z259" s="1">
        <f t="shared" si="12"/>
        <v>0</v>
      </c>
      <c r="AA259" s="1">
        <f t="shared" si="13"/>
        <v>0</v>
      </c>
      <c r="AB259" s="1">
        <f t="shared" si="14"/>
        <v>0</v>
      </c>
    </row>
    <row r="260" spans="1:28" x14ac:dyDescent="0.3">
      <c r="A260" s="1" t="s">
        <v>20</v>
      </c>
      <c r="B260" s="1" t="s">
        <v>40</v>
      </c>
      <c r="C260">
        <v>3</v>
      </c>
      <c r="D260">
        <v>4</v>
      </c>
      <c r="E260">
        <v>1088</v>
      </c>
      <c r="F260">
        <v>8508</v>
      </c>
      <c r="G260">
        <v>3</v>
      </c>
      <c r="H260">
        <v>1992</v>
      </c>
      <c r="I260">
        <v>2007</v>
      </c>
      <c r="J260" s="1" t="s">
        <v>30</v>
      </c>
      <c r="K260">
        <v>2</v>
      </c>
      <c r="L260" s="1" t="s">
        <v>64</v>
      </c>
      <c r="M260" s="1" t="s">
        <v>27</v>
      </c>
      <c r="N260" s="1" t="s">
        <v>25</v>
      </c>
      <c r="O260">
        <v>6</v>
      </c>
      <c r="P260">
        <v>0</v>
      </c>
      <c r="Q260" s="1" t="s">
        <v>42</v>
      </c>
      <c r="R260">
        <v>1</v>
      </c>
      <c r="S260" s="1" t="s">
        <v>24</v>
      </c>
      <c r="T260">
        <v>13526000</v>
      </c>
      <c r="U260" t="s">
        <v>183</v>
      </c>
      <c r="V260" s="1" t="s">
        <v>179</v>
      </c>
      <c r="W260" s="1" t="s">
        <v>180</v>
      </c>
      <c r="X260" s="1" t="str">
        <f>VLOOKUP(V260,Broker_Directory!A:C,3,FALSE)</f>
        <v>Tier B</v>
      </c>
      <c r="Y260" s="1">
        <f>HLOOKUP(X260, Commission_Rates!A$1:C$2, 2, FALSE)</f>
        <v>1.4999999999999999E-2</v>
      </c>
      <c r="Z260" s="1">
        <f t="shared" si="12"/>
        <v>0</v>
      </c>
      <c r="AA260" s="1">
        <f t="shared" si="13"/>
        <v>0</v>
      </c>
      <c r="AB260" s="1">
        <f t="shared" si="14"/>
        <v>0</v>
      </c>
    </row>
    <row r="261" spans="1:28" x14ac:dyDescent="0.3">
      <c r="A261" s="1" t="s">
        <v>53</v>
      </c>
      <c r="B261" s="1" t="s">
        <v>89</v>
      </c>
      <c r="C261">
        <v>3</v>
      </c>
      <c r="D261">
        <v>4</v>
      </c>
      <c r="E261">
        <v>3961</v>
      </c>
      <c r="F261">
        <v>4653</v>
      </c>
      <c r="G261">
        <v>2</v>
      </c>
      <c r="H261">
        <v>1986</v>
      </c>
      <c r="I261">
        <v>2014</v>
      </c>
      <c r="J261" s="1" t="s">
        <v>52</v>
      </c>
      <c r="K261">
        <v>1</v>
      </c>
      <c r="L261" s="1" t="s">
        <v>64</v>
      </c>
      <c r="M261" s="1" t="s">
        <v>27</v>
      </c>
      <c r="N261" s="1" t="s">
        <v>35</v>
      </c>
      <c r="O261">
        <v>9</v>
      </c>
      <c r="P261">
        <v>4</v>
      </c>
      <c r="Q261" s="1" t="s">
        <v>157</v>
      </c>
      <c r="R261">
        <v>0</v>
      </c>
      <c r="S261" s="1" t="s">
        <v>24</v>
      </c>
      <c r="T261">
        <v>36009000</v>
      </c>
      <c r="U261" t="s">
        <v>183</v>
      </c>
      <c r="V261" s="1" t="s">
        <v>171</v>
      </c>
      <c r="W261" s="1" t="s">
        <v>172</v>
      </c>
      <c r="X261" s="1" t="str">
        <f>VLOOKUP(V261,Broker_Directory!A:C,3,FALSE)</f>
        <v>Tier B</v>
      </c>
      <c r="Y261" s="1">
        <f>HLOOKUP(X261, Commission_Rates!A$1:C$2, 2, FALSE)</f>
        <v>1.4999999999999999E-2</v>
      </c>
      <c r="Z261" s="1">
        <f t="shared" si="12"/>
        <v>0</v>
      </c>
      <c r="AA261" s="1">
        <f t="shared" si="13"/>
        <v>0</v>
      </c>
      <c r="AB261" s="1">
        <f t="shared" si="14"/>
        <v>0</v>
      </c>
    </row>
    <row r="262" spans="1:28" x14ac:dyDescent="0.3">
      <c r="A262" s="1" t="s">
        <v>28</v>
      </c>
      <c r="B262" s="1" t="s">
        <v>79</v>
      </c>
      <c r="C262">
        <v>2</v>
      </c>
      <c r="D262">
        <v>3</v>
      </c>
      <c r="E262">
        <v>2895</v>
      </c>
      <c r="F262">
        <v>8294</v>
      </c>
      <c r="G262">
        <v>2</v>
      </c>
      <c r="H262">
        <v>1984</v>
      </c>
      <c r="I262">
        <v>2021</v>
      </c>
      <c r="J262" s="1" t="s">
        <v>22</v>
      </c>
      <c r="K262">
        <v>2</v>
      </c>
      <c r="L262" s="1" t="s">
        <v>41</v>
      </c>
      <c r="M262" s="1" t="s">
        <v>27</v>
      </c>
      <c r="N262" s="1" t="s">
        <v>35</v>
      </c>
      <c r="O262">
        <v>9</v>
      </c>
      <c r="P262">
        <v>4</v>
      </c>
      <c r="Q262" s="1" t="s">
        <v>109</v>
      </c>
      <c r="R262">
        <v>3</v>
      </c>
      <c r="S262" s="1" t="s">
        <v>24</v>
      </c>
      <c r="T262">
        <v>29275000</v>
      </c>
      <c r="U262" t="s">
        <v>184</v>
      </c>
      <c r="V262" s="1" t="s">
        <v>174</v>
      </c>
      <c r="W262" s="1" t="s">
        <v>175</v>
      </c>
      <c r="X262" s="1" t="str">
        <f>VLOOKUP(V262,Broker_Directory!A:C,3,FALSE)</f>
        <v>Tier A</v>
      </c>
      <c r="Y262" s="1">
        <f>HLOOKUP(X262, Commission_Rates!A$1:C$2, 2, FALSE)</f>
        <v>0.02</v>
      </c>
      <c r="Z262" s="1">
        <f t="shared" si="12"/>
        <v>585500</v>
      </c>
      <c r="AA262" s="1">
        <f t="shared" si="13"/>
        <v>878250</v>
      </c>
      <c r="AB262" s="1">
        <f t="shared" si="14"/>
        <v>292750</v>
      </c>
    </row>
    <row r="263" spans="1:28" x14ac:dyDescent="0.3">
      <c r="A263" s="1" t="s">
        <v>28</v>
      </c>
      <c r="B263" s="1" t="s">
        <v>60</v>
      </c>
      <c r="C263">
        <v>2</v>
      </c>
      <c r="D263">
        <v>2</v>
      </c>
      <c r="E263">
        <v>2361</v>
      </c>
      <c r="F263">
        <v>8504</v>
      </c>
      <c r="G263">
        <v>3</v>
      </c>
      <c r="H263">
        <v>1960</v>
      </c>
      <c r="I263">
        <v>1985</v>
      </c>
      <c r="J263" s="1" t="s">
        <v>52</v>
      </c>
      <c r="K263">
        <v>3</v>
      </c>
      <c r="L263" s="1" t="s">
        <v>23</v>
      </c>
      <c r="M263" s="1" t="s">
        <v>24</v>
      </c>
      <c r="N263" s="1" t="s">
        <v>25</v>
      </c>
      <c r="O263">
        <v>7</v>
      </c>
      <c r="P263">
        <v>4</v>
      </c>
      <c r="Q263" s="1" t="s">
        <v>118</v>
      </c>
      <c r="R263">
        <v>0</v>
      </c>
      <c r="S263" s="1" t="s">
        <v>27</v>
      </c>
      <c r="T263">
        <v>23930000</v>
      </c>
      <c r="U263" t="s">
        <v>183</v>
      </c>
      <c r="V263" s="1" t="s">
        <v>174</v>
      </c>
      <c r="W263" s="1" t="s">
        <v>175</v>
      </c>
      <c r="X263" s="1" t="str">
        <f>VLOOKUP(V263,Broker_Directory!A:C,3,FALSE)</f>
        <v>Tier A</v>
      </c>
      <c r="Y263" s="1">
        <f>HLOOKUP(X263, Commission_Rates!A$1:C$2, 2, FALSE)</f>
        <v>0.02</v>
      </c>
      <c r="Z263" s="1">
        <f t="shared" si="12"/>
        <v>0</v>
      </c>
      <c r="AA263" s="1">
        <f t="shared" si="13"/>
        <v>0</v>
      </c>
      <c r="AB263" s="1">
        <f t="shared" si="14"/>
        <v>0</v>
      </c>
    </row>
    <row r="264" spans="1:28" x14ac:dyDescent="0.3">
      <c r="A264" s="1" t="s">
        <v>33</v>
      </c>
      <c r="B264" s="1" t="s">
        <v>48</v>
      </c>
      <c r="C264">
        <v>1</v>
      </c>
      <c r="D264">
        <v>3</v>
      </c>
      <c r="E264">
        <v>1572</v>
      </c>
      <c r="F264">
        <v>3003</v>
      </c>
      <c r="G264">
        <v>3</v>
      </c>
      <c r="H264">
        <v>1999</v>
      </c>
      <c r="I264">
        <v>2007</v>
      </c>
      <c r="J264" s="1" t="s">
        <v>52</v>
      </c>
      <c r="K264">
        <v>1</v>
      </c>
      <c r="L264" s="1" t="s">
        <v>64</v>
      </c>
      <c r="M264" s="1" t="s">
        <v>27</v>
      </c>
      <c r="N264" s="1" t="s">
        <v>35</v>
      </c>
      <c r="O264">
        <v>2</v>
      </c>
      <c r="P264">
        <v>1</v>
      </c>
      <c r="Q264" s="1" t="s">
        <v>84</v>
      </c>
      <c r="R264">
        <v>0</v>
      </c>
      <c r="S264" s="1" t="s">
        <v>24</v>
      </c>
      <c r="T264">
        <v>13612000</v>
      </c>
      <c r="U264" t="s">
        <v>183</v>
      </c>
      <c r="V264" s="1" t="s">
        <v>171</v>
      </c>
      <c r="W264" s="1" t="s">
        <v>172</v>
      </c>
      <c r="X264" s="1" t="str">
        <f>VLOOKUP(V264,Broker_Directory!A:C,3,FALSE)</f>
        <v>Tier B</v>
      </c>
      <c r="Y264" s="1">
        <f>HLOOKUP(X264, Commission_Rates!A$1:C$2, 2, FALSE)</f>
        <v>1.4999999999999999E-2</v>
      </c>
      <c r="Z264" s="1">
        <f t="shared" si="12"/>
        <v>0</v>
      </c>
      <c r="AA264" s="1">
        <f t="shared" si="13"/>
        <v>0</v>
      </c>
      <c r="AB264" s="1">
        <f t="shared" si="14"/>
        <v>0</v>
      </c>
    </row>
    <row r="265" spans="1:28" x14ac:dyDescent="0.3">
      <c r="A265" s="1" t="s">
        <v>53</v>
      </c>
      <c r="B265" s="1" t="s">
        <v>89</v>
      </c>
      <c r="C265">
        <v>4</v>
      </c>
      <c r="D265">
        <v>4</v>
      </c>
      <c r="E265">
        <v>4728</v>
      </c>
      <c r="F265">
        <v>7009</v>
      </c>
      <c r="G265">
        <v>3</v>
      </c>
      <c r="H265">
        <v>2006</v>
      </c>
      <c r="I265">
        <v>2009</v>
      </c>
      <c r="J265" s="1" t="s">
        <v>52</v>
      </c>
      <c r="K265">
        <v>3</v>
      </c>
      <c r="L265" s="1" t="s">
        <v>41</v>
      </c>
      <c r="M265" s="1" t="s">
        <v>27</v>
      </c>
      <c r="N265" s="1" t="s">
        <v>46</v>
      </c>
      <c r="O265">
        <v>7</v>
      </c>
      <c r="P265">
        <v>4</v>
      </c>
      <c r="Q265" s="1" t="s">
        <v>154</v>
      </c>
      <c r="R265">
        <v>0</v>
      </c>
      <c r="S265" s="1" t="s">
        <v>27</v>
      </c>
      <c r="T265">
        <v>42932000</v>
      </c>
      <c r="U265" t="s">
        <v>182</v>
      </c>
      <c r="V265" s="1" t="s">
        <v>176</v>
      </c>
      <c r="W265" s="1" t="s">
        <v>177</v>
      </c>
      <c r="X265" s="1" t="str">
        <f>VLOOKUP(V265,Broker_Directory!A:C,3,FALSE)</f>
        <v>Tier C</v>
      </c>
      <c r="Y265" s="1">
        <f>HLOOKUP(X265, Commission_Rates!A$1:C$2, 2, FALSE)</f>
        <v>0.01</v>
      </c>
      <c r="Z265" s="1">
        <f t="shared" si="12"/>
        <v>0</v>
      </c>
      <c r="AA265" s="1">
        <f t="shared" si="13"/>
        <v>0</v>
      </c>
      <c r="AB265" s="1">
        <f t="shared" si="14"/>
        <v>0</v>
      </c>
    </row>
    <row r="266" spans="1:28" x14ac:dyDescent="0.3">
      <c r="A266" s="1" t="s">
        <v>53</v>
      </c>
      <c r="B266" s="1" t="s">
        <v>89</v>
      </c>
      <c r="C266">
        <v>4</v>
      </c>
      <c r="D266">
        <v>3</v>
      </c>
      <c r="E266">
        <v>1575</v>
      </c>
      <c r="F266">
        <v>6598</v>
      </c>
      <c r="G266">
        <v>1</v>
      </c>
      <c r="H266">
        <v>1950</v>
      </c>
      <c r="I266">
        <v>2015</v>
      </c>
      <c r="J266" s="1" t="s">
        <v>52</v>
      </c>
      <c r="K266">
        <v>2</v>
      </c>
      <c r="L266" s="1" t="s">
        <v>64</v>
      </c>
      <c r="M266" s="1" t="s">
        <v>27</v>
      </c>
      <c r="N266" s="1" t="s">
        <v>35</v>
      </c>
      <c r="O266">
        <v>0</v>
      </c>
      <c r="P266">
        <v>5</v>
      </c>
      <c r="Q266" s="1" t="s">
        <v>157</v>
      </c>
      <c r="R266">
        <v>3</v>
      </c>
      <c r="S266" s="1" t="s">
        <v>27</v>
      </c>
      <c r="T266">
        <v>14530000</v>
      </c>
      <c r="U266" t="s">
        <v>182</v>
      </c>
      <c r="V266" s="1" t="s">
        <v>179</v>
      </c>
      <c r="W266" s="1" t="s">
        <v>180</v>
      </c>
      <c r="X266" s="1" t="str">
        <f>VLOOKUP(V266,Broker_Directory!A:C,3,FALSE)</f>
        <v>Tier B</v>
      </c>
      <c r="Y266" s="1">
        <f>HLOOKUP(X266, Commission_Rates!A$1:C$2, 2, FALSE)</f>
        <v>1.4999999999999999E-2</v>
      </c>
      <c r="Z266" s="1">
        <f t="shared" si="12"/>
        <v>0</v>
      </c>
      <c r="AA266" s="1">
        <f t="shared" si="13"/>
        <v>0</v>
      </c>
      <c r="AB266" s="1">
        <f t="shared" si="14"/>
        <v>0</v>
      </c>
    </row>
    <row r="267" spans="1:28" x14ac:dyDescent="0.3">
      <c r="A267" s="1" t="s">
        <v>20</v>
      </c>
      <c r="B267" s="1" t="s">
        <v>50</v>
      </c>
      <c r="C267">
        <v>3</v>
      </c>
      <c r="D267">
        <v>2</v>
      </c>
      <c r="E267">
        <v>359</v>
      </c>
      <c r="F267">
        <v>9390</v>
      </c>
      <c r="G267">
        <v>2</v>
      </c>
      <c r="H267">
        <v>1974</v>
      </c>
      <c r="I267">
        <v>1999</v>
      </c>
      <c r="J267" s="1" t="s">
        <v>22</v>
      </c>
      <c r="K267">
        <v>3</v>
      </c>
      <c r="L267" s="1" t="s">
        <v>31</v>
      </c>
      <c r="M267" s="1" t="s">
        <v>24</v>
      </c>
      <c r="N267" s="1" t="s">
        <v>35</v>
      </c>
      <c r="O267">
        <v>10</v>
      </c>
      <c r="P267">
        <v>3</v>
      </c>
      <c r="Q267" s="1" t="s">
        <v>128</v>
      </c>
      <c r="R267">
        <v>1</v>
      </c>
      <c r="S267" s="1" t="s">
        <v>27</v>
      </c>
      <c r="T267">
        <v>4598000</v>
      </c>
      <c r="U267" t="s">
        <v>183</v>
      </c>
      <c r="V267" s="1" t="s">
        <v>174</v>
      </c>
      <c r="W267" s="1" t="s">
        <v>175</v>
      </c>
      <c r="X267" s="1" t="str">
        <f>VLOOKUP(V267,Broker_Directory!A:C,3,FALSE)</f>
        <v>Tier A</v>
      </c>
      <c r="Y267" s="1">
        <f>HLOOKUP(X267, Commission_Rates!A$1:C$2, 2, FALSE)</f>
        <v>0.02</v>
      </c>
      <c r="Z267" s="1">
        <f t="shared" si="12"/>
        <v>0</v>
      </c>
      <c r="AA267" s="1">
        <f t="shared" si="13"/>
        <v>0</v>
      </c>
      <c r="AB267" s="1">
        <f t="shared" si="14"/>
        <v>0</v>
      </c>
    </row>
    <row r="268" spans="1:28" x14ac:dyDescent="0.3">
      <c r="A268" s="1" t="s">
        <v>20</v>
      </c>
      <c r="B268" s="1" t="s">
        <v>50</v>
      </c>
      <c r="C268">
        <v>2</v>
      </c>
      <c r="D268">
        <v>3</v>
      </c>
      <c r="E268">
        <v>2632</v>
      </c>
      <c r="F268">
        <v>7994</v>
      </c>
      <c r="G268">
        <v>3</v>
      </c>
      <c r="H268">
        <v>2018</v>
      </c>
      <c r="I268">
        <v>2021</v>
      </c>
      <c r="J268" s="1" t="s">
        <v>22</v>
      </c>
      <c r="K268">
        <v>1</v>
      </c>
      <c r="L268" s="1" t="s">
        <v>23</v>
      </c>
      <c r="M268" s="1" t="s">
        <v>24</v>
      </c>
      <c r="N268" s="1" t="s">
        <v>25</v>
      </c>
      <c r="O268">
        <v>4</v>
      </c>
      <c r="P268">
        <v>0</v>
      </c>
      <c r="Q268" s="1" t="s">
        <v>128</v>
      </c>
      <c r="R268">
        <v>3</v>
      </c>
      <c r="S268" s="1" t="s">
        <v>27</v>
      </c>
      <c r="T268">
        <v>31979000</v>
      </c>
      <c r="U268" t="s">
        <v>183</v>
      </c>
      <c r="V268" s="1" t="s">
        <v>179</v>
      </c>
      <c r="W268" s="1" t="s">
        <v>180</v>
      </c>
      <c r="X268" s="1" t="str">
        <f>VLOOKUP(V268,Broker_Directory!A:C,3,FALSE)</f>
        <v>Tier B</v>
      </c>
      <c r="Y268" s="1">
        <f>HLOOKUP(X268, Commission_Rates!A$1:C$2, 2, FALSE)</f>
        <v>1.4999999999999999E-2</v>
      </c>
      <c r="Z268" s="1">
        <f t="shared" si="12"/>
        <v>0</v>
      </c>
      <c r="AA268" s="1">
        <f t="shared" si="13"/>
        <v>0</v>
      </c>
      <c r="AB268" s="1">
        <f t="shared" si="14"/>
        <v>0</v>
      </c>
    </row>
    <row r="269" spans="1:28" x14ac:dyDescent="0.3">
      <c r="A269" s="1" t="s">
        <v>33</v>
      </c>
      <c r="B269" s="1" t="s">
        <v>98</v>
      </c>
      <c r="C269">
        <v>2</v>
      </c>
      <c r="D269">
        <v>3</v>
      </c>
      <c r="E269">
        <v>458</v>
      </c>
      <c r="F269">
        <v>3000</v>
      </c>
      <c r="G269">
        <v>1</v>
      </c>
      <c r="H269">
        <v>2018</v>
      </c>
      <c r="I269">
        <v>0</v>
      </c>
      <c r="J269" s="1" t="s">
        <v>52</v>
      </c>
      <c r="K269">
        <v>0</v>
      </c>
      <c r="L269" s="1" t="s">
        <v>64</v>
      </c>
      <c r="M269" s="1" t="s">
        <v>27</v>
      </c>
      <c r="N269" s="1" t="s">
        <v>25</v>
      </c>
      <c r="O269">
        <v>7</v>
      </c>
      <c r="P269">
        <v>5</v>
      </c>
      <c r="Q269" s="1" t="s">
        <v>145</v>
      </c>
      <c r="R269">
        <v>1</v>
      </c>
      <c r="S269" s="1" t="s">
        <v>24</v>
      </c>
      <c r="T269">
        <v>4243000</v>
      </c>
      <c r="U269" t="s">
        <v>183</v>
      </c>
      <c r="V269" s="1" t="s">
        <v>171</v>
      </c>
      <c r="W269" s="1" t="s">
        <v>172</v>
      </c>
      <c r="X269" s="1" t="str">
        <f>VLOOKUP(V269,Broker_Directory!A:C,3,FALSE)</f>
        <v>Tier B</v>
      </c>
      <c r="Y269" s="1">
        <f>HLOOKUP(X269, Commission_Rates!A$1:C$2, 2, FALSE)</f>
        <v>1.4999999999999999E-2</v>
      </c>
      <c r="Z269" s="1">
        <f t="shared" si="12"/>
        <v>0</v>
      </c>
      <c r="AA269" s="1">
        <f t="shared" si="13"/>
        <v>0</v>
      </c>
      <c r="AB269" s="1">
        <f t="shared" si="14"/>
        <v>0</v>
      </c>
    </row>
    <row r="270" spans="1:28" x14ac:dyDescent="0.3">
      <c r="A270" s="1" t="s">
        <v>28</v>
      </c>
      <c r="B270" s="1" t="s">
        <v>60</v>
      </c>
      <c r="C270">
        <v>4</v>
      </c>
      <c r="D270">
        <v>2</v>
      </c>
      <c r="E270">
        <v>3100</v>
      </c>
      <c r="F270">
        <v>6592</v>
      </c>
      <c r="G270">
        <v>2</v>
      </c>
      <c r="H270">
        <v>2013</v>
      </c>
      <c r="I270">
        <v>2017</v>
      </c>
      <c r="J270" s="1" t="s">
        <v>22</v>
      </c>
      <c r="K270">
        <v>0</v>
      </c>
      <c r="L270" s="1" t="s">
        <v>64</v>
      </c>
      <c r="M270" s="1" t="s">
        <v>24</v>
      </c>
      <c r="N270" s="1" t="s">
        <v>25</v>
      </c>
      <c r="O270">
        <v>0</v>
      </c>
      <c r="P270">
        <v>2</v>
      </c>
      <c r="Q270" s="1" t="s">
        <v>136</v>
      </c>
      <c r="R270">
        <v>0</v>
      </c>
      <c r="S270" s="1" t="s">
        <v>27</v>
      </c>
      <c r="T270">
        <v>31400000</v>
      </c>
      <c r="U270" t="s">
        <v>183</v>
      </c>
      <c r="V270" s="1" t="s">
        <v>168</v>
      </c>
      <c r="W270" s="1" t="s">
        <v>169</v>
      </c>
      <c r="X270" s="1" t="str">
        <f>VLOOKUP(V270,Broker_Directory!A:C,3,FALSE)</f>
        <v>Tier A</v>
      </c>
      <c r="Y270" s="1">
        <f>HLOOKUP(X270, Commission_Rates!A$1:C$2, 2, FALSE)</f>
        <v>0.02</v>
      </c>
      <c r="Z270" s="1">
        <f t="shared" si="12"/>
        <v>0</v>
      </c>
      <c r="AA270" s="1">
        <f t="shared" si="13"/>
        <v>0</v>
      </c>
      <c r="AB270" s="1">
        <f t="shared" si="14"/>
        <v>0</v>
      </c>
    </row>
    <row r="271" spans="1:28" x14ac:dyDescent="0.3">
      <c r="A271" s="1" t="s">
        <v>28</v>
      </c>
      <c r="B271" s="1" t="s">
        <v>110</v>
      </c>
      <c r="C271">
        <v>3</v>
      </c>
      <c r="D271">
        <v>4</v>
      </c>
      <c r="E271">
        <v>403</v>
      </c>
      <c r="F271">
        <v>2451</v>
      </c>
      <c r="G271">
        <v>3</v>
      </c>
      <c r="H271">
        <v>1981</v>
      </c>
      <c r="I271">
        <v>2004</v>
      </c>
      <c r="J271" s="1" t="s">
        <v>22</v>
      </c>
      <c r="K271">
        <v>1</v>
      </c>
      <c r="L271" s="1" t="s">
        <v>23</v>
      </c>
      <c r="M271" s="1" t="s">
        <v>24</v>
      </c>
      <c r="N271" s="1" t="s">
        <v>46</v>
      </c>
      <c r="O271">
        <v>1</v>
      </c>
      <c r="P271">
        <v>4</v>
      </c>
      <c r="Q271" s="1" t="s">
        <v>117</v>
      </c>
      <c r="R271">
        <v>3</v>
      </c>
      <c r="S271" s="1" t="s">
        <v>27</v>
      </c>
      <c r="T271">
        <v>4430000</v>
      </c>
      <c r="U271" t="s">
        <v>183</v>
      </c>
      <c r="V271" s="1" t="s">
        <v>176</v>
      </c>
      <c r="W271" s="1" t="s">
        <v>177</v>
      </c>
      <c r="X271" s="1" t="str">
        <f>VLOOKUP(V271,Broker_Directory!A:C,3,FALSE)</f>
        <v>Tier C</v>
      </c>
      <c r="Y271" s="1">
        <f>HLOOKUP(X271, Commission_Rates!A$1:C$2, 2, FALSE)</f>
        <v>0.01</v>
      </c>
      <c r="Z271" s="1">
        <f t="shared" si="12"/>
        <v>0</v>
      </c>
      <c r="AA271" s="1">
        <f t="shared" si="13"/>
        <v>0</v>
      </c>
      <c r="AB271" s="1">
        <f t="shared" si="14"/>
        <v>0</v>
      </c>
    </row>
    <row r="272" spans="1:28" x14ac:dyDescent="0.3">
      <c r="A272" s="1" t="s">
        <v>53</v>
      </c>
      <c r="B272" s="1" t="s">
        <v>89</v>
      </c>
      <c r="C272">
        <v>2</v>
      </c>
      <c r="D272">
        <v>1</v>
      </c>
      <c r="E272">
        <v>4802</v>
      </c>
      <c r="F272">
        <v>9119</v>
      </c>
      <c r="G272">
        <v>1</v>
      </c>
      <c r="H272">
        <v>1982</v>
      </c>
      <c r="I272">
        <v>2011</v>
      </c>
      <c r="J272" s="1" t="s">
        <v>30</v>
      </c>
      <c r="K272">
        <v>1</v>
      </c>
      <c r="L272" s="1" t="s">
        <v>64</v>
      </c>
      <c r="M272" s="1" t="s">
        <v>24</v>
      </c>
      <c r="N272" s="1" t="s">
        <v>35</v>
      </c>
      <c r="O272">
        <v>3</v>
      </c>
      <c r="P272">
        <v>0</v>
      </c>
      <c r="Q272" s="1" t="s">
        <v>154</v>
      </c>
      <c r="R272">
        <v>3</v>
      </c>
      <c r="S272" s="1" t="s">
        <v>27</v>
      </c>
      <c r="T272">
        <v>43438000</v>
      </c>
      <c r="U272" t="s">
        <v>183</v>
      </c>
      <c r="V272" s="1" t="s">
        <v>174</v>
      </c>
      <c r="W272" s="1" t="s">
        <v>175</v>
      </c>
      <c r="X272" s="1" t="str">
        <f>VLOOKUP(V272,Broker_Directory!A:C,3,FALSE)</f>
        <v>Tier A</v>
      </c>
      <c r="Y272" s="1">
        <f>HLOOKUP(X272, Commission_Rates!A$1:C$2, 2, FALSE)</f>
        <v>0.02</v>
      </c>
      <c r="Z272" s="1">
        <f t="shared" si="12"/>
        <v>0</v>
      </c>
      <c r="AA272" s="1">
        <f t="shared" si="13"/>
        <v>0</v>
      </c>
      <c r="AB272" s="1">
        <f t="shared" si="14"/>
        <v>0</v>
      </c>
    </row>
    <row r="273" spans="1:28" x14ac:dyDescent="0.3">
      <c r="A273" s="1" t="s">
        <v>20</v>
      </c>
      <c r="B273" s="1" t="s">
        <v>40</v>
      </c>
      <c r="C273">
        <v>3</v>
      </c>
      <c r="D273">
        <v>1</v>
      </c>
      <c r="E273">
        <v>3542</v>
      </c>
      <c r="F273">
        <v>5583</v>
      </c>
      <c r="G273">
        <v>1</v>
      </c>
      <c r="H273">
        <v>1955</v>
      </c>
      <c r="I273">
        <v>2014</v>
      </c>
      <c r="J273" s="1" t="s">
        <v>52</v>
      </c>
      <c r="K273">
        <v>2</v>
      </c>
      <c r="L273" s="1" t="s">
        <v>23</v>
      </c>
      <c r="M273" s="1" t="s">
        <v>24</v>
      </c>
      <c r="N273" s="1" t="s">
        <v>25</v>
      </c>
      <c r="O273">
        <v>7</v>
      </c>
      <c r="P273">
        <v>0</v>
      </c>
      <c r="Q273" s="1" t="s">
        <v>42</v>
      </c>
      <c r="R273">
        <v>0</v>
      </c>
      <c r="S273" s="1" t="s">
        <v>24</v>
      </c>
      <c r="T273">
        <v>42854000</v>
      </c>
      <c r="U273" t="s">
        <v>183</v>
      </c>
      <c r="V273" s="1" t="s">
        <v>176</v>
      </c>
      <c r="W273" s="1" t="s">
        <v>177</v>
      </c>
      <c r="X273" s="1" t="str">
        <f>VLOOKUP(V273,Broker_Directory!A:C,3,FALSE)</f>
        <v>Tier C</v>
      </c>
      <c r="Y273" s="1">
        <f>HLOOKUP(X273, Commission_Rates!A$1:C$2, 2, FALSE)</f>
        <v>0.01</v>
      </c>
      <c r="Z273" s="1">
        <f t="shared" si="12"/>
        <v>0</v>
      </c>
      <c r="AA273" s="1">
        <f t="shared" si="13"/>
        <v>0</v>
      </c>
      <c r="AB273" s="1">
        <f t="shared" si="14"/>
        <v>0</v>
      </c>
    </row>
    <row r="274" spans="1:28" x14ac:dyDescent="0.3">
      <c r="A274" s="1" t="s">
        <v>53</v>
      </c>
      <c r="B274" s="1" t="s">
        <v>66</v>
      </c>
      <c r="C274">
        <v>5</v>
      </c>
      <c r="D274">
        <v>1</v>
      </c>
      <c r="E274">
        <v>1330</v>
      </c>
      <c r="F274">
        <v>9372</v>
      </c>
      <c r="G274">
        <v>1</v>
      </c>
      <c r="H274">
        <v>1990</v>
      </c>
      <c r="I274">
        <v>2024</v>
      </c>
      <c r="J274" s="1" t="s">
        <v>30</v>
      </c>
      <c r="K274">
        <v>3</v>
      </c>
      <c r="L274" s="1" t="s">
        <v>31</v>
      </c>
      <c r="M274" s="1" t="s">
        <v>24</v>
      </c>
      <c r="N274" s="1" t="s">
        <v>35</v>
      </c>
      <c r="O274">
        <v>6</v>
      </c>
      <c r="P274">
        <v>2</v>
      </c>
      <c r="Q274" s="1" t="s">
        <v>67</v>
      </c>
      <c r="R274">
        <v>2</v>
      </c>
      <c r="S274" s="1" t="s">
        <v>24</v>
      </c>
      <c r="T274">
        <v>12375000</v>
      </c>
      <c r="U274" t="s">
        <v>182</v>
      </c>
      <c r="V274" s="1" t="s">
        <v>176</v>
      </c>
      <c r="W274" s="1" t="s">
        <v>177</v>
      </c>
      <c r="X274" s="1" t="str">
        <f>VLOOKUP(V274,Broker_Directory!A:C,3,FALSE)</f>
        <v>Tier C</v>
      </c>
      <c r="Y274" s="1">
        <f>HLOOKUP(X274, Commission_Rates!A$1:C$2, 2, FALSE)</f>
        <v>0.01</v>
      </c>
      <c r="Z274" s="1">
        <f t="shared" si="12"/>
        <v>0</v>
      </c>
      <c r="AA274" s="1">
        <f t="shared" si="13"/>
        <v>0</v>
      </c>
      <c r="AB274" s="1">
        <f t="shared" si="14"/>
        <v>0</v>
      </c>
    </row>
    <row r="275" spans="1:28" x14ac:dyDescent="0.3">
      <c r="A275" s="1" t="s">
        <v>37</v>
      </c>
      <c r="B275" s="1" t="s">
        <v>72</v>
      </c>
      <c r="C275">
        <v>5</v>
      </c>
      <c r="D275">
        <v>3</v>
      </c>
      <c r="E275">
        <v>4746</v>
      </c>
      <c r="F275">
        <v>8810</v>
      </c>
      <c r="G275">
        <v>1</v>
      </c>
      <c r="H275">
        <v>2022</v>
      </c>
      <c r="I275">
        <v>2022</v>
      </c>
      <c r="J275" s="1" t="s">
        <v>30</v>
      </c>
      <c r="K275">
        <v>2</v>
      </c>
      <c r="L275" s="1" t="s">
        <v>41</v>
      </c>
      <c r="M275" s="1" t="s">
        <v>27</v>
      </c>
      <c r="N275" s="1" t="s">
        <v>35</v>
      </c>
      <c r="O275">
        <v>8</v>
      </c>
      <c r="P275">
        <v>1</v>
      </c>
      <c r="Q275" s="1" t="s">
        <v>107</v>
      </c>
      <c r="R275">
        <v>1</v>
      </c>
      <c r="S275" s="1" t="s">
        <v>27</v>
      </c>
      <c r="T275">
        <v>38343000</v>
      </c>
      <c r="U275" t="s">
        <v>183</v>
      </c>
      <c r="V275" s="1" t="s">
        <v>174</v>
      </c>
      <c r="W275" s="1" t="s">
        <v>175</v>
      </c>
      <c r="X275" s="1" t="str">
        <f>VLOOKUP(V275,Broker_Directory!A:C,3,FALSE)</f>
        <v>Tier A</v>
      </c>
      <c r="Y275" s="1">
        <f>HLOOKUP(X275, Commission_Rates!A$1:C$2, 2, FALSE)</f>
        <v>0.02</v>
      </c>
      <c r="Z275" s="1">
        <f t="shared" si="12"/>
        <v>0</v>
      </c>
      <c r="AA275" s="1">
        <f t="shared" si="13"/>
        <v>0</v>
      </c>
      <c r="AB275" s="1">
        <f t="shared" si="14"/>
        <v>0</v>
      </c>
    </row>
    <row r="276" spans="1:28" x14ac:dyDescent="0.3">
      <c r="A276" s="1" t="s">
        <v>53</v>
      </c>
      <c r="B276" s="1" t="s">
        <v>89</v>
      </c>
      <c r="C276">
        <v>5</v>
      </c>
      <c r="D276">
        <v>3</v>
      </c>
      <c r="E276">
        <v>4019</v>
      </c>
      <c r="F276">
        <v>4074</v>
      </c>
      <c r="G276">
        <v>3</v>
      </c>
      <c r="H276">
        <v>2014</v>
      </c>
      <c r="I276">
        <v>2019</v>
      </c>
      <c r="J276" s="1" t="s">
        <v>52</v>
      </c>
      <c r="K276">
        <v>0</v>
      </c>
      <c r="L276" s="1" t="s">
        <v>64</v>
      </c>
      <c r="M276" s="1" t="s">
        <v>24</v>
      </c>
      <c r="N276" s="1" t="s">
        <v>46</v>
      </c>
      <c r="O276">
        <v>1</v>
      </c>
      <c r="P276">
        <v>5</v>
      </c>
      <c r="Q276" s="1" t="s">
        <v>157</v>
      </c>
      <c r="R276">
        <v>1</v>
      </c>
      <c r="S276" s="1" t="s">
        <v>27</v>
      </c>
      <c r="T276">
        <v>36611000</v>
      </c>
      <c r="U276" t="s">
        <v>184</v>
      </c>
      <c r="V276" s="1" t="s">
        <v>171</v>
      </c>
      <c r="W276" s="1" t="s">
        <v>172</v>
      </c>
      <c r="X276" s="1" t="str">
        <f>VLOOKUP(V276,Broker_Directory!A:C,3,FALSE)</f>
        <v>Tier B</v>
      </c>
      <c r="Y276" s="1">
        <f>HLOOKUP(X276, Commission_Rates!A$1:C$2, 2, FALSE)</f>
        <v>1.4999999999999999E-2</v>
      </c>
      <c r="Z276" s="1">
        <f t="shared" si="12"/>
        <v>549165</v>
      </c>
      <c r="AA276" s="1">
        <f t="shared" si="13"/>
        <v>1098330</v>
      </c>
      <c r="AB276" s="1">
        <f t="shared" si="14"/>
        <v>549165</v>
      </c>
    </row>
    <row r="277" spans="1:28" x14ac:dyDescent="0.3">
      <c r="A277" s="1" t="s">
        <v>33</v>
      </c>
      <c r="B277" s="1" t="s">
        <v>75</v>
      </c>
      <c r="C277">
        <v>5</v>
      </c>
      <c r="D277">
        <v>3</v>
      </c>
      <c r="E277">
        <v>2942</v>
      </c>
      <c r="F277">
        <v>6349</v>
      </c>
      <c r="G277">
        <v>3</v>
      </c>
      <c r="H277">
        <v>1991</v>
      </c>
      <c r="I277">
        <v>1997</v>
      </c>
      <c r="J277" s="1" t="s">
        <v>58</v>
      </c>
      <c r="K277">
        <v>0</v>
      </c>
      <c r="L277" s="1" t="s">
        <v>23</v>
      </c>
      <c r="M277" s="1" t="s">
        <v>24</v>
      </c>
      <c r="N277" s="1" t="s">
        <v>25</v>
      </c>
      <c r="O277">
        <v>0</v>
      </c>
      <c r="P277">
        <v>1</v>
      </c>
      <c r="Q277" s="1" t="s">
        <v>76</v>
      </c>
      <c r="R277">
        <v>3</v>
      </c>
      <c r="S277" s="1" t="s">
        <v>24</v>
      </c>
      <c r="T277">
        <v>25602000</v>
      </c>
      <c r="U277" t="s">
        <v>184</v>
      </c>
      <c r="V277" s="1" t="s">
        <v>171</v>
      </c>
      <c r="W277" s="1" t="s">
        <v>172</v>
      </c>
      <c r="X277" s="1" t="str">
        <f>VLOOKUP(V277,Broker_Directory!A:C,3,FALSE)</f>
        <v>Tier B</v>
      </c>
      <c r="Y277" s="1">
        <f>HLOOKUP(X277, Commission_Rates!A$1:C$2, 2, FALSE)</f>
        <v>1.4999999999999999E-2</v>
      </c>
      <c r="Z277" s="1">
        <f t="shared" si="12"/>
        <v>384030</v>
      </c>
      <c r="AA277" s="1">
        <f t="shared" si="13"/>
        <v>768060</v>
      </c>
      <c r="AB277" s="1">
        <f t="shared" si="14"/>
        <v>384030</v>
      </c>
    </row>
    <row r="278" spans="1:28" x14ac:dyDescent="0.3">
      <c r="A278" s="1" t="s">
        <v>20</v>
      </c>
      <c r="B278" s="1" t="s">
        <v>21</v>
      </c>
      <c r="C278">
        <v>5</v>
      </c>
      <c r="D278">
        <v>4</v>
      </c>
      <c r="E278">
        <v>4313</v>
      </c>
      <c r="F278">
        <v>8670</v>
      </c>
      <c r="G278">
        <v>3</v>
      </c>
      <c r="H278">
        <v>2025</v>
      </c>
      <c r="I278">
        <v>2025</v>
      </c>
      <c r="J278" s="1" t="s">
        <v>58</v>
      </c>
      <c r="K278">
        <v>2</v>
      </c>
      <c r="L278" s="1" t="s">
        <v>31</v>
      </c>
      <c r="M278" s="1" t="s">
        <v>24</v>
      </c>
      <c r="N278" s="1" t="s">
        <v>25</v>
      </c>
      <c r="O278">
        <v>3</v>
      </c>
      <c r="P278">
        <v>5</v>
      </c>
      <c r="Q278" s="1" t="s">
        <v>102</v>
      </c>
      <c r="R278">
        <v>0</v>
      </c>
      <c r="S278" s="1" t="s">
        <v>27</v>
      </c>
      <c r="T278">
        <v>52286000</v>
      </c>
      <c r="U278" t="s">
        <v>184</v>
      </c>
      <c r="V278" s="1" t="s">
        <v>179</v>
      </c>
      <c r="W278" s="1" t="s">
        <v>180</v>
      </c>
      <c r="X278" s="1" t="str">
        <f>VLOOKUP(V278,Broker_Directory!A:C,3,FALSE)</f>
        <v>Tier B</v>
      </c>
      <c r="Y278" s="1">
        <f>HLOOKUP(X278, Commission_Rates!A$1:C$2, 2, FALSE)</f>
        <v>1.4999999999999999E-2</v>
      </c>
      <c r="Z278" s="1">
        <f t="shared" si="12"/>
        <v>784290</v>
      </c>
      <c r="AA278" s="1">
        <f t="shared" si="13"/>
        <v>1568580</v>
      </c>
      <c r="AB278" s="1">
        <f t="shared" si="14"/>
        <v>784290</v>
      </c>
    </row>
    <row r="279" spans="1:28" x14ac:dyDescent="0.3">
      <c r="A279" s="1" t="s">
        <v>20</v>
      </c>
      <c r="B279" s="1" t="s">
        <v>69</v>
      </c>
      <c r="C279">
        <v>5</v>
      </c>
      <c r="D279">
        <v>4</v>
      </c>
      <c r="E279">
        <v>3323</v>
      </c>
      <c r="F279">
        <v>9879</v>
      </c>
      <c r="G279">
        <v>3</v>
      </c>
      <c r="H279">
        <v>1957</v>
      </c>
      <c r="I279">
        <v>1990</v>
      </c>
      <c r="J279" s="1" t="s">
        <v>58</v>
      </c>
      <c r="K279">
        <v>0</v>
      </c>
      <c r="L279" s="1" t="s">
        <v>64</v>
      </c>
      <c r="M279" s="1" t="s">
        <v>24</v>
      </c>
      <c r="N279" s="1" t="s">
        <v>25</v>
      </c>
      <c r="O279">
        <v>8</v>
      </c>
      <c r="P279">
        <v>0</v>
      </c>
      <c r="Q279" s="1" t="s">
        <v>74</v>
      </c>
      <c r="R279">
        <v>1</v>
      </c>
      <c r="S279" s="1" t="s">
        <v>27</v>
      </c>
      <c r="T279">
        <v>40421000</v>
      </c>
      <c r="U279" t="s">
        <v>184</v>
      </c>
      <c r="V279" s="1" t="s">
        <v>179</v>
      </c>
      <c r="W279" s="1" t="s">
        <v>180</v>
      </c>
      <c r="X279" s="1" t="str">
        <f>VLOOKUP(V279,Broker_Directory!A:C,3,FALSE)</f>
        <v>Tier B</v>
      </c>
      <c r="Y279" s="1">
        <f>HLOOKUP(X279, Commission_Rates!A$1:C$2, 2, FALSE)</f>
        <v>1.4999999999999999E-2</v>
      </c>
      <c r="Z279" s="1">
        <f t="shared" si="12"/>
        <v>606315</v>
      </c>
      <c r="AA279" s="1">
        <f t="shared" si="13"/>
        <v>1212630</v>
      </c>
      <c r="AB279" s="1">
        <f t="shared" si="14"/>
        <v>606315</v>
      </c>
    </row>
    <row r="280" spans="1:28" x14ac:dyDescent="0.3">
      <c r="A280" s="1" t="s">
        <v>28</v>
      </c>
      <c r="B280" s="1" t="s">
        <v>110</v>
      </c>
      <c r="C280">
        <v>5</v>
      </c>
      <c r="D280">
        <v>2</v>
      </c>
      <c r="E280">
        <v>4969</v>
      </c>
      <c r="F280">
        <v>6484</v>
      </c>
      <c r="G280">
        <v>3</v>
      </c>
      <c r="H280">
        <v>2021</v>
      </c>
      <c r="I280">
        <v>2023</v>
      </c>
      <c r="J280" s="1" t="s">
        <v>58</v>
      </c>
      <c r="K280">
        <v>2</v>
      </c>
      <c r="L280" s="1" t="s">
        <v>41</v>
      </c>
      <c r="M280" s="1" t="s">
        <v>27</v>
      </c>
      <c r="N280" s="1" t="s">
        <v>25</v>
      </c>
      <c r="O280">
        <v>2</v>
      </c>
      <c r="P280">
        <v>1</v>
      </c>
      <c r="Q280" s="1" t="s">
        <v>155</v>
      </c>
      <c r="R280">
        <v>2</v>
      </c>
      <c r="S280" s="1" t="s">
        <v>24</v>
      </c>
      <c r="T280">
        <v>50215000</v>
      </c>
      <c r="U280" t="s">
        <v>184</v>
      </c>
      <c r="V280" s="1" t="s">
        <v>174</v>
      </c>
      <c r="W280" s="1" t="s">
        <v>175</v>
      </c>
      <c r="X280" s="1" t="str">
        <f>VLOOKUP(V280,Broker_Directory!A:C,3,FALSE)</f>
        <v>Tier A</v>
      </c>
      <c r="Y280" s="1">
        <f>HLOOKUP(X280, Commission_Rates!A$1:C$2, 2, FALSE)</f>
        <v>0.02</v>
      </c>
      <c r="Z280" s="1">
        <f t="shared" si="12"/>
        <v>1004300</v>
      </c>
      <c r="AA280" s="1">
        <f t="shared" si="13"/>
        <v>1506450</v>
      </c>
      <c r="AB280" s="1">
        <f t="shared" si="14"/>
        <v>502150</v>
      </c>
    </row>
    <row r="281" spans="1:28" x14ac:dyDescent="0.3">
      <c r="A281" s="1" t="s">
        <v>33</v>
      </c>
      <c r="B281" s="1" t="s">
        <v>43</v>
      </c>
      <c r="C281">
        <v>4</v>
      </c>
      <c r="D281">
        <v>3</v>
      </c>
      <c r="E281">
        <v>2881</v>
      </c>
      <c r="F281">
        <v>7437</v>
      </c>
      <c r="G281">
        <v>2</v>
      </c>
      <c r="H281">
        <v>1997</v>
      </c>
      <c r="I281">
        <v>2009</v>
      </c>
      <c r="J281" s="1" t="s">
        <v>22</v>
      </c>
      <c r="K281">
        <v>2</v>
      </c>
      <c r="L281" s="1" t="s">
        <v>31</v>
      </c>
      <c r="M281" s="1" t="s">
        <v>24</v>
      </c>
      <c r="N281" s="1" t="s">
        <v>46</v>
      </c>
      <c r="O281">
        <v>8</v>
      </c>
      <c r="P281">
        <v>5</v>
      </c>
      <c r="Q281" s="1" t="s">
        <v>71</v>
      </c>
      <c r="R281">
        <v>2</v>
      </c>
      <c r="S281" s="1" t="s">
        <v>27</v>
      </c>
      <c r="T281">
        <v>24873500</v>
      </c>
      <c r="U281" t="s">
        <v>184</v>
      </c>
      <c r="V281" s="1" t="s">
        <v>179</v>
      </c>
      <c r="W281" s="1" t="s">
        <v>180</v>
      </c>
      <c r="X281" s="1" t="str">
        <f>VLOOKUP(V281,Broker_Directory!A:C,3,FALSE)</f>
        <v>Tier B</v>
      </c>
      <c r="Y281" s="1">
        <f>HLOOKUP(X281, Commission_Rates!A$1:C$2, 2, FALSE)</f>
        <v>1.4999999999999999E-2</v>
      </c>
      <c r="Z281" s="1">
        <f t="shared" si="12"/>
        <v>373102.5</v>
      </c>
      <c r="AA281" s="1">
        <f t="shared" si="13"/>
        <v>746205</v>
      </c>
      <c r="AB281" s="1">
        <f t="shared" si="14"/>
        <v>373102.5</v>
      </c>
    </row>
    <row r="282" spans="1:28" x14ac:dyDescent="0.3">
      <c r="A282" s="1" t="s">
        <v>37</v>
      </c>
      <c r="B282" s="1" t="s">
        <v>72</v>
      </c>
      <c r="C282">
        <v>1</v>
      </c>
      <c r="D282">
        <v>1</v>
      </c>
      <c r="E282">
        <v>2630</v>
      </c>
      <c r="F282">
        <v>7560</v>
      </c>
      <c r="G282">
        <v>1</v>
      </c>
      <c r="H282">
        <v>2016</v>
      </c>
      <c r="I282">
        <v>2017</v>
      </c>
      <c r="J282" s="1" t="s">
        <v>30</v>
      </c>
      <c r="K282">
        <v>0</v>
      </c>
      <c r="L282" s="1" t="s">
        <v>64</v>
      </c>
      <c r="M282" s="1" t="s">
        <v>24</v>
      </c>
      <c r="N282" s="1" t="s">
        <v>25</v>
      </c>
      <c r="O282">
        <v>5</v>
      </c>
      <c r="P282">
        <v>0</v>
      </c>
      <c r="Q282" s="1" t="s">
        <v>127</v>
      </c>
      <c r="R282">
        <v>1</v>
      </c>
      <c r="S282" s="1" t="s">
        <v>24</v>
      </c>
      <c r="T282">
        <v>21305000</v>
      </c>
      <c r="U282" t="s">
        <v>183</v>
      </c>
      <c r="V282" s="1" t="s">
        <v>171</v>
      </c>
      <c r="W282" s="1" t="s">
        <v>172</v>
      </c>
      <c r="X282" s="1" t="str">
        <f>VLOOKUP(V282,Broker_Directory!A:C,3,FALSE)</f>
        <v>Tier B</v>
      </c>
      <c r="Y282" s="1">
        <f>HLOOKUP(X282, Commission_Rates!A$1:C$2, 2, FALSE)</f>
        <v>1.4999999999999999E-2</v>
      </c>
      <c r="Z282" s="1">
        <f t="shared" si="12"/>
        <v>0</v>
      </c>
      <c r="AA282" s="1">
        <f t="shared" si="13"/>
        <v>0</v>
      </c>
      <c r="AB282" s="1">
        <f t="shared" si="14"/>
        <v>0</v>
      </c>
    </row>
    <row r="283" spans="1:28" x14ac:dyDescent="0.3">
      <c r="A283" s="1" t="s">
        <v>20</v>
      </c>
      <c r="B283" s="1" t="s">
        <v>50</v>
      </c>
      <c r="C283">
        <v>3</v>
      </c>
      <c r="D283">
        <v>2</v>
      </c>
      <c r="E283">
        <v>1433</v>
      </c>
      <c r="F283">
        <v>5824</v>
      </c>
      <c r="G283">
        <v>2</v>
      </c>
      <c r="H283">
        <v>2024</v>
      </c>
      <c r="I283">
        <v>0</v>
      </c>
      <c r="J283" s="1" t="s">
        <v>52</v>
      </c>
      <c r="K283">
        <v>2</v>
      </c>
      <c r="L283" s="1" t="s">
        <v>64</v>
      </c>
      <c r="M283" s="1" t="s">
        <v>24</v>
      </c>
      <c r="N283" s="1" t="s">
        <v>35</v>
      </c>
      <c r="O283">
        <v>6</v>
      </c>
      <c r="P283">
        <v>4</v>
      </c>
      <c r="Q283" s="1" t="s">
        <v>112</v>
      </c>
      <c r="R283">
        <v>0</v>
      </c>
      <c r="S283" s="1" t="s">
        <v>27</v>
      </c>
      <c r="T283">
        <v>17471000</v>
      </c>
      <c r="U283" t="s">
        <v>182</v>
      </c>
      <c r="V283" s="1" t="s">
        <v>171</v>
      </c>
      <c r="W283" s="1" t="s">
        <v>172</v>
      </c>
      <c r="X283" s="1" t="str">
        <f>VLOOKUP(V283,Broker_Directory!A:C,3,FALSE)</f>
        <v>Tier B</v>
      </c>
      <c r="Y283" s="1">
        <f>HLOOKUP(X283, Commission_Rates!A$1:C$2, 2, FALSE)</f>
        <v>1.4999999999999999E-2</v>
      </c>
      <c r="Z283" s="1">
        <f t="shared" si="12"/>
        <v>0</v>
      </c>
      <c r="AA283" s="1">
        <f t="shared" si="13"/>
        <v>0</v>
      </c>
      <c r="AB283" s="1">
        <f t="shared" si="14"/>
        <v>0</v>
      </c>
    </row>
    <row r="284" spans="1:28" x14ac:dyDescent="0.3">
      <c r="A284" s="1" t="s">
        <v>37</v>
      </c>
      <c r="B284" s="1" t="s">
        <v>62</v>
      </c>
      <c r="C284">
        <v>4</v>
      </c>
      <c r="D284">
        <v>1</v>
      </c>
      <c r="E284">
        <v>2760</v>
      </c>
      <c r="F284">
        <v>3116</v>
      </c>
      <c r="G284">
        <v>3</v>
      </c>
      <c r="H284">
        <v>2023</v>
      </c>
      <c r="I284">
        <v>2025</v>
      </c>
      <c r="J284" s="1" t="s">
        <v>58</v>
      </c>
      <c r="K284">
        <v>0</v>
      </c>
      <c r="L284" s="1" t="s">
        <v>64</v>
      </c>
      <c r="M284" s="1" t="s">
        <v>27</v>
      </c>
      <c r="N284" s="1" t="s">
        <v>46</v>
      </c>
      <c r="O284">
        <v>6</v>
      </c>
      <c r="P284">
        <v>0</v>
      </c>
      <c r="Q284" s="1" t="s">
        <v>63</v>
      </c>
      <c r="R284">
        <v>0</v>
      </c>
      <c r="S284" s="1" t="s">
        <v>27</v>
      </c>
      <c r="T284">
        <v>22370000</v>
      </c>
      <c r="U284" t="s">
        <v>183</v>
      </c>
      <c r="V284" s="1" t="s">
        <v>168</v>
      </c>
      <c r="W284" s="1" t="s">
        <v>169</v>
      </c>
      <c r="X284" s="1" t="str">
        <f>VLOOKUP(V284,Broker_Directory!A:C,3,FALSE)</f>
        <v>Tier A</v>
      </c>
      <c r="Y284" s="1">
        <f>HLOOKUP(X284, Commission_Rates!A$1:C$2, 2, FALSE)</f>
        <v>0.02</v>
      </c>
      <c r="Z284" s="1">
        <f t="shared" si="12"/>
        <v>0</v>
      </c>
      <c r="AA284" s="1">
        <f t="shared" si="13"/>
        <v>0</v>
      </c>
      <c r="AB284" s="1">
        <f t="shared" si="14"/>
        <v>0</v>
      </c>
    </row>
    <row r="285" spans="1:28" x14ac:dyDescent="0.3">
      <c r="A285" s="1" t="s">
        <v>20</v>
      </c>
      <c r="B285" s="1" t="s">
        <v>69</v>
      </c>
      <c r="C285">
        <v>5</v>
      </c>
      <c r="D285">
        <v>1</v>
      </c>
      <c r="E285">
        <v>2915</v>
      </c>
      <c r="F285">
        <v>7388</v>
      </c>
      <c r="G285">
        <v>3</v>
      </c>
      <c r="H285">
        <v>1969</v>
      </c>
      <c r="I285">
        <v>1988</v>
      </c>
      <c r="J285" s="1" t="s">
        <v>52</v>
      </c>
      <c r="K285">
        <v>1</v>
      </c>
      <c r="L285" s="1" t="s">
        <v>23</v>
      </c>
      <c r="M285" s="1" t="s">
        <v>27</v>
      </c>
      <c r="N285" s="1" t="s">
        <v>46</v>
      </c>
      <c r="O285">
        <v>9</v>
      </c>
      <c r="P285">
        <v>4</v>
      </c>
      <c r="Q285" s="1" t="s">
        <v>74</v>
      </c>
      <c r="R285">
        <v>1</v>
      </c>
      <c r="S285" s="1" t="s">
        <v>27</v>
      </c>
      <c r="T285">
        <v>35335000</v>
      </c>
      <c r="U285" t="s">
        <v>183</v>
      </c>
      <c r="V285" s="1" t="s">
        <v>168</v>
      </c>
      <c r="W285" s="1" t="s">
        <v>169</v>
      </c>
      <c r="X285" s="1" t="str">
        <f>VLOOKUP(V285,Broker_Directory!A:C,3,FALSE)</f>
        <v>Tier A</v>
      </c>
      <c r="Y285" s="1">
        <f>HLOOKUP(X285, Commission_Rates!A$1:C$2, 2, FALSE)</f>
        <v>0.02</v>
      </c>
      <c r="Z285" s="1">
        <f t="shared" si="12"/>
        <v>0</v>
      </c>
      <c r="AA285" s="1">
        <f t="shared" si="13"/>
        <v>0</v>
      </c>
      <c r="AB285" s="1">
        <f t="shared" si="14"/>
        <v>0</v>
      </c>
    </row>
    <row r="286" spans="1:28" x14ac:dyDescent="0.3">
      <c r="A286" s="1" t="s">
        <v>53</v>
      </c>
      <c r="B286" s="1" t="s">
        <v>54</v>
      </c>
      <c r="C286">
        <v>2</v>
      </c>
      <c r="D286">
        <v>2</v>
      </c>
      <c r="E286">
        <v>3053</v>
      </c>
      <c r="F286">
        <v>3779</v>
      </c>
      <c r="G286">
        <v>2</v>
      </c>
      <c r="H286">
        <v>2023</v>
      </c>
      <c r="I286">
        <v>0</v>
      </c>
      <c r="J286" s="1" t="s">
        <v>22</v>
      </c>
      <c r="K286">
        <v>2</v>
      </c>
      <c r="L286" s="1" t="s">
        <v>23</v>
      </c>
      <c r="M286" s="1" t="s">
        <v>27</v>
      </c>
      <c r="N286" s="1" t="s">
        <v>35</v>
      </c>
      <c r="O286">
        <v>6</v>
      </c>
      <c r="P286">
        <v>5</v>
      </c>
      <c r="Q286" s="1" t="s">
        <v>59</v>
      </c>
      <c r="R286">
        <v>1</v>
      </c>
      <c r="S286" s="1" t="s">
        <v>27</v>
      </c>
      <c r="T286">
        <v>27692000</v>
      </c>
      <c r="U286" t="s">
        <v>184</v>
      </c>
      <c r="V286" s="1" t="s">
        <v>176</v>
      </c>
      <c r="W286" s="1" t="s">
        <v>177</v>
      </c>
      <c r="X286" s="1" t="str">
        <f>VLOOKUP(V286,Broker_Directory!A:C,3,FALSE)</f>
        <v>Tier C</v>
      </c>
      <c r="Y286" s="1">
        <f>HLOOKUP(X286, Commission_Rates!A$1:C$2, 2, FALSE)</f>
        <v>0.01</v>
      </c>
      <c r="Z286" s="1">
        <f t="shared" si="12"/>
        <v>276920</v>
      </c>
      <c r="AA286" s="1">
        <f t="shared" si="13"/>
        <v>830760</v>
      </c>
      <c r="AB286" s="1">
        <f t="shared" si="14"/>
        <v>553840</v>
      </c>
    </row>
    <row r="287" spans="1:28" x14ac:dyDescent="0.3">
      <c r="A287" s="1" t="s">
        <v>33</v>
      </c>
      <c r="B287" s="1" t="s">
        <v>75</v>
      </c>
      <c r="C287">
        <v>4</v>
      </c>
      <c r="D287">
        <v>4</v>
      </c>
      <c r="E287">
        <v>4980</v>
      </c>
      <c r="F287">
        <v>6636</v>
      </c>
      <c r="G287">
        <v>3</v>
      </c>
      <c r="H287">
        <v>2017</v>
      </c>
      <c r="I287">
        <v>2019</v>
      </c>
      <c r="J287" s="1" t="s">
        <v>52</v>
      </c>
      <c r="K287">
        <v>0</v>
      </c>
      <c r="L287" s="1" t="s">
        <v>64</v>
      </c>
      <c r="M287" s="1" t="s">
        <v>27</v>
      </c>
      <c r="N287" s="1" t="s">
        <v>46</v>
      </c>
      <c r="O287">
        <v>10</v>
      </c>
      <c r="P287">
        <v>4</v>
      </c>
      <c r="Q287" s="1" t="s">
        <v>76</v>
      </c>
      <c r="R287">
        <v>0</v>
      </c>
      <c r="S287" s="1" t="s">
        <v>27</v>
      </c>
      <c r="T287">
        <v>42710000</v>
      </c>
      <c r="U287" t="s">
        <v>182</v>
      </c>
      <c r="V287" s="1" t="s">
        <v>171</v>
      </c>
      <c r="W287" s="1" t="s">
        <v>172</v>
      </c>
      <c r="X287" s="1" t="str">
        <f>VLOOKUP(V287,Broker_Directory!A:C,3,FALSE)</f>
        <v>Tier B</v>
      </c>
      <c r="Y287" s="1">
        <f>HLOOKUP(X287, Commission_Rates!A$1:C$2, 2, FALSE)</f>
        <v>1.4999999999999999E-2</v>
      </c>
      <c r="Z287" s="1">
        <f t="shared" si="12"/>
        <v>0</v>
      </c>
      <c r="AA287" s="1">
        <f t="shared" si="13"/>
        <v>0</v>
      </c>
      <c r="AB287" s="1">
        <f t="shared" si="14"/>
        <v>0</v>
      </c>
    </row>
    <row r="288" spans="1:28" x14ac:dyDescent="0.3">
      <c r="A288" s="1" t="s">
        <v>37</v>
      </c>
      <c r="B288" s="1" t="s">
        <v>38</v>
      </c>
      <c r="C288">
        <v>3</v>
      </c>
      <c r="D288">
        <v>2</v>
      </c>
      <c r="E288">
        <v>2927</v>
      </c>
      <c r="F288">
        <v>5799</v>
      </c>
      <c r="G288">
        <v>3</v>
      </c>
      <c r="H288">
        <v>1953</v>
      </c>
      <c r="I288">
        <v>1991</v>
      </c>
      <c r="J288" s="1" t="s">
        <v>52</v>
      </c>
      <c r="K288">
        <v>2</v>
      </c>
      <c r="L288" s="1" t="s">
        <v>41</v>
      </c>
      <c r="M288" s="1" t="s">
        <v>24</v>
      </c>
      <c r="N288" s="1" t="s">
        <v>46</v>
      </c>
      <c r="O288">
        <v>0</v>
      </c>
      <c r="P288">
        <v>1</v>
      </c>
      <c r="Q288" s="1" t="s">
        <v>86</v>
      </c>
      <c r="R288">
        <v>2</v>
      </c>
      <c r="S288" s="1" t="s">
        <v>24</v>
      </c>
      <c r="T288">
        <v>23791000</v>
      </c>
      <c r="U288" t="s">
        <v>184</v>
      </c>
      <c r="V288" s="1" t="s">
        <v>176</v>
      </c>
      <c r="W288" s="1" t="s">
        <v>177</v>
      </c>
      <c r="X288" s="1" t="str">
        <f>VLOOKUP(V288,Broker_Directory!A:C,3,FALSE)</f>
        <v>Tier C</v>
      </c>
      <c r="Y288" s="1">
        <f>HLOOKUP(X288, Commission_Rates!A$1:C$2, 2, FALSE)</f>
        <v>0.01</v>
      </c>
      <c r="Z288" s="1">
        <f t="shared" si="12"/>
        <v>237910</v>
      </c>
      <c r="AA288" s="1">
        <f t="shared" si="13"/>
        <v>713730</v>
      </c>
      <c r="AB288" s="1">
        <f t="shared" si="14"/>
        <v>475820</v>
      </c>
    </row>
    <row r="289" spans="1:28" x14ac:dyDescent="0.3">
      <c r="A289" s="1" t="s">
        <v>20</v>
      </c>
      <c r="B289" s="1" t="s">
        <v>21</v>
      </c>
      <c r="C289">
        <v>1</v>
      </c>
      <c r="D289">
        <v>2</v>
      </c>
      <c r="E289">
        <v>1509</v>
      </c>
      <c r="F289">
        <v>6272</v>
      </c>
      <c r="G289">
        <v>1</v>
      </c>
      <c r="H289">
        <v>1993</v>
      </c>
      <c r="I289">
        <v>1999</v>
      </c>
      <c r="J289" s="1" t="s">
        <v>30</v>
      </c>
      <c r="K289">
        <v>3</v>
      </c>
      <c r="L289" s="1" t="s">
        <v>41</v>
      </c>
      <c r="M289" s="1" t="s">
        <v>24</v>
      </c>
      <c r="N289" s="1" t="s">
        <v>46</v>
      </c>
      <c r="O289">
        <v>3</v>
      </c>
      <c r="P289">
        <v>5</v>
      </c>
      <c r="Q289" s="1" t="s">
        <v>56</v>
      </c>
      <c r="R289">
        <v>1</v>
      </c>
      <c r="S289" s="1" t="s">
        <v>27</v>
      </c>
      <c r="T289">
        <v>18278000</v>
      </c>
      <c r="U289" t="s">
        <v>183</v>
      </c>
      <c r="V289" s="1" t="s">
        <v>168</v>
      </c>
      <c r="W289" s="1" t="s">
        <v>169</v>
      </c>
      <c r="X289" s="1" t="str">
        <f>VLOOKUP(V289,Broker_Directory!A:C,3,FALSE)</f>
        <v>Tier A</v>
      </c>
      <c r="Y289" s="1">
        <f>HLOOKUP(X289, Commission_Rates!A$1:C$2, 2, FALSE)</f>
        <v>0.02</v>
      </c>
      <c r="Z289" s="1">
        <f t="shared" si="12"/>
        <v>0</v>
      </c>
      <c r="AA289" s="1">
        <f t="shared" si="13"/>
        <v>0</v>
      </c>
      <c r="AB289" s="1">
        <f t="shared" si="14"/>
        <v>0</v>
      </c>
    </row>
    <row r="290" spans="1:28" x14ac:dyDescent="0.3">
      <c r="A290" s="1" t="s">
        <v>33</v>
      </c>
      <c r="B290" s="1" t="s">
        <v>98</v>
      </c>
      <c r="C290">
        <v>5</v>
      </c>
      <c r="D290">
        <v>2</v>
      </c>
      <c r="E290">
        <v>450</v>
      </c>
      <c r="F290">
        <v>6670</v>
      </c>
      <c r="G290">
        <v>3</v>
      </c>
      <c r="H290">
        <v>2017</v>
      </c>
      <c r="I290">
        <v>0</v>
      </c>
      <c r="J290" s="1" t="s">
        <v>30</v>
      </c>
      <c r="K290">
        <v>1</v>
      </c>
      <c r="L290" s="1" t="s">
        <v>23</v>
      </c>
      <c r="M290" s="1" t="s">
        <v>27</v>
      </c>
      <c r="N290" s="1" t="s">
        <v>25</v>
      </c>
      <c r="O290">
        <v>9</v>
      </c>
      <c r="P290">
        <v>2</v>
      </c>
      <c r="Q290" s="1" t="s">
        <v>145</v>
      </c>
      <c r="R290">
        <v>3</v>
      </c>
      <c r="S290" s="1" t="s">
        <v>24</v>
      </c>
      <c r="T290">
        <v>4365000</v>
      </c>
      <c r="U290" t="s">
        <v>183</v>
      </c>
      <c r="V290" s="1" t="s">
        <v>168</v>
      </c>
      <c r="W290" s="1" t="s">
        <v>169</v>
      </c>
      <c r="X290" s="1" t="str">
        <f>VLOOKUP(V290,Broker_Directory!A:C,3,FALSE)</f>
        <v>Tier A</v>
      </c>
      <c r="Y290" s="1">
        <f>HLOOKUP(X290, Commission_Rates!A$1:C$2, 2, FALSE)</f>
        <v>0.02</v>
      </c>
      <c r="Z290" s="1">
        <f t="shared" si="12"/>
        <v>0</v>
      </c>
      <c r="AA290" s="1">
        <f t="shared" si="13"/>
        <v>0</v>
      </c>
      <c r="AB290" s="1">
        <f t="shared" si="14"/>
        <v>0</v>
      </c>
    </row>
    <row r="291" spans="1:28" x14ac:dyDescent="0.3">
      <c r="A291" s="1" t="s">
        <v>20</v>
      </c>
      <c r="B291" s="1" t="s">
        <v>50</v>
      </c>
      <c r="C291">
        <v>3</v>
      </c>
      <c r="D291">
        <v>3</v>
      </c>
      <c r="E291">
        <v>1183</v>
      </c>
      <c r="F291">
        <v>1545</v>
      </c>
      <c r="G291">
        <v>2</v>
      </c>
      <c r="H291">
        <v>1999</v>
      </c>
      <c r="I291">
        <v>2005</v>
      </c>
      <c r="J291" s="1" t="s">
        <v>22</v>
      </c>
      <c r="K291">
        <v>0</v>
      </c>
      <c r="L291" s="1" t="s">
        <v>64</v>
      </c>
      <c r="M291" s="1" t="s">
        <v>27</v>
      </c>
      <c r="N291" s="1" t="s">
        <v>35</v>
      </c>
      <c r="O291">
        <v>8</v>
      </c>
      <c r="P291">
        <v>0</v>
      </c>
      <c r="Q291" s="1" t="s">
        <v>112</v>
      </c>
      <c r="R291">
        <v>1</v>
      </c>
      <c r="S291" s="1" t="s">
        <v>27</v>
      </c>
      <c r="T291">
        <v>14491000</v>
      </c>
      <c r="U291" t="s">
        <v>184</v>
      </c>
      <c r="V291" s="1" t="s">
        <v>174</v>
      </c>
      <c r="W291" s="1" t="s">
        <v>175</v>
      </c>
      <c r="X291" s="1" t="str">
        <f>VLOOKUP(V291,Broker_Directory!A:C,3,FALSE)</f>
        <v>Tier A</v>
      </c>
      <c r="Y291" s="1">
        <f>HLOOKUP(X291, Commission_Rates!A$1:C$2, 2, FALSE)</f>
        <v>0.02</v>
      </c>
      <c r="Z291" s="1">
        <f t="shared" si="12"/>
        <v>289820</v>
      </c>
      <c r="AA291" s="1">
        <f t="shared" si="13"/>
        <v>434730</v>
      </c>
      <c r="AB291" s="1">
        <f t="shared" si="14"/>
        <v>144910</v>
      </c>
    </row>
    <row r="292" spans="1:28" x14ac:dyDescent="0.3">
      <c r="A292" s="1" t="s">
        <v>33</v>
      </c>
      <c r="B292" s="1" t="s">
        <v>48</v>
      </c>
      <c r="C292">
        <v>1</v>
      </c>
      <c r="D292">
        <v>2</v>
      </c>
      <c r="E292">
        <v>4636</v>
      </c>
      <c r="F292">
        <v>7183</v>
      </c>
      <c r="G292">
        <v>2</v>
      </c>
      <c r="H292">
        <v>2012</v>
      </c>
      <c r="I292">
        <v>2017</v>
      </c>
      <c r="J292" s="1" t="s">
        <v>52</v>
      </c>
      <c r="K292">
        <v>0</v>
      </c>
      <c r="L292" s="1" t="s">
        <v>64</v>
      </c>
      <c r="M292" s="1" t="s">
        <v>27</v>
      </c>
      <c r="N292" s="1" t="s">
        <v>46</v>
      </c>
      <c r="O292">
        <v>10</v>
      </c>
      <c r="P292">
        <v>2</v>
      </c>
      <c r="Q292" s="1" t="s">
        <v>84</v>
      </c>
      <c r="R292">
        <v>2</v>
      </c>
      <c r="S292" s="1" t="s">
        <v>24</v>
      </c>
      <c r="T292">
        <v>39636000</v>
      </c>
      <c r="U292" t="s">
        <v>184</v>
      </c>
      <c r="V292" s="1" t="s">
        <v>176</v>
      </c>
      <c r="W292" s="1" t="s">
        <v>177</v>
      </c>
      <c r="X292" s="1" t="str">
        <f>VLOOKUP(V292,Broker_Directory!A:C,3,FALSE)</f>
        <v>Tier C</v>
      </c>
      <c r="Y292" s="1">
        <f>HLOOKUP(X292, Commission_Rates!A$1:C$2, 2, FALSE)</f>
        <v>0.01</v>
      </c>
      <c r="Z292" s="1">
        <f t="shared" si="12"/>
        <v>396360</v>
      </c>
      <c r="AA292" s="1">
        <f t="shared" si="13"/>
        <v>1189080</v>
      </c>
      <c r="AB292" s="1">
        <f t="shared" si="14"/>
        <v>792720</v>
      </c>
    </row>
    <row r="293" spans="1:28" x14ac:dyDescent="0.3">
      <c r="A293" s="1" t="s">
        <v>53</v>
      </c>
      <c r="B293" s="1" t="s">
        <v>54</v>
      </c>
      <c r="C293">
        <v>1</v>
      </c>
      <c r="D293">
        <v>3</v>
      </c>
      <c r="E293">
        <v>2147</v>
      </c>
      <c r="F293">
        <v>3439</v>
      </c>
      <c r="G293">
        <v>2</v>
      </c>
      <c r="H293">
        <v>2000</v>
      </c>
      <c r="I293">
        <v>2020</v>
      </c>
      <c r="J293" s="1" t="s">
        <v>52</v>
      </c>
      <c r="K293">
        <v>0</v>
      </c>
      <c r="L293" s="1" t="s">
        <v>41</v>
      </c>
      <c r="M293" s="1" t="s">
        <v>24</v>
      </c>
      <c r="N293" s="1" t="s">
        <v>46</v>
      </c>
      <c r="O293">
        <v>3</v>
      </c>
      <c r="P293">
        <v>4</v>
      </c>
      <c r="Q293" s="1" t="s">
        <v>59</v>
      </c>
      <c r="R293">
        <v>3</v>
      </c>
      <c r="S293" s="1" t="s">
        <v>27</v>
      </c>
      <c r="T293">
        <v>19573000</v>
      </c>
      <c r="U293" t="s">
        <v>184</v>
      </c>
      <c r="V293" s="1" t="s">
        <v>168</v>
      </c>
      <c r="W293" s="1" t="s">
        <v>169</v>
      </c>
      <c r="X293" s="1" t="str">
        <f>VLOOKUP(V293,Broker_Directory!A:C,3,FALSE)</f>
        <v>Tier A</v>
      </c>
      <c r="Y293" s="1">
        <f>HLOOKUP(X293, Commission_Rates!A$1:C$2, 2, FALSE)</f>
        <v>0.02</v>
      </c>
      <c r="Z293" s="1">
        <f t="shared" si="12"/>
        <v>391460</v>
      </c>
      <c r="AA293" s="1">
        <f t="shared" si="13"/>
        <v>587190</v>
      </c>
      <c r="AB293" s="1">
        <f t="shared" si="14"/>
        <v>195730</v>
      </c>
    </row>
    <row r="294" spans="1:28" x14ac:dyDescent="0.3">
      <c r="A294" s="1" t="s">
        <v>33</v>
      </c>
      <c r="B294" s="1" t="s">
        <v>34</v>
      </c>
      <c r="C294">
        <v>4</v>
      </c>
      <c r="D294">
        <v>2</v>
      </c>
      <c r="E294">
        <v>1993</v>
      </c>
      <c r="F294">
        <v>7388</v>
      </c>
      <c r="G294">
        <v>1</v>
      </c>
      <c r="H294">
        <v>2024</v>
      </c>
      <c r="I294">
        <v>2025</v>
      </c>
      <c r="J294" s="1" t="s">
        <v>52</v>
      </c>
      <c r="K294">
        <v>1</v>
      </c>
      <c r="L294" s="1" t="s">
        <v>64</v>
      </c>
      <c r="M294" s="1" t="s">
        <v>24</v>
      </c>
      <c r="N294" s="1" t="s">
        <v>46</v>
      </c>
      <c r="O294">
        <v>2</v>
      </c>
      <c r="P294">
        <v>5</v>
      </c>
      <c r="Q294" s="1" t="s">
        <v>132</v>
      </c>
      <c r="R294">
        <v>2</v>
      </c>
      <c r="S294" s="1" t="s">
        <v>24</v>
      </c>
      <c r="T294">
        <v>17325500</v>
      </c>
      <c r="U294" t="s">
        <v>183</v>
      </c>
      <c r="V294" s="1" t="s">
        <v>171</v>
      </c>
      <c r="W294" s="1" t="s">
        <v>172</v>
      </c>
      <c r="X294" s="1" t="str">
        <f>VLOOKUP(V294,Broker_Directory!A:C,3,FALSE)</f>
        <v>Tier B</v>
      </c>
      <c r="Y294" s="1">
        <f>HLOOKUP(X294, Commission_Rates!A$1:C$2, 2, FALSE)</f>
        <v>1.4999999999999999E-2</v>
      </c>
      <c r="Z294" s="1">
        <f t="shared" si="12"/>
        <v>0</v>
      </c>
      <c r="AA294" s="1">
        <f t="shared" si="13"/>
        <v>0</v>
      </c>
      <c r="AB294" s="1">
        <f t="shared" si="14"/>
        <v>0</v>
      </c>
    </row>
    <row r="295" spans="1:28" x14ac:dyDescent="0.3">
      <c r="A295" s="1" t="s">
        <v>33</v>
      </c>
      <c r="B295" s="1" t="s">
        <v>43</v>
      </c>
      <c r="C295">
        <v>1</v>
      </c>
      <c r="D295">
        <v>2</v>
      </c>
      <c r="E295">
        <v>2901</v>
      </c>
      <c r="F295">
        <v>9828</v>
      </c>
      <c r="G295">
        <v>1</v>
      </c>
      <c r="H295">
        <v>1953</v>
      </c>
      <c r="I295">
        <v>1992</v>
      </c>
      <c r="J295" s="1" t="s">
        <v>22</v>
      </c>
      <c r="K295">
        <v>3</v>
      </c>
      <c r="L295" s="1" t="s">
        <v>64</v>
      </c>
      <c r="M295" s="1" t="s">
        <v>27</v>
      </c>
      <c r="N295" s="1" t="s">
        <v>35</v>
      </c>
      <c r="O295">
        <v>10</v>
      </c>
      <c r="P295">
        <v>5</v>
      </c>
      <c r="Q295" s="1" t="s">
        <v>71</v>
      </c>
      <c r="R295">
        <v>1</v>
      </c>
      <c r="S295" s="1" t="s">
        <v>24</v>
      </c>
      <c r="T295">
        <v>24853500</v>
      </c>
      <c r="U295" t="s">
        <v>182</v>
      </c>
      <c r="V295" s="1" t="s">
        <v>176</v>
      </c>
      <c r="W295" s="1" t="s">
        <v>177</v>
      </c>
      <c r="X295" s="1" t="str">
        <f>VLOOKUP(V295,Broker_Directory!A:C,3,FALSE)</f>
        <v>Tier C</v>
      </c>
      <c r="Y295" s="1">
        <f>HLOOKUP(X295, Commission_Rates!A$1:C$2, 2, FALSE)</f>
        <v>0.01</v>
      </c>
      <c r="Z295" s="1">
        <f t="shared" si="12"/>
        <v>0</v>
      </c>
      <c r="AA295" s="1">
        <f t="shared" si="13"/>
        <v>0</v>
      </c>
      <c r="AB295" s="1">
        <f t="shared" si="14"/>
        <v>0</v>
      </c>
    </row>
    <row r="296" spans="1:28" x14ac:dyDescent="0.3">
      <c r="A296" s="1" t="s">
        <v>20</v>
      </c>
      <c r="B296" s="1" t="s">
        <v>40</v>
      </c>
      <c r="C296">
        <v>2</v>
      </c>
      <c r="D296">
        <v>1</v>
      </c>
      <c r="E296">
        <v>2486</v>
      </c>
      <c r="F296">
        <v>7497</v>
      </c>
      <c r="G296">
        <v>3</v>
      </c>
      <c r="H296">
        <v>1979</v>
      </c>
      <c r="I296">
        <v>2016</v>
      </c>
      <c r="J296" s="1" t="s">
        <v>52</v>
      </c>
      <c r="K296">
        <v>1</v>
      </c>
      <c r="L296" s="1" t="s">
        <v>23</v>
      </c>
      <c r="M296" s="1" t="s">
        <v>27</v>
      </c>
      <c r="N296" s="1" t="s">
        <v>25</v>
      </c>
      <c r="O296">
        <v>7</v>
      </c>
      <c r="P296">
        <v>1</v>
      </c>
      <c r="Q296" s="1" t="s">
        <v>153</v>
      </c>
      <c r="R296">
        <v>2</v>
      </c>
      <c r="S296" s="1" t="s">
        <v>24</v>
      </c>
      <c r="T296">
        <v>30177000</v>
      </c>
      <c r="U296" t="s">
        <v>182</v>
      </c>
      <c r="V296" s="1" t="s">
        <v>171</v>
      </c>
      <c r="W296" s="1" t="s">
        <v>172</v>
      </c>
      <c r="X296" s="1" t="str">
        <f>VLOOKUP(V296,Broker_Directory!A:C,3,FALSE)</f>
        <v>Tier B</v>
      </c>
      <c r="Y296" s="1">
        <f>HLOOKUP(X296, Commission_Rates!A$1:C$2, 2, FALSE)</f>
        <v>1.4999999999999999E-2</v>
      </c>
      <c r="Z296" s="1">
        <f t="shared" si="12"/>
        <v>0</v>
      </c>
      <c r="AA296" s="1">
        <f t="shared" si="13"/>
        <v>0</v>
      </c>
      <c r="AB296" s="1">
        <f t="shared" si="14"/>
        <v>0</v>
      </c>
    </row>
    <row r="297" spans="1:28" x14ac:dyDescent="0.3">
      <c r="A297" s="1" t="s">
        <v>37</v>
      </c>
      <c r="B297" s="1" t="s">
        <v>72</v>
      </c>
      <c r="C297">
        <v>4</v>
      </c>
      <c r="D297">
        <v>2</v>
      </c>
      <c r="E297">
        <v>1641</v>
      </c>
      <c r="F297">
        <v>4857</v>
      </c>
      <c r="G297">
        <v>1</v>
      </c>
      <c r="H297">
        <v>1954</v>
      </c>
      <c r="I297">
        <v>2005</v>
      </c>
      <c r="J297" s="1" t="s">
        <v>58</v>
      </c>
      <c r="K297">
        <v>2</v>
      </c>
      <c r="L297" s="1" t="s">
        <v>41</v>
      </c>
      <c r="M297" s="1" t="s">
        <v>24</v>
      </c>
      <c r="N297" s="1" t="s">
        <v>35</v>
      </c>
      <c r="O297">
        <v>10</v>
      </c>
      <c r="P297">
        <v>1</v>
      </c>
      <c r="Q297" s="1" t="s">
        <v>73</v>
      </c>
      <c r="R297">
        <v>0</v>
      </c>
      <c r="S297" s="1" t="s">
        <v>24</v>
      </c>
      <c r="T297">
        <v>13483000</v>
      </c>
      <c r="U297" t="s">
        <v>184</v>
      </c>
      <c r="V297" s="1" t="s">
        <v>176</v>
      </c>
      <c r="W297" s="1" t="s">
        <v>177</v>
      </c>
      <c r="X297" s="1" t="str">
        <f>VLOOKUP(V297,Broker_Directory!A:C,3,FALSE)</f>
        <v>Tier C</v>
      </c>
      <c r="Y297" s="1">
        <f>HLOOKUP(X297, Commission_Rates!A$1:C$2, 2, FALSE)</f>
        <v>0.01</v>
      </c>
      <c r="Z297" s="1">
        <f t="shared" si="12"/>
        <v>134830</v>
      </c>
      <c r="AA297" s="1">
        <f t="shared" si="13"/>
        <v>404490</v>
      </c>
      <c r="AB297" s="1">
        <f t="shared" si="14"/>
        <v>269660</v>
      </c>
    </row>
    <row r="298" spans="1:28" x14ac:dyDescent="0.3">
      <c r="A298" s="1" t="s">
        <v>37</v>
      </c>
      <c r="B298" s="1" t="s">
        <v>45</v>
      </c>
      <c r="C298">
        <v>4</v>
      </c>
      <c r="D298">
        <v>3</v>
      </c>
      <c r="E298">
        <v>4048</v>
      </c>
      <c r="F298">
        <v>6119</v>
      </c>
      <c r="G298">
        <v>2</v>
      </c>
      <c r="H298">
        <v>2001</v>
      </c>
      <c r="I298">
        <v>2024</v>
      </c>
      <c r="J298" s="1" t="s">
        <v>58</v>
      </c>
      <c r="K298">
        <v>3</v>
      </c>
      <c r="L298" s="1" t="s">
        <v>64</v>
      </c>
      <c r="M298" s="1" t="s">
        <v>27</v>
      </c>
      <c r="N298" s="1" t="s">
        <v>35</v>
      </c>
      <c r="O298">
        <v>9</v>
      </c>
      <c r="P298">
        <v>4</v>
      </c>
      <c r="Q298" s="1" t="s">
        <v>47</v>
      </c>
      <c r="R298">
        <v>0</v>
      </c>
      <c r="S298" s="1" t="s">
        <v>27</v>
      </c>
      <c r="T298">
        <v>32714000</v>
      </c>
      <c r="U298" t="s">
        <v>183</v>
      </c>
      <c r="V298" s="1" t="s">
        <v>171</v>
      </c>
      <c r="W298" s="1" t="s">
        <v>172</v>
      </c>
      <c r="X298" s="1" t="str">
        <f>VLOOKUP(V298,Broker_Directory!A:C,3,FALSE)</f>
        <v>Tier B</v>
      </c>
      <c r="Y298" s="1">
        <f>HLOOKUP(X298, Commission_Rates!A$1:C$2, 2, FALSE)</f>
        <v>1.4999999999999999E-2</v>
      </c>
      <c r="Z298" s="1">
        <f t="shared" si="12"/>
        <v>0</v>
      </c>
      <c r="AA298" s="1">
        <f t="shared" si="13"/>
        <v>0</v>
      </c>
      <c r="AB298" s="1">
        <f t="shared" si="14"/>
        <v>0</v>
      </c>
    </row>
    <row r="299" spans="1:28" x14ac:dyDescent="0.3">
      <c r="A299" s="1" t="s">
        <v>37</v>
      </c>
      <c r="B299" s="1" t="s">
        <v>87</v>
      </c>
      <c r="C299">
        <v>2</v>
      </c>
      <c r="D299">
        <v>4</v>
      </c>
      <c r="E299">
        <v>621</v>
      </c>
      <c r="F299">
        <v>9808</v>
      </c>
      <c r="G299">
        <v>2</v>
      </c>
      <c r="H299">
        <v>2016</v>
      </c>
      <c r="I299">
        <v>2025</v>
      </c>
      <c r="J299" s="1" t="s">
        <v>58</v>
      </c>
      <c r="K299">
        <v>1</v>
      </c>
      <c r="L299" s="1" t="s">
        <v>64</v>
      </c>
      <c r="M299" s="1" t="s">
        <v>27</v>
      </c>
      <c r="N299" s="1" t="s">
        <v>46</v>
      </c>
      <c r="O299">
        <v>4</v>
      </c>
      <c r="P299">
        <v>2</v>
      </c>
      <c r="Q299" s="1" t="s">
        <v>138</v>
      </c>
      <c r="R299">
        <v>1</v>
      </c>
      <c r="S299" s="1" t="s">
        <v>27</v>
      </c>
      <c r="T299">
        <v>5243000</v>
      </c>
      <c r="U299" t="s">
        <v>183</v>
      </c>
      <c r="V299" s="1" t="s">
        <v>176</v>
      </c>
      <c r="W299" s="1" t="s">
        <v>177</v>
      </c>
      <c r="X299" s="1" t="str">
        <f>VLOOKUP(V299,Broker_Directory!A:C,3,FALSE)</f>
        <v>Tier C</v>
      </c>
      <c r="Y299" s="1">
        <f>HLOOKUP(X299, Commission_Rates!A$1:C$2, 2, FALSE)</f>
        <v>0.01</v>
      </c>
      <c r="Z299" s="1">
        <f t="shared" si="12"/>
        <v>0</v>
      </c>
      <c r="AA299" s="1">
        <f t="shared" si="13"/>
        <v>0</v>
      </c>
      <c r="AB299" s="1">
        <f t="shared" si="14"/>
        <v>0</v>
      </c>
    </row>
    <row r="300" spans="1:28" x14ac:dyDescent="0.3">
      <c r="A300" s="1" t="s">
        <v>53</v>
      </c>
      <c r="B300" s="1" t="s">
        <v>100</v>
      </c>
      <c r="C300">
        <v>1</v>
      </c>
      <c r="D300">
        <v>2</v>
      </c>
      <c r="E300">
        <v>4097</v>
      </c>
      <c r="F300">
        <v>9439</v>
      </c>
      <c r="G300">
        <v>2</v>
      </c>
      <c r="H300">
        <v>1961</v>
      </c>
      <c r="I300">
        <v>2024</v>
      </c>
      <c r="J300" s="1" t="s">
        <v>58</v>
      </c>
      <c r="K300">
        <v>1</v>
      </c>
      <c r="L300" s="1" t="s">
        <v>31</v>
      </c>
      <c r="M300" s="1" t="s">
        <v>27</v>
      </c>
      <c r="N300" s="1" t="s">
        <v>46</v>
      </c>
      <c r="O300">
        <v>5</v>
      </c>
      <c r="P300">
        <v>3</v>
      </c>
      <c r="Q300" s="1" t="s">
        <v>131</v>
      </c>
      <c r="R300">
        <v>1</v>
      </c>
      <c r="S300" s="1" t="s">
        <v>27</v>
      </c>
      <c r="T300">
        <v>37038000</v>
      </c>
      <c r="U300" t="s">
        <v>183</v>
      </c>
      <c r="V300" s="1" t="s">
        <v>176</v>
      </c>
      <c r="W300" s="1" t="s">
        <v>177</v>
      </c>
      <c r="X300" s="1" t="str">
        <f>VLOOKUP(V300,Broker_Directory!A:C,3,FALSE)</f>
        <v>Tier C</v>
      </c>
      <c r="Y300" s="1">
        <f>HLOOKUP(X300, Commission_Rates!A$1:C$2, 2, FALSE)</f>
        <v>0.01</v>
      </c>
      <c r="Z300" s="1">
        <f t="shared" si="12"/>
        <v>0</v>
      </c>
      <c r="AA300" s="1">
        <f t="shared" si="13"/>
        <v>0</v>
      </c>
      <c r="AB300" s="1">
        <f t="shared" si="14"/>
        <v>0</v>
      </c>
    </row>
    <row r="301" spans="1:28" x14ac:dyDescent="0.3">
      <c r="A301" s="1" t="s">
        <v>33</v>
      </c>
      <c r="B301" s="1" t="s">
        <v>75</v>
      </c>
      <c r="C301">
        <v>4</v>
      </c>
      <c r="D301">
        <v>1</v>
      </c>
      <c r="E301">
        <v>2348</v>
      </c>
      <c r="F301">
        <v>5052</v>
      </c>
      <c r="G301">
        <v>3</v>
      </c>
      <c r="H301">
        <v>1970</v>
      </c>
      <c r="I301">
        <v>2014</v>
      </c>
      <c r="J301" s="1" t="s">
        <v>58</v>
      </c>
      <c r="K301">
        <v>0</v>
      </c>
      <c r="L301" s="1" t="s">
        <v>23</v>
      </c>
      <c r="M301" s="1" t="s">
        <v>27</v>
      </c>
      <c r="N301" s="1" t="s">
        <v>35</v>
      </c>
      <c r="O301">
        <v>5</v>
      </c>
      <c r="P301">
        <v>0</v>
      </c>
      <c r="Q301" s="1" t="s">
        <v>140</v>
      </c>
      <c r="R301">
        <v>1</v>
      </c>
      <c r="S301" s="1" t="s">
        <v>27</v>
      </c>
      <c r="T301">
        <v>20263000</v>
      </c>
      <c r="U301" t="s">
        <v>184</v>
      </c>
      <c r="V301" s="1" t="s">
        <v>179</v>
      </c>
      <c r="W301" s="1" t="s">
        <v>180</v>
      </c>
      <c r="X301" s="1" t="str">
        <f>VLOOKUP(V301,Broker_Directory!A:C,3,FALSE)</f>
        <v>Tier B</v>
      </c>
      <c r="Y301" s="1">
        <f>HLOOKUP(X301, Commission_Rates!A$1:C$2, 2, FALSE)</f>
        <v>1.4999999999999999E-2</v>
      </c>
      <c r="Z301" s="1">
        <f t="shared" si="12"/>
        <v>303945</v>
      </c>
      <c r="AA301" s="1">
        <f t="shared" si="13"/>
        <v>607890</v>
      </c>
      <c r="AB301" s="1">
        <f t="shared" si="14"/>
        <v>303945</v>
      </c>
    </row>
    <row r="302" spans="1:28" x14ac:dyDescent="0.3">
      <c r="A302" s="1" t="s">
        <v>33</v>
      </c>
      <c r="B302" s="1" t="s">
        <v>98</v>
      </c>
      <c r="C302">
        <v>1</v>
      </c>
      <c r="D302">
        <v>2</v>
      </c>
      <c r="E302">
        <v>3045</v>
      </c>
      <c r="F302">
        <v>7727</v>
      </c>
      <c r="G302">
        <v>3</v>
      </c>
      <c r="H302">
        <v>1969</v>
      </c>
      <c r="I302">
        <v>1978</v>
      </c>
      <c r="J302" s="1" t="s">
        <v>52</v>
      </c>
      <c r="K302">
        <v>1</v>
      </c>
      <c r="L302" s="1" t="s">
        <v>23</v>
      </c>
      <c r="M302" s="1" t="s">
        <v>27</v>
      </c>
      <c r="N302" s="1" t="s">
        <v>46</v>
      </c>
      <c r="O302">
        <v>4</v>
      </c>
      <c r="P302">
        <v>5</v>
      </c>
      <c r="Q302" s="1" t="s">
        <v>99</v>
      </c>
      <c r="R302">
        <v>2</v>
      </c>
      <c r="S302" s="1" t="s">
        <v>24</v>
      </c>
      <c r="T302">
        <v>26132500</v>
      </c>
      <c r="U302" t="s">
        <v>184</v>
      </c>
      <c r="V302" s="1" t="s">
        <v>179</v>
      </c>
      <c r="W302" s="1" t="s">
        <v>180</v>
      </c>
      <c r="X302" s="1" t="str">
        <f>VLOOKUP(V302,Broker_Directory!A:C,3,FALSE)</f>
        <v>Tier B</v>
      </c>
      <c r="Y302" s="1">
        <f>HLOOKUP(X302, Commission_Rates!A$1:C$2, 2, FALSE)</f>
        <v>1.4999999999999999E-2</v>
      </c>
      <c r="Z302" s="1">
        <f t="shared" si="12"/>
        <v>391987.5</v>
      </c>
      <c r="AA302" s="1">
        <f t="shared" si="13"/>
        <v>783975</v>
      </c>
      <c r="AB302" s="1">
        <f t="shared" si="14"/>
        <v>391987.5</v>
      </c>
    </row>
    <row r="303" spans="1:28" x14ac:dyDescent="0.3">
      <c r="A303" s="1" t="s">
        <v>20</v>
      </c>
      <c r="B303" s="1" t="s">
        <v>40</v>
      </c>
      <c r="C303">
        <v>2</v>
      </c>
      <c r="D303">
        <v>1</v>
      </c>
      <c r="E303">
        <v>2373</v>
      </c>
      <c r="F303">
        <v>2523</v>
      </c>
      <c r="G303">
        <v>2</v>
      </c>
      <c r="H303">
        <v>2013</v>
      </c>
      <c r="I303">
        <v>2025</v>
      </c>
      <c r="J303" s="1" t="s">
        <v>22</v>
      </c>
      <c r="K303">
        <v>0</v>
      </c>
      <c r="L303" s="1" t="s">
        <v>41</v>
      </c>
      <c r="M303" s="1" t="s">
        <v>24</v>
      </c>
      <c r="N303" s="1" t="s">
        <v>25</v>
      </c>
      <c r="O303">
        <v>9</v>
      </c>
      <c r="P303">
        <v>5</v>
      </c>
      <c r="Q303" s="1" t="s">
        <v>153</v>
      </c>
      <c r="R303">
        <v>3</v>
      </c>
      <c r="S303" s="1" t="s">
        <v>27</v>
      </c>
      <c r="T303">
        <v>28791000</v>
      </c>
      <c r="U303" t="s">
        <v>182</v>
      </c>
      <c r="V303" s="1" t="s">
        <v>174</v>
      </c>
      <c r="W303" s="1" t="s">
        <v>175</v>
      </c>
      <c r="X303" s="1" t="str">
        <f>VLOOKUP(V303,Broker_Directory!A:C,3,FALSE)</f>
        <v>Tier A</v>
      </c>
      <c r="Y303" s="1">
        <f>HLOOKUP(X303, Commission_Rates!A$1:C$2, 2, FALSE)</f>
        <v>0.02</v>
      </c>
      <c r="Z303" s="1">
        <f t="shared" si="12"/>
        <v>0</v>
      </c>
      <c r="AA303" s="1">
        <f t="shared" si="13"/>
        <v>0</v>
      </c>
      <c r="AB303" s="1">
        <f t="shared" si="14"/>
        <v>0</v>
      </c>
    </row>
    <row r="304" spans="1:28" x14ac:dyDescent="0.3">
      <c r="A304" s="1" t="s">
        <v>37</v>
      </c>
      <c r="B304" s="1" t="s">
        <v>87</v>
      </c>
      <c r="C304">
        <v>5</v>
      </c>
      <c r="D304">
        <v>1</v>
      </c>
      <c r="E304">
        <v>2304</v>
      </c>
      <c r="F304">
        <v>9580</v>
      </c>
      <c r="G304">
        <v>3</v>
      </c>
      <c r="H304">
        <v>1985</v>
      </c>
      <c r="I304">
        <v>2023</v>
      </c>
      <c r="J304" s="1" t="s">
        <v>52</v>
      </c>
      <c r="K304">
        <v>0</v>
      </c>
      <c r="L304" s="1" t="s">
        <v>31</v>
      </c>
      <c r="M304" s="1" t="s">
        <v>24</v>
      </c>
      <c r="N304" s="1" t="s">
        <v>25</v>
      </c>
      <c r="O304">
        <v>10</v>
      </c>
      <c r="P304">
        <v>2</v>
      </c>
      <c r="Q304" s="1" t="s">
        <v>141</v>
      </c>
      <c r="R304">
        <v>1</v>
      </c>
      <c r="S304" s="1" t="s">
        <v>24</v>
      </c>
      <c r="T304">
        <v>18937000</v>
      </c>
      <c r="U304" t="s">
        <v>182</v>
      </c>
      <c r="V304" s="1" t="s">
        <v>176</v>
      </c>
      <c r="W304" s="1" t="s">
        <v>177</v>
      </c>
      <c r="X304" s="1" t="str">
        <f>VLOOKUP(V304,Broker_Directory!A:C,3,FALSE)</f>
        <v>Tier C</v>
      </c>
      <c r="Y304" s="1">
        <f>HLOOKUP(X304, Commission_Rates!A$1:C$2, 2, FALSE)</f>
        <v>0.01</v>
      </c>
      <c r="Z304" s="1">
        <f t="shared" si="12"/>
        <v>0</v>
      </c>
      <c r="AA304" s="1">
        <f t="shared" si="13"/>
        <v>0</v>
      </c>
      <c r="AB304" s="1">
        <f t="shared" si="14"/>
        <v>0</v>
      </c>
    </row>
    <row r="305" spans="1:28" x14ac:dyDescent="0.3">
      <c r="A305" s="1" t="s">
        <v>33</v>
      </c>
      <c r="B305" s="1" t="s">
        <v>43</v>
      </c>
      <c r="C305">
        <v>3</v>
      </c>
      <c r="D305">
        <v>3</v>
      </c>
      <c r="E305">
        <v>1018</v>
      </c>
      <c r="F305">
        <v>1871</v>
      </c>
      <c r="G305">
        <v>1</v>
      </c>
      <c r="H305">
        <v>2003</v>
      </c>
      <c r="I305">
        <v>2007</v>
      </c>
      <c r="J305" s="1" t="s">
        <v>52</v>
      </c>
      <c r="K305">
        <v>2</v>
      </c>
      <c r="L305" s="1" t="s">
        <v>31</v>
      </c>
      <c r="M305" s="1" t="s">
        <v>27</v>
      </c>
      <c r="N305" s="1" t="s">
        <v>35</v>
      </c>
      <c r="O305">
        <v>9</v>
      </c>
      <c r="P305">
        <v>2</v>
      </c>
      <c r="Q305" s="1" t="s">
        <v>83</v>
      </c>
      <c r="R305">
        <v>0</v>
      </c>
      <c r="S305" s="1" t="s">
        <v>27</v>
      </c>
      <c r="T305">
        <v>8913000</v>
      </c>
      <c r="U305" t="s">
        <v>183</v>
      </c>
      <c r="V305" s="1" t="s">
        <v>168</v>
      </c>
      <c r="W305" s="1" t="s">
        <v>169</v>
      </c>
      <c r="X305" s="1" t="str">
        <f>VLOOKUP(V305,Broker_Directory!A:C,3,FALSE)</f>
        <v>Tier A</v>
      </c>
      <c r="Y305" s="1">
        <f>HLOOKUP(X305, Commission_Rates!A$1:C$2, 2, FALSE)</f>
        <v>0.02</v>
      </c>
      <c r="Z305" s="1">
        <f t="shared" si="12"/>
        <v>0</v>
      </c>
      <c r="AA305" s="1">
        <f t="shared" si="13"/>
        <v>0</v>
      </c>
      <c r="AB305" s="1">
        <f t="shared" si="14"/>
        <v>0</v>
      </c>
    </row>
    <row r="306" spans="1:28" x14ac:dyDescent="0.3">
      <c r="A306" s="1" t="s">
        <v>53</v>
      </c>
      <c r="B306" s="1" t="s">
        <v>89</v>
      </c>
      <c r="C306">
        <v>4</v>
      </c>
      <c r="D306">
        <v>1</v>
      </c>
      <c r="E306">
        <v>3800</v>
      </c>
      <c r="F306">
        <v>8359</v>
      </c>
      <c r="G306">
        <v>1</v>
      </c>
      <c r="H306">
        <v>1987</v>
      </c>
      <c r="I306">
        <v>2016</v>
      </c>
      <c r="J306" s="1" t="s">
        <v>52</v>
      </c>
      <c r="K306">
        <v>0</v>
      </c>
      <c r="L306" s="1" t="s">
        <v>64</v>
      </c>
      <c r="M306" s="1" t="s">
        <v>27</v>
      </c>
      <c r="N306" s="1" t="s">
        <v>35</v>
      </c>
      <c r="O306">
        <v>6</v>
      </c>
      <c r="P306">
        <v>4</v>
      </c>
      <c r="Q306" s="1" t="s">
        <v>154</v>
      </c>
      <c r="R306">
        <v>1</v>
      </c>
      <c r="S306" s="1" t="s">
        <v>24</v>
      </c>
      <c r="T306">
        <v>34515000</v>
      </c>
      <c r="U306" t="s">
        <v>182</v>
      </c>
      <c r="V306" s="1" t="s">
        <v>179</v>
      </c>
      <c r="W306" s="1" t="s">
        <v>180</v>
      </c>
      <c r="X306" s="1" t="str">
        <f>VLOOKUP(V306,Broker_Directory!A:C,3,FALSE)</f>
        <v>Tier B</v>
      </c>
      <c r="Y306" s="1">
        <f>HLOOKUP(X306, Commission_Rates!A$1:C$2, 2, FALSE)</f>
        <v>1.4999999999999999E-2</v>
      </c>
      <c r="Z306" s="1">
        <f t="shared" si="12"/>
        <v>0</v>
      </c>
      <c r="AA306" s="1">
        <f t="shared" si="13"/>
        <v>0</v>
      </c>
      <c r="AB306" s="1">
        <f t="shared" si="14"/>
        <v>0</v>
      </c>
    </row>
    <row r="307" spans="1:28" x14ac:dyDescent="0.3">
      <c r="A307" s="1" t="s">
        <v>20</v>
      </c>
      <c r="B307" s="1" t="s">
        <v>133</v>
      </c>
      <c r="C307">
        <v>5</v>
      </c>
      <c r="D307">
        <v>1</v>
      </c>
      <c r="E307">
        <v>4262</v>
      </c>
      <c r="F307">
        <v>9953</v>
      </c>
      <c r="G307">
        <v>3</v>
      </c>
      <c r="H307">
        <v>1986</v>
      </c>
      <c r="I307">
        <v>2012</v>
      </c>
      <c r="J307" s="1" t="s">
        <v>30</v>
      </c>
      <c r="K307">
        <v>2</v>
      </c>
      <c r="L307" s="1" t="s">
        <v>64</v>
      </c>
      <c r="M307" s="1" t="s">
        <v>24</v>
      </c>
      <c r="N307" s="1" t="s">
        <v>35</v>
      </c>
      <c r="O307">
        <v>9</v>
      </c>
      <c r="P307">
        <v>3</v>
      </c>
      <c r="Q307" s="1" t="s">
        <v>158</v>
      </c>
      <c r="R307">
        <v>3</v>
      </c>
      <c r="S307" s="1" t="s">
        <v>24</v>
      </c>
      <c r="T307">
        <v>51604000</v>
      </c>
      <c r="U307" t="s">
        <v>182</v>
      </c>
      <c r="V307" s="1" t="s">
        <v>176</v>
      </c>
      <c r="W307" s="1" t="s">
        <v>177</v>
      </c>
      <c r="X307" s="1" t="str">
        <f>VLOOKUP(V307,Broker_Directory!A:C,3,FALSE)</f>
        <v>Tier C</v>
      </c>
      <c r="Y307" s="1">
        <f>HLOOKUP(X307, Commission_Rates!A$1:C$2, 2, FALSE)</f>
        <v>0.01</v>
      </c>
      <c r="Z307" s="1">
        <f t="shared" si="12"/>
        <v>0</v>
      </c>
      <c r="AA307" s="1">
        <f t="shared" si="13"/>
        <v>0</v>
      </c>
      <c r="AB307" s="1">
        <f t="shared" si="14"/>
        <v>0</v>
      </c>
    </row>
    <row r="308" spans="1:28" x14ac:dyDescent="0.3">
      <c r="A308" s="1" t="s">
        <v>33</v>
      </c>
      <c r="B308" s="1" t="s">
        <v>75</v>
      </c>
      <c r="C308">
        <v>3</v>
      </c>
      <c r="D308">
        <v>2</v>
      </c>
      <c r="E308">
        <v>312</v>
      </c>
      <c r="F308">
        <v>2298</v>
      </c>
      <c r="G308">
        <v>1</v>
      </c>
      <c r="H308">
        <v>2009</v>
      </c>
      <c r="I308">
        <v>2011</v>
      </c>
      <c r="J308" s="1" t="s">
        <v>52</v>
      </c>
      <c r="K308">
        <v>3</v>
      </c>
      <c r="L308" s="1" t="s">
        <v>41</v>
      </c>
      <c r="M308" s="1" t="s">
        <v>24</v>
      </c>
      <c r="N308" s="1" t="s">
        <v>46</v>
      </c>
      <c r="O308">
        <v>5</v>
      </c>
      <c r="P308">
        <v>4</v>
      </c>
      <c r="Q308" s="1" t="s">
        <v>135</v>
      </c>
      <c r="R308">
        <v>0</v>
      </c>
      <c r="S308" s="1" t="s">
        <v>24</v>
      </c>
      <c r="T308">
        <v>2957000</v>
      </c>
      <c r="U308" t="s">
        <v>184</v>
      </c>
      <c r="V308" s="1" t="s">
        <v>171</v>
      </c>
      <c r="W308" s="1" t="s">
        <v>172</v>
      </c>
      <c r="X308" s="1" t="str">
        <f>VLOOKUP(V308,Broker_Directory!A:C,3,FALSE)</f>
        <v>Tier B</v>
      </c>
      <c r="Y308" s="1">
        <f>HLOOKUP(X308, Commission_Rates!A$1:C$2, 2, FALSE)</f>
        <v>1.4999999999999999E-2</v>
      </c>
      <c r="Z308" s="1">
        <f t="shared" si="12"/>
        <v>44355</v>
      </c>
      <c r="AA308" s="1">
        <f t="shared" si="13"/>
        <v>88710</v>
      </c>
      <c r="AB308" s="1">
        <f t="shared" si="14"/>
        <v>44355</v>
      </c>
    </row>
    <row r="309" spans="1:28" x14ac:dyDescent="0.3">
      <c r="A309" s="1" t="s">
        <v>53</v>
      </c>
      <c r="B309" s="1" t="s">
        <v>89</v>
      </c>
      <c r="C309">
        <v>1</v>
      </c>
      <c r="D309">
        <v>3</v>
      </c>
      <c r="E309">
        <v>2759</v>
      </c>
      <c r="F309">
        <v>6959</v>
      </c>
      <c r="G309">
        <v>3</v>
      </c>
      <c r="H309">
        <v>1991</v>
      </c>
      <c r="I309">
        <v>0</v>
      </c>
      <c r="J309" s="1" t="s">
        <v>58</v>
      </c>
      <c r="K309">
        <v>2</v>
      </c>
      <c r="L309" s="1" t="s">
        <v>64</v>
      </c>
      <c r="M309" s="1" t="s">
        <v>27</v>
      </c>
      <c r="N309" s="1" t="s">
        <v>35</v>
      </c>
      <c r="O309">
        <v>9</v>
      </c>
      <c r="P309">
        <v>4</v>
      </c>
      <c r="Q309" s="1" t="s">
        <v>125</v>
      </c>
      <c r="R309">
        <v>1</v>
      </c>
      <c r="S309" s="1" t="s">
        <v>24</v>
      </c>
      <c r="T309">
        <v>25096000</v>
      </c>
      <c r="U309" t="s">
        <v>184</v>
      </c>
      <c r="V309" s="1" t="s">
        <v>168</v>
      </c>
      <c r="W309" s="1" t="s">
        <v>169</v>
      </c>
      <c r="X309" s="1" t="str">
        <f>VLOOKUP(V309,Broker_Directory!A:C,3,FALSE)</f>
        <v>Tier A</v>
      </c>
      <c r="Y309" s="1">
        <f>HLOOKUP(X309, Commission_Rates!A$1:C$2, 2, FALSE)</f>
        <v>0.02</v>
      </c>
      <c r="Z309" s="1">
        <f t="shared" si="12"/>
        <v>501920</v>
      </c>
      <c r="AA309" s="1">
        <f t="shared" si="13"/>
        <v>752880</v>
      </c>
      <c r="AB309" s="1">
        <f t="shared" si="14"/>
        <v>250960</v>
      </c>
    </row>
    <row r="310" spans="1:28" x14ac:dyDescent="0.3">
      <c r="A310" s="1" t="s">
        <v>53</v>
      </c>
      <c r="B310" s="1" t="s">
        <v>89</v>
      </c>
      <c r="C310">
        <v>4</v>
      </c>
      <c r="D310">
        <v>4</v>
      </c>
      <c r="E310">
        <v>591</v>
      </c>
      <c r="F310">
        <v>2865</v>
      </c>
      <c r="G310">
        <v>2</v>
      </c>
      <c r="H310">
        <v>1969</v>
      </c>
      <c r="I310">
        <v>2008</v>
      </c>
      <c r="J310" s="1" t="s">
        <v>22</v>
      </c>
      <c r="K310">
        <v>2</v>
      </c>
      <c r="L310" s="1" t="s">
        <v>41</v>
      </c>
      <c r="M310" s="1" t="s">
        <v>27</v>
      </c>
      <c r="N310" s="1" t="s">
        <v>35</v>
      </c>
      <c r="O310">
        <v>0</v>
      </c>
      <c r="P310">
        <v>4</v>
      </c>
      <c r="Q310" s="1" t="s">
        <v>90</v>
      </c>
      <c r="R310">
        <v>2</v>
      </c>
      <c r="S310" s="1" t="s">
        <v>24</v>
      </c>
      <c r="T310">
        <v>5759000</v>
      </c>
      <c r="U310" t="s">
        <v>183</v>
      </c>
      <c r="V310" s="1" t="s">
        <v>171</v>
      </c>
      <c r="W310" s="1" t="s">
        <v>172</v>
      </c>
      <c r="X310" s="1" t="str">
        <f>VLOOKUP(V310,Broker_Directory!A:C,3,FALSE)</f>
        <v>Tier B</v>
      </c>
      <c r="Y310" s="1">
        <f>HLOOKUP(X310, Commission_Rates!A$1:C$2, 2, FALSE)</f>
        <v>1.4999999999999999E-2</v>
      </c>
      <c r="Z310" s="1">
        <f t="shared" si="12"/>
        <v>0</v>
      </c>
      <c r="AA310" s="1">
        <f t="shared" si="13"/>
        <v>0</v>
      </c>
      <c r="AB310" s="1">
        <f t="shared" si="14"/>
        <v>0</v>
      </c>
    </row>
    <row r="311" spans="1:28" x14ac:dyDescent="0.3">
      <c r="A311" s="1" t="s">
        <v>28</v>
      </c>
      <c r="B311" s="1" t="s">
        <v>95</v>
      </c>
      <c r="C311">
        <v>3</v>
      </c>
      <c r="D311">
        <v>3</v>
      </c>
      <c r="E311">
        <v>842</v>
      </c>
      <c r="F311">
        <v>3338</v>
      </c>
      <c r="G311">
        <v>2</v>
      </c>
      <c r="H311">
        <v>1953</v>
      </c>
      <c r="I311">
        <v>1995</v>
      </c>
      <c r="J311" s="1" t="s">
        <v>22</v>
      </c>
      <c r="K311">
        <v>1</v>
      </c>
      <c r="L311" s="1" t="s">
        <v>41</v>
      </c>
      <c r="M311" s="1" t="s">
        <v>24</v>
      </c>
      <c r="N311" s="1" t="s">
        <v>35</v>
      </c>
      <c r="O311">
        <v>1</v>
      </c>
      <c r="P311">
        <v>2</v>
      </c>
      <c r="Q311" s="1" t="s">
        <v>129</v>
      </c>
      <c r="R311">
        <v>0</v>
      </c>
      <c r="S311" s="1" t="s">
        <v>27</v>
      </c>
      <c r="T311">
        <v>8725000</v>
      </c>
      <c r="U311" t="s">
        <v>184</v>
      </c>
      <c r="V311" s="1" t="s">
        <v>179</v>
      </c>
      <c r="W311" s="1" t="s">
        <v>180</v>
      </c>
      <c r="X311" s="1" t="str">
        <f>VLOOKUP(V311,Broker_Directory!A:C,3,FALSE)</f>
        <v>Tier B</v>
      </c>
      <c r="Y311" s="1">
        <f>HLOOKUP(X311, Commission_Rates!A$1:C$2, 2, FALSE)</f>
        <v>1.4999999999999999E-2</v>
      </c>
      <c r="Z311" s="1">
        <f t="shared" si="12"/>
        <v>130875</v>
      </c>
      <c r="AA311" s="1">
        <f t="shared" si="13"/>
        <v>261750</v>
      </c>
      <c r="AB311" s="1">
        <f t="shared" si="14"/>
        <v>130875</v>
      </c>
    </row>
    <row r="312" spans="1:28" x14ac:dyDescent="0.3">
      <c r="A312" s="1" t="s">
        <v>37</v>
      </c>
      <c r="B312" s="1" t="s">
        <v>87</v>
      </c>
      <c r="C312">
        <v>4</v>
      </c>
      <c r="D312">
        <v>2</v>
      </c>
      <c r="E312">
        <v>3344</v>
      </c>
      <c r="F312">
        <v>7096</v>
      </c>
      <c r="G312">
        <v>2</v>
      </c>
      <c r="H312">
        <v>1977</v>
      </c>
      <c r="I312">
        <v>2009</v>
      </c>
      <c r="J312" s="1" t="s">
        <v>30</v>
      </c>
      <c r="K312">
        <v>1</v>
      </c>
      <c r="L312" s="1" t="s">
        <v>23</v>
      </c>
      <c r="M312" s="1" t="s">
        <v>27</v>
      </c>
      <c r="N312" s="1" t="s">
        <v>25</v>
      </c>
      <c r="O312">
        <v>3</v>
      </c>
      <c r="P312">
        <v>0</v>
      </c>
      <c r="Q312" s="1" t="s">
        <v>138</v>
      </c>
      <c r="R312">
        <v>0</v>
      </c>
      <c r="S312" s="1" t="s">
        <v>27</v>
      </c>
      <c r="T312">
        <v>27127000</v>
      </c>
      <c r="U312" t="s">
        <v>183</v>
      </c>
      <c r="V312" s="1" t="s">
        <v>179</v>
      </c>
      <c r="W312" s="1" t="s">
        <v>180</v>
      </c>
      <c r="X312" s="1" t="str">
        <f>VLOOKUP(V312,Broker_Directory!A:C,3,FALSE)</f>
        <v>Tier B</v>
      </c>
      <c r="Y312" s="1">
        <f>HLOOKUP(X312, Commission_Rates!A$1:C$2, 2, FALSE)</f>
        <v>1.4999999999999999E-2</v>
      </c>
      <c r="Z312" s="1">
        <f t="shared" si="12"/>
        <v>0</v>
      </c>
      <c r="AA312" s="1">
        <f t="shared" si="13"/>
        <v>0</v>
      </c>
      <c r="AB312" s="1">
        <f t="shared" si="14"/>
        <v>0</v>
      </c>
    </row>
    <row r="313" spans="1:28" x14ac:dyDescent="0.3">
      <c r="A313" s="1" t="s">
        <v>33</v>
      </c>
      <c r="B313" s="1" t="s">
        <v>75</v>
      </c>
      <c r="C313">
        <v>2</v>
      </c>
      <c r="D313">
        <v>3</v>
      </c>
      <c r="E313">
        <v>4260</v>
      </c>
      <c r="F313">
        <v>8599</v>
      </c>
      <c r="G313">
        <v>2</v>
      </c>
      <c r="H313">
        <v>1991</v>
      </c>
      <c r="I313">
        <v>1999</v>
      </c>
      <c r="J313" s="1" t="s">
        <v>58</v>
      </c>
      <c r="K313">
        <v>1</v>
      </c>
      <c r="L313" s="1" t="s">
        <v>31</v>
      </c>
      <c r="M313" s="1" t="s">
        <v>24</v>
      </c>
      <c r="N313" s="1" t="s">
        <v>46</v>
      </c>
      <c r="O313">
        <v>6</v>
      </c>
      <c r="P313">
        <v>5</v>
      </c>
      <c r="Q313" s="1" t="s">
        <v>76</v>
      </c>
      <c r="R313">
        <v>0</v>
      </c>
      <c r="S313" s="1" t="s">
        <v>27</v>
      </c>
      <c r="T313">
        <v>36465000</v>
      </c>
      <c r="U313" t="s">
        <v>183</v>
      </c>
      <c r="V313" s="1" t="s">
        <v>176</v>
      </c>
      <c r="W313" s="1" t="s">
        <v>177</v>
      </c>
      <c r="X313" s="1" t="str">
        <f>VLOOKUP(V313,Broker_Directory!A:C,3,FALSE)</f>
        <v>Tier C</v>
      </c>
      <c r="Y313" s="1">
        <f>HLOOKUP(X313, Commission_Rates!A$1:C$2, 2, FALSE)</f>
        <v>0.01</v>
      </c>
      <c r="Z313" s="1">
        <f t="shared" si="12"/>
        <v>0</v>
      </c>
      <c r="AA313" s="1">
        <f t="shared" si="13"/>
        <v>0</v>
      </c>
      <c r="AB313" s="1">
        <f t="shared" si="14"/>
        <v>0</v>
      </c>
    </row>
    <row r="314" spans="1:28" x14ac:dyDescent="0.3">
      <c r="A314" s="1" t="s">
        <v>20</v>
      </c>
      <c r="B314" s="1" t="s">
        <v>133</v>
      </c>
      <c r="C314">
        <v>1</v>
      </c>
      <c r="D314">
        <v>3</v>
      </c>
      <c r="E314">
        <v>4124</v>
      </c>
      <c r="F314">
        <v>4551</v>
      </c>
      <c r="G314">
        <v>1</v>
      </c>
      <c r="H314">
        <v>2016</v>
      </c>
      <c r="I314">
        <v>2025</v>
      </c>
      <c r="J314" s="1" t="s">
        <v>30</v>
      </c>
      <c r="K314">
        <v>0</v>
      </c>
      <c r="L314" s="1" t="s">
        <v>64</v>
      </c>
      <c r="M314" s="1" t="s">
        <v>24</v>
      </c>
      <c r="N314" s="1" t="s">
        <v>46</v>
      </c>
      <c r="O314">
        <v>3</v>
      </c>
      <c r="P314">
        <v>1</v>
      </c>
      <c r="Q314" s="1" t="s">
        <v>148</v>
      </c>
      <c r="R314">
        <v>2</v>
      </c>
      <c r="S314" s="1" t="s">
        <v>27</v>
      </c>
      <c r="T314">
        <v>49703000</v>
      </c>
      <c r="U314" t="s">
        <v>184</v>
      </c>
      <c r="V314" s="1" t="s">
        <v>176</v>
      </c>
      <c r="W314" s="1" t="s">
        <v>177</v>
      </c>
      <c r="X314" s="1" t="str">
        <f>VLOOKUP(V314,Broker_Directory!A:C,3,FALSE)</f>
        <v>Tier C</v>
      </c>
      <c r="Y314" s="1">
        <f>HLOOKUP(X314, Commission_Rates!A$1:C$2, 2, FALSE)</f>
        <v>0.01</v>
      </c>
      <c r="Z314" s="1">
        <f t="shared" si="12"/>
        <v>497030</v>
      </c>
      <c r="AA314" s="1">
        <f t="shared" si="13"/>
        <v>1491090</v>
      </c>
      <c r="AB314" s="1">
        <f t="shared" si="14"/>
        <v>994060</v>
      </c>
    </row>
    <row r="315" spans="1:28" x14ac:dyDescent="0.3">
      <c r="A315" s="1" t="s">
        <v>37</v>
      </c>
      <c r="B315" s="1" t="s">
        <v>87</v>
      </c>
      <c r="C315">
        <v>3</v>
      </c>
      <c r="D315">
        <v>2</v>
      </c>
      <c r="E315">
        <v>1590</v>
      </c>
      <c r="F315">
        <v>6123</v>
      </c>
      <c r="G315">
        <v>1</v>
      </c>
      <c r="H315">
        <v>1951</v>
      </c>
      <c r="I315">
        <v>2021</v>
      </c>
      <c r="J315" s="1" t="s">
        <v>58</v>
      </c>
      <c r="K315">
        <v>1</v>
      </c>
      <c r="L315" s="1" t="s">
        <v>64</v>
      </c>
      <c r="M315" s="1" t="s">
        <v>27</v>
      </c>
      <c r="N315" s="1" t="s">
        <v>46</v>
      </c>
      <c r="O315">
        <v>2</v>
      </c>
      <c r="P315">
        <v>5</v>
      </c>
      <c r="Q315" s="1" t="s">
        <v>88</v>
      </c>
      <c r="R315">
        <v>1</v>
      </c>
      <c r="S315" s="1" t="s">
        <v>24</v>
      </c>
      <c r="T315">
        <v>13015000</v>
      </c>
      <c r="U315" t="s">
        <v>184</v>
      </c>
      <c r="V315" s="1" t="s">
        <v>179</v>
      </c>
      <c r="W315" s="1" t="s">
        <v>180</v>
      </c>
      <c r="X315" s="1" t="str">
        <f>VLOOKUP(V315,Broker_Directory!A:C,3,FALSE)</f>
        <v>Tier B</v>
      </c>
      <c r="Y315" s="1">
        <f>HLOOKUP(X315, Commission_Rates!A$1:C$2, 2, FALSE)</f>
        <v>1.4999999999999999E-2</v>
      </c>
      <c r="Z315" s="1">
        <f t="shared" si="12"/>
        <v>195225</v>
      </c>
      <c r="AA315" s="1">
        <f t="shared" si="13"/>
        <v>390450</v>
      </c>
      <c r="AB315" s="1">
        <f t="shared" si="14"/>
        <v>195225</v>
      </c>
    </row>
    <row r="316" spans="1:28" x14ac:dyDescent="0.3">
      <c r="A316" s="1" t="s">
        <v>20</v>
      </c>
      <c r="B316" s="1" t="s">
        <v>69</v>
      </c>
      <c r="C316">
        <v>5</v>
      </c>
      <c r="D316">
        <v>3</v>
      </c>
      <c r="E316">
        <v>4728</v>
      </c>
      <c r="F316">
        <v>8412</v>
      </c>
      <c r="G316">
        <v>1</v>
      </c>
      <c r="H316">
        <v>1966</v>
      </c>
      <c r="I316">
        <v>1966</v>
      </c>
      <c r="J316" s="1" t="s">
        <v>22</v>
      </c>
      <c r="K316">
        <v>0</v>
      </c>
      <c r="L316" s="1" t="s">
        <v>23</v>
      </c>
      <c r="M316" s="1" t="s">
        <v>27</v>
      </c>
      <c r="N316" s="1" t="s">
        <v>25</v>
      </c>
      <c r="O316">
        <v>1</v>
      </c>
      <c r="P316">
        <v>3</v>
      </c>
      <c r="Q316" s="1" t="s">
        <v>120</v>
      </c>
      <c r="R316">
        <v>1</v>
      </c>
      <c r="S316" s="1" t="s">
        <v>27</v>
      </c>
      <c r="T316">
        <v>57186000</v>
      </c>
      <c r="U316" t="s">
        <v>182</v>
      </c>
      <c r="V316" s="1" t="s">
        <v>179</v>
      </c>
      <c r="W316" s="1" t="s">
        <v>180</v>
      </c>
      <c r="X316" s="1" t="str">
        <f>VLOOKUP(V316,Broker_Directory!A:C,3,FALSE)</f>
        <v>Tier B</v>
      </c>
      <c r="Y316" s="1">
        <f>HLOOKUP(X316, Commission_Rates!A$1:C$2, 2, FALSE)</f>
        <v>1.4999999999999999E-2</v>
      </c>
      <c r="Z316" s="1">
        <f t="shared" si="12"/>
        <v>0</v>
      </c>
      <c r="AA316" s="1">
        <f t="shared" si="13"/>
        <v>0</v>
      </c>
      <c r="AB316" s="1">
        <f t="shared" si="14"/>
        <v>0</v>
      </c>
    </row>
    <row r="317" spans="1:28" x14ac:dyDescent="0.3">
      <c r="A317" s="1" t="s">
        <v>33</v>
      </c>
      <c r="B317" s="1" t="s">
        <v>34</v>
      </c>
      <c r="C317">
        <v>3</v>
      </c>
      <c r="D317">
        <v>3</v>
      </c>
      <c r="E317">
        <v>1923</v>
      </c>
      <c r="F317">
        <v>7813</v>
      </c>
      <c r="G317">
        <v>3</v>
      </c>
      <c r="H317">
        <v>2018</v>
      </c>
      <c r="I317">
        <v>2018</v>
      </c>
      <c r="J317" s="1" t="s">
        <v>22</v>
      </c>
      <c r="K317">
        <v>1</v>
      </c>
      <c r="L317" s="1" t="s">
        <v>23</v>
      </c>
      <c r="M317" s="1" t="s">
        <v>27</v>
      </c>
      <c r="N317" s="1" t="s">
        <v>25</v>
      </c>
      <c r="O317">
        <v>7</v>
      </c>
      <c r="P317">
        <v>2</v>
      </c>
      <c r="Q317" s="1" t="s">
        <v>85</v>
      </c>
      <c r="R317">
        <v>3</v>
      </c>
      <c r="S317" s="1" t="s">
        <v>24</v>
      </c>
      <c r="T317">
        <v>16815500</v>
      </c>
      <c r="U317" t="s">
        <v>184</v>
      </c>
      <c r="V317" s="1" t="s">
        <v>179</v>
      </c>
      <c r="W317" s="1" t="s">
        <v>180</v>
      </c>
      <c r="X317" s="1" t="str">
        <f>VLOOKUP(V317,Broker_Directory!A:C,3,FALSE)</f>
        <v>Tier B</v>
      </c>
      <c r="Y317" s="1">
        <f>HLOOKUP(X317, Commission_Rates!A$1:C$2, 2, FALSE)</f>
        <v>1.4999999999999999E-2</v>
      </c>
      <c r="Z317" s="1">
        <f t="shared" si="12"/>
        <v>252232.5</v>
      </c>
      <c r="AA317" s="1">
        <f t="shared" si="13"/>
        <v>504465</v>
      </c>
      <c r="AB317" s="1">
        <f t="shared" si="14"/>
        <v>252232.5</v>
      </c>
    </row>
    <row r="318" spans="1:28" x14ac:dyDescent="0.3">
      <c r="A318" s="1" t="s">
        <v>28</v>
      </c>
      <c r="B318" s="1" t="s">
        <v>110</v>
      </c>
      <c r="C318">
        <v>5</v>
      </c>
      <c r="D318">
        <v>3</v>
      </c>
      <c r="E318">
        <v>3277</v>
      </c>
      <c r="F318">
        <v>6538</v>
      </c>
      <c r="G318">
        <v>1</v>
      </c>
      <c r="H318">
        <v>1992</v>
      </c>
      <c r="I318">
        <v>2011</v>
      </c>
      <c r="J318" s="1" t="s">
        <v>22</v>
      </c>
      <c r="K318">
        <v>3</v>
      </c>
      <c r="L318" s="1" t="s">
        <v>23</v>
      </c>
      <c r="M318" s="1" t="s">
        <v>24</v>
      </c>
      <c r="N318" s="1" t="s">
        <v>46</v>
      </c>
      <c r="O318">
        <v>1</v>
      </c>
      <c r="P318">
        <v>2</v>
      </c>
      <c r="Q318" s="1" t="s">
        <v>155</v>
      </c>
      <c r="R318">
        <v>3</v>
      </c>
      <c r="S318" s="1" t="s">
        <v>24</v>
      </c>
      <c r="T318">
        <v>33250000</v>
      </c>
      <c r="U318" t="s">
        <v>183</v>
      </c>
      <c r="V318" s="1" t="s">
        <v>174</v>
      </c>
      <c r="W318" s="1" t="s">
        <v>175</v>
      </c>
      <c r="X318" s="1" t="str">
        <f>VLOOKUP(V318,Broker_Directory!A:C,3,FALSE)</f>
        <v>Tier A</v>
      </c>
      <c r="Y318" s="1">
        <f>HLOOKUP(X318, Commission_Rates!A$1:C$2, 2, FALSE)</f>
        <v>0.02</v>
      </c>
      <c r="Z318" s="1">
        <f t="shared" si="12"/>
        <v>0</v>
      </c>
      <c r="AA318" s="1">
        <f t="shared" si="13"/>
        <v>0</v>
      </c>
      <c r="AB318" s="1">
        <f t="shared" si="14"/>
        <v>0</v>
      </c>
    </row>
    <row r="319" spans="1:28" x14ac:dyDescent="0.3">
      <c r="A319" s="1" t="s">
        <v>53</v>
      </c>
      <c r="B319" s="1" t="s">
        <v>89</v>
      </c>
      <c r="C319">
        <v>5</v>
      </c>
      <c r="D319">
        <v>2</v>
      </c>
      <c r="E319">
        <v>4461</v>
      </c>
      <c r="F319">
        <v>5354</v>
      </c>
      <c r="G319">
        <v>2</v>
      </c>
      <c r="H319">
        <v>1963</v>
      </c>
      <c r="I319">
        <v>2003</v>
      </c>
      <c r="J319" s="1" t="s">
        <v>58</v>
      </c>
      <c r="K319">
        <v>2</v>
      </c>
      <c r="L319" s="1" t="s">
        <v>41</v>
      </c>
      <c r="M319" s="1" t="s">
        <v>27</v>
      </c>
      <c r="N319" s="1" t="s">
        <v>35</v>
      </c>
      <c r="O319">
        <v>6</v>
      </c>
      <c r="P319">
        <v>1</v>
      </c>
      <c r="Q319" s="1" t="s">
        <v>154</v>
      </c>
      <c r="R319">
        <v>1</v>
      </c>
      <c r="S319" s="1" t="s">
        <v>27</v>
      </c>
      <c r="T319">
        <v>40514000</v>
      </c>
      <c r="U319" t="s">
        <v>184</v>
      </c>
      <c r="V319" s="1" t="s">
        <v>179</v>
      </c>
      <c r="W319" s="1" t="s">
        <v>180</v>
      </c>
      <c r="X319" s="1" t="str">
        <f>VLOOKUP(V319,Broker_Directory!A:C,3,FALSE)</f>
        <v>Tier B</v>
      </c>
      <c r="Y319" s="1">
        <f>HLOOKUP(X319, Commission_Rates!A$1:C$2, 2, FALSE)</f>
        <v>1.4999999999999999E-2</v>
      </c>
      <c r="Z319" s="1">
        <f t="shared" si="12"/>
        <v>607710</v>
      </c>
      <c r="AA319" s="1">
        <f t="shared" si="13"/>
        <v>1215420</v>
      </c>
      <c r="AB319" s="1">
        <f t="shared" si="14"/>
        <v>607710</v>
      </c>
    </row>
    <row r="320" spans="1:28" x14ac:dyDescent="0.3">
      <c r="A320" s="1" t="s">
        <v>37</v>
      </c>
      <c r="B320" s="1" t="s">
        <v>87</v>
      </c>
      <c r="C320">
        <v>3</v>
      </c>
      <c r="D320">
        <v>2</v>
      </c>
      <c r="E320">
        <v>3831</v>
      </c>
      <c r="F320">
        <v>7447</v>
      </c>
      <c r="G320">
        <v>3</v>
      </c>
      <c r="H320">
        <v>1993</v>
      </c>
      <c r="I320">
        <v>2007</v>
      </c>
      <c r="J320" s="1" t="s">
        <v>52</v>
      </c>
      <c r="K320">
        <v>0</v>
      </c>
      <c r="L320" s="1" t="s">
        <v>41</v>
      </c>
      <c r="M320" s="1" t="s">
        <v>24</v>
      </c>
      <c r="N320" s="1" t="s">
        <v>35</v>
      </c>
      <c r="O320">
        <v>9</v>
      </c>
      <c r="P320">
        <v>3</v>
      </c>
      <c r="Q320" s="1" t="s">
        <v>88</v>
      </c>
      <c r="R320">
        <v>0</v>
      </c>
      <c r="S320" s="1" t="s">
        <v>27</v>
      </c>
      <c r="T320">
        <v>30943000</v>
      </c>
      <c r="U320" t="s">
        <v>183</v>
      </c>
      <c r="V320" s="1" t="s">
        <v>168</v>
      </c>
      <c r="W320" s="1" t="s">
        <v>169</v>
      </c>
      <c r="X320" s="1" t="str">
        <f>VLOOKUP(V320,Broker_Directory!A:C,3,FALSE)</f>
        <v>Tier A</v>
      </c>
      <c r="Y320" s="1">
        <f>HLOOKUP(X320, Commission_Rates!A$1:C$2, 2, FALSE)</f>
        <v>0.02</v>
      </c>
      <c r="Z320" s="1">
        <f t="shared" si="12"/>
        <v>0</v>
      </c>
      <c r="AA320" s="1">
        <f t="shared" si="13"/>
        <v>0</v>
      </c>
      <c r="AB320" s="1">
        <f t="shared" si="14"/>
        <v>0</v>
      </c>
    </row>
    <row r="321" spans="1:28" x14ac:dyDescent="0.3">
      <c r="A321" s="1" t="s">
        <v>28</v>
      </c>
      <c r="B321" s="1" t="s">
        <v>79</v>
      </c>
      <c r="C321">
        <v>4</v>
      </c>
      <c r="D321">
        <v>1</v>
      </c>
      <c r="E321">
        <v>1190</v>
      </c>
      <c r="F321">
        <v>7448</v>
      </c>
      <c r="G321">
        <v>2</v>
      </c>
      <c r="H321">
        <v>2013</v>
      </c>
      <c r="I321">
        <v>2022</v>
      </c>
      <c r="J321" s="1" t="s">
        <v>58</v>
      </c>
      <c r="K321">
        <v>0</v>
      </c>
      <c r="L321" s="1" t="s">
        <v>31</v>
      </c>
      <c r="M321" s="1" t="s">
        <v>24</v>
      </c>
      <c r="N321" s="1" t="s">
        <v>35</v>
      </c>
      <c r="O321">
        <v>10</v>
      </c>
      <c r="P321">
        <v>0</v>
      </c>
      <c r="Q321" s="1" t="s">
        <v>139</v>
      </c>
      <c r="R321">
        <v>1</v>
      </c>
      <c r="S321" s="1" t="s">
        <v>27</v>
      </c>
      <c r="T321">
        <v>12210000</v>
      </c>
      <c r="U321" t="s">
        <v>184</v>
      </c>
      <c r="V321" s="1" t="s">
        <v>176</v>
      </c>
      <c r="W321" s="1" t="s">
        <v>177</v>
      </c>
      <c r="X321" s="1" t="str">
        <f>VLOOKUP(V321,Broker_Directory!A:C,3,FALSE)</f>
        <v>Tier C</v>
      </c>
      <c r="Y321" s="1">
        <f>HLOOKUP(X321, Commission_Rates!A$1:C$2, 2, FALSE)</f>
        <v>0.01</v>
      </c>
      <c r="Z321" s="1">
        <f t="shared" si="12"/>
        <v>122100</v>
      </c>
      <c r="AA321" s="1">
        <f t="shared" si="13"/>
        <v>366300</v>
      </c>
      <c r="AB321" s="1">
        <f t="shared" si="14"/>
        <v>244200</v>
      </c>
    </row>
    <row r="322" spans="1:28" x14ac:dyDescent="0.3">
      <c r="A322" s="1" t="s">
        <v>33</v>
      </c>
      <c r="B322" s="1" t="s">
        <v>34</v>
      </c>
      <c r="C322">
        <v>4</v>
      </c>
      <c r="D322">
        <v>4</v>
      </c>
      <c r="E322">
        <v>1902</v>
      </c>
      <c r="F322">
        <v>3636</v>
      </c>
      <c r="G322">
        <v>3</v>
      </c>
      <c r="H322">
        <v>1990</v>
      </c>
      <c r="I322">
        <v>2008</v>
      </c>
      <c r="J322" s="1" t="s">
        <v>30</v>
      </c>
      <c r="K322">
        <v>3</v>
      </c>
      <c r="L322" s="1" t="s">
        <v>64</v>
      </c>
      <c r="M322" s="1" t="s">
        <v>24</v>
      </c>
      <c r="N322" s="1" t="s">
        <v>35</v>
      </c>
      <c r="O322">
        <v>0</v>
      </c>
      <c r="P322">
        <v>4</v>
      </c>
      <c r="Q322" s="1" t="s">
        <v>85</v>
      </c>
      <c r="R322">
        <v>1</v>
      </c>
      <c r="S322" s="1" t="s">
        <v>27</v>
      </c>
      <c r="T322">
        <v>16587000</v>
      </c>
      <c r="U322" t="s">
        <v>182</v>
      </c>
      <c r="V322" s="1" t="s">
        <v>176</v>
      </c>
      <c r="W322" s="1" t="s">
        <v>177</v>
      </c>
      <c r="X322" s="1" t="str">
        <f>VLOOKUP(V322,Broker_Directory!A:C,3,FALSE)</f>
        <v>Tier C</v>
      </c>
      <c r="Y322" s="1">
        <f>HLOOKUP(X322, Commission_Rates!A$1:C$2, 2, FALSE)</f>
        <v>0.01</v>
      </c>
      <c r="Z322" s="1">
        <f t="shared" ref="Z322:Z385" si="15">IF(U322="Sold",T322*Y322,0)</f>
        <v>0</v>
      </c>
      <c r="AA322" s="1">
        <f t="shared" ref="AA322:AA385" si="16">IF(U322="Sold", T322 * 0.03, 0)</f>
        <v>0</v>
      </c>
      <c r="AB322" s="1">
        <f t="shared" ref="AB322:AB385" si="17">AA322 - Z322</f>
        <v>0</v>
      </c>
    </row>
    <row r="323" spans="1:28" x14ac:dyDescent="0.3">
      <c r="A323" s="1" t="s">
        <v>20</v>
      </c>
      <c r="B323" s="1" t="s">
        <v>69</v>
      </c>
      <c r="C323">
        <v>5</v>
      </c>
      <c r="D323">
        <v>1</v>
      </c>
      <c r="E323">
        <v>306</v>
      </c>
      <c r="F323">
        <v>9531</v>
      </c>
      <c r="G323">
        <v>2</v>
      </c>
      <c r="H323">
        <v>1964</v>
      </c>
      <c r="I323">
        <v>2018</v>
      </c>
      <c r="J323" s="1" t="s">
        <v>30</v>
      </c>
      <c r="K323">
        <v>0</v>
      </c>
      <c r="L323" s="1" t="s">
        <v>31</v>
      </c>
      <c r="M323" s="1" t="s">
        <v>27</v>
      </c>
      <c r="N323" s="1" t="s">
        <v>35</v>
      </c>
      <c r="O323">
        <v>9</v>
      </c>
      <c r="P323">
        <v>3</v>
      </c>
      <c r="Q323" s="1" t="s">
        <v>103</v>
      </c>
      <c r="R323">
        <v>3</v>
      </c>
      <c r="S323" s="1" t="s">
        <v>27</v>
      </c>
      <c r="T323">
        <v>4037000</v>
      </c>
      <c r="U323" t="s">
        <v>182</v>
      </c>
      <c r="V323" s="1" t="s">
        <v>174</v>
      </c>
      <c r="W323" s="1" t="s">
        <v>175</v>
      </c>
      <c r="X323" s="1" t="str">
        <f>VLOOKUP(V323,Broker_Directory!A:C,3,FALSE)</f>
        <v>Tier A</v>
      </c>
      <c r="Y323" s="1">
        <f>HLOOKUP(X323, Commission_Rates!A$1:C$2, 2, FALSE)</f>
        <v>0.02</v>
      </c>
      <c r="Z323" s="1">
        <f t="shared" si="15"/>
        <v>0</v>
      </c>
      <c r="AA323" s="1">
        <f t="shared" si="16"/>
        <v>0</v>
      </c>
      <c r="AB323" s="1">
        <f t="shared" si="17"/>
        <v>0</v>
      </c>
    </row>
    <row r="324" spans="1:28" x14ac:dyDescent="0.3">
      <c r="A324" s="1" t="s">
        <v>37</v>
      </c>
      <c r="B324" s="1" t="s">
        <v>72</v>
      </c>
      <c r="C324">
        <v>5</v>
      </c>
      <c r="D324">
        <v>2</v>
      </c>
      <c r="E324">
        <v>1720</v>
      </c>
      <c r="F324">
        <v>9550</v>
      </c>
      <c r="G324">
        <v>1</v>
      </c>
      <c r="H324">
        <v>1974</v>
      </c>
      <c r="I324">
        <v>2008</v>
      </c>
      <c r="J324" s="1" t="s">
        <v>22</v>
      </c>
      <c r="K324">
        <v>2</v>
      </c>
      <c r="L324" s="1" t="s">
        <v>41</v>
      </c>
      <c r="M324" s="1" t="s">
        <v>24</v>
      </c>
      <c r="N324" s="1" t="s">
        <v>46</v>
      </c>
      <c r="O324">
        <v>10</v>
      </c>
      <c r="P324">
        <v>1</v>
      </c>
      <c r="Q324" s="1" t="s">
        <v>73</v>
      </c>
      <c r="R324">
        <v>0</v>
      </c>
      <c r="S324" s="1" t="s">
        <v>24</v>
      </c>
      <c r="T324">
        <v>14165000</v>
      </c>
      <c r="U324" t="s">
        <v>183</v>
      </c>
      <c r="V324" s="1" t="s">
        <v>179</v>
      </c>
      <c r="W324" s="1" t="s">
        <v>180</v>
      </c>
      <c r="X324" s="1" t="str">
        <f>VLOOKUP(V324,Broker_Directory!A:C,3,FALSE)</f>
        <v>Tier B</v>
      </c>
      <c r="Y324" s="1">
        <f>HLOOKUP(X324, Commission_Rates!A$1:C$2, 2, FALSE)</f>
        <v>1.4999999999999999E-2</v>
      </c>
      <c r="Z324" s="1">
        <f t="shared" si="15"/>
        <v>0</v>
      </c>
      <c r="AA324" s="1">
        <f t="shared" si="16"/>
        <v>0</v>
      </c>
      <c r="AB324" s="1">
        <f t="shared" si="17"/>
        <v>0</v>
      </c>
    </row>
    <row r="325" spans="1:28" x14ac:dyDescent="0.3">
      <c r="A325" s="1" t="s">
        <v>20</v>
      </c>
      <c r="B325" s="1" t="s">
        <v>40</v>
      </c>
      <c r="C325">
        <v>4</v>
      </c>
      <c r="D325">
        <v>4</v>
      </c>
      <c r="E325">
        <v>1412</v>
      </c>
      <c r="F325">
        <v>2849</v>
      </c>
      <c r="G325">
        <v>1</v>
      </c>
      <c r="H325">
        <v>2003</v>
      </c>
      <c r="I325">
        <v>2016</v>
      </c>
      <c r="J325" s="1" t="s">
        <v>22</v>
      </c>
      <c r="K325">
        <v>1</v>
      </c>
      <c r="L325" s="1" t="s">
        <v>41</v>
      </c>
      <c r="M325" s="1" t="s">
        <v>27</v>
      </c>
      <c r="N325" s="1" t="s">
        <v>35</v>
      </c>
      <c r="O325">
        <v>7</v>
      </c>
      <c r="P325">
        <v>3</v>
      </c>
      <c r="Q325" s="1" t="s">
        <v>42</v>
      </c>
      <c r="R325">
        <v>1</v>
      </c>
      <c r="S325" s="1" t="s">
        <v>24</v>
      </c>
      <c r="T325">
        <v>17349000</v>
      </c>
      <c r="U325" t="s">
        <v>182</v>
      </c>
      <c r="V325" s="1" t="s">
        <v>179</v>
      </c>
      <c r="W325" s="1" t="s">
        <v>180</v>
      </c>
      <c r="X325" s="1" t="str">
        <f>VLOOKUP(V325,Broker_Directory!A:C,3,FALSE)</f>
        <v>Tier B</v>
      </c>
      <c r="Y325" s="1">
        <f>HLOOKUP(X325, Commission_Rates!A$1:C$2, 2, FALSE)</f>
        <v>1.4999999999999999E-2</v>
      </c>
      <c r="Z325" s="1">
        <f t="shared" si="15"/>
        <v>0</v>
      </c>
      <c r="AA325" s="1">
        <f t="shared" si="16"/>
        <v>0</v>
      </c>
      <c r="AB325" s="1">
        <f t="shared" si="17"/>
        <v>0</v>
      </c>
    </row>
    <row r="326" spans="1:28" x14ac:dyDescent="0.3">
      <c r="A326" s="1" t="s">
        <v>37</v>
      </c>
      <c r="B326" s="1" t="s">
        <v>45</v>
      </c>
      <c r="C326">
        <v>1</v>
      </c>
      <c r="D326">
        <v>4</v>
      </c>
      <c r="E326">
        <v>2239</v>
      </c>
      <c r="F326">
        <v>8122</v>
      </c>
      <c r="G326">
        <v>3</v>
      </c>
      <c r="H326">
        <v>1984</v>
      </c>
      <c r="I326">
        <v>2009</v>
      </c>
      <c r="J326" s="1" t="s">
        <v>30</v>
      </c>
      <c r="K326">
        <v>0</v>
      </c>
      <c r="L326" s="1" t="s">
        <v>23</v>
      </c>
      <c r="M326" s="1" t="s">
        <v>27</v>
      </c>
      <c r="N326" s="1" t="s">
        <v>35</v>
      </c>
      <c r="O326">
        <v>5</v>
      </c>
      <c r="P326">
        <v>0</v>
      </c>
      <c r="Q326" s="1" t="s">
        <v>122</v>
      </c>
      <c r="R326">
        <v>0</v>
      </c>
      <c r="S326" s="1" t="s">
        <v>24</v>
      </c>
      <c r="T326">
        <v>18192000</v>
      </c>
      <c r="U326" t="s">
        <v>182</v>
      </c>
      <c r="V326" s="1" t="s">
        <v>179</v>
      </c>
      <c r="W326" s="1" t="s">
        <v>180</v>
      </c>
      <c r="X326" s="1" t="str">
        <f>VLOOKUP(V326,Broker_Directory!A:C,3,FALSE)</f>
        <v>Tier B</v>
      </c>
      <c r="Y326" s="1">
        <f>HLOOKUP(X326, Commission_Rates!A$1:C$2, 2, FALSE)</f>
        <v>1.4999999999999999E-2</v>
      </c>
      <c r="Z326" s="1">
        <f t="shared" si="15"/>
        <v>0</v>
      </c>
      <c r="AA326" s="1">
        <f t="shared" si="16"/>
        <v>0</v>
      </c>
      <c r="AB326" s="1">
        <f t="shared" si="17"/>
        <v>0</v>
      </c>
    </row>
    <row r="327" spans="1:28" x14ac:dyDescent="0.3">
      <c r="A327" s="1" t="s">
        <v>33</v>
      </c>
      <c r="B327" s="1" t="s">
        <v>34</v>
      </c>
      <c r="C327">
        <v>4</v>
      </c>
      <c r="D327">
        <v>1</v>
      </c>
      <c r="E327">
        <v>4587</v>
      </c>
      <c r="F327">
        <v>9634</v>
      </c>
      <c r="G327">
        <v>1</v>
      </c>
      <c r="H327">
        <v>1981</v>
      </c>
      <c r="I327">
        <v>2010</v>
      </c>
      <c r="J327" s="1" t="s">
        <v>58</v>
      </c>
      <c r="K327">
        <v>2</v>
      </c>
      <c r="L327" s="1" t="s">
        <v>23</v>
      </c>
      <c r="M327" s="1" t="s">
        <v>27</v>
      </c>
      <c r="N327" s="1" t="s">
        <v>35</v>
      </c>
      <c r="O327">
        <v>0</v>
      </c>
      <c r="P327">
        <v>3</v>
      </c>
      <c r="Q327" s="1" t="s">
        <v>85</v>
      </c>
      <c r="R327">
        <v>3</v>
      </c>
      <c r="S327" s="1" t="s">
        <v>27</v>
      </c>
      <c r="T327">
        <v>39284500</v>
      </c>
      <c r="U327" t="s">
        <v>182</v>
      </c>
      <c r="V327" s="1" t="s">
        <v>168</v>
      </c>
      <c r="W327" s="1" t="s">
        <v>169</v>
      </c>
      <c r="X327" s="1" t="str">
        <f>VLOOKUP(V327,Broker_Directory!A:C,3,FALSE)</f>
        <v>Tier A</v>
      </c>
      <c r="Y327" s="1">
        <f>HLOOKUP(X327, Commission_Rates!A$1:C$2, 2, FALSE)</f>
        <v>0.02</v>
      </c>
      <c r="Z327" s="1">
        <f t="shared" si="15"/>
        <v>0</v>
      </c>
      <c r="AA327" s="1">
        <f t="shared" si="16"/>
        <v>0</v>
      </c>
      <c r="AB327" s="1">
        <f t="shared" si="17"/>
        <v>0</v>
      </c>
    </row>
    <row r="328" spans="1:28" x14ac:dyDescent="0.3">
      <c r="A328" s="1" t="s">
        <v>37</v>
      </c>
      <c r="B328" s="1" t="s">
        <v>38</v>
      </c>
      <c r="C328">
        <v>3</v>
      </c>
      <c r="D328">
        <v>3</v>
      </c>
      <c r="E328">
        <v>1672</v>
      </c>
      <c r="F328">
        <v>2300</v>
      </c>
      <c r="G328">
        <v>3</v>
      </c>
      <c r="H328">
        <v>1988</v>
      </c>
      <c r="I328">
        <v>2023</v>
      </c>
      <c r="J328" s="1" t="s">
        <v>30</v>
      </c>
      <c r="K328">
        <v>0</v>
      </c>
      <c r="L328" s="1" t="s">
        <v>41</v>
      </c>
      <c r="M328" s="1" t="s">
        <v>24</v>
      </c>
      <c r="N328" s="1" t="s">
        <v>35</v>
      </c>
      <c r="O328">
        <v>0</v>
      </c>
      <c r="P328">
        <v>5</v>
      </c>
      <c r="Q328" s="1" t="s">
        <v>39</v>
      </c>
      <c r="R328">
        <v>0</v>
      </c>
      <c r="S328" s="1" t="s">
        <v>27</v>
      </c>
      <c r="T328">
        <v>13701000</v>
      </c>
      <c r="U328" t="s">
        <v>184</v>
      </c>
      <c r="V328" s="1" t="s">
        <v>168</v>
      </c>
      <c r="W328" s="1" t="s">
        <v>169</v>
      </c>
      <c r="X328" s="1" t="str">
        <f>VLOOKUP(V328,Broker_Directory!A:C,3,FALSE)</f>
        <v>Tier A</v>
      </c>
      <c r="Y328" s="1">
        <f>HLOOKUP(X328, Commission_Rates!A$1:C$2, 2, FALSE)</f>
        <v>0.02</v>
      </c>
      <c r="Z328" s="1">
        <f t="shared" si="15"/>
        <v>274020</v>
      </c>
      <c r="AA328" s="1">
        <f t="shared" si="16"/>
        <v>411030</v>
      </c>
      <c r="AB328" s="1">
        <f t="shared" si="17"/>
        <v>137010</v>
      </c>
    </row>
    <row r="329" spans="1:28" x14ac:dyDescent="0.3">
      <c r="A329" s="1" t="s">
        <v>37</v>
      </c>
      <c r="B329" s="1" t="s">
        <v>87</v>
      </c>
      <c r="C329">
        <v>2</v>
      </c>
      <c r="D329">
        <v>1</v>
      </c>
      <c r="E329">
        <v>2576</v>
      </c>
      <c r="F329">
        <v>4690</v>
      </c>
      <c r="G329">
        <v>1</v>
      </c>
      <c r="H329">
        <v>1985</v>
      </c>
      <c r="I329">
        <v>2001</v>
      </c>
      <c r="J329" s="1" t="s">
        <v>30</v>
      </c>
      <c r="K329">
        <v>0</v>
      </c>
      <c r="L329" s="1" t="s">
        <v>23</v>
      </c>
      <c r="M329" s="1" t="s">
        <v>24</v>
      </c>
      <c r="N329" s="1" t="s">
        <v>35</v>
      </c>
      <c r="O329">
        <v>2</v>
      </c>
      <c r="P329">
        <v>5</v>
      </c>
      <c r="Q329" s="1" t="s">
        <v>138</v>
      </c>
      <c r="R329">
        <v>2</v>
      </c>
      <c r="S329" s="1" t="s">
        <v>24</v>
      </c>
      <c r="T329">
        <v>20863000</v>
      </c>
      <c r="U329" t="s">
        <v>182</v>
      </c>
      <c r="V329" s="1" t="s">
        <v>176</v>
      </c>
      <c r="W329" s="1" t="s">
        <v>177</v>
      </c>
      <c r="X329" s="1" t="str">
        <f>VLOOKUP(V329,Broker_Directory!A:C,3,FALSE)</f>
        <v>Tier C</v>
      </c>
      <c r="Y329" s="1">
        <f>HLOOKUP(X329, Commission_Rates!A$1:C$2, 2, FALSE)</f>
        <v>0.01</v>
      </c>
      <c r="Z329" s="1">
        <f t="shared" si="15"/>
        <v>0</v>
      </c>
      <c r="AA329" s="1">
        <f t="shared" si="16"/>
        <v>0</v>
      </c>
      <c r="AB329" s="1">
        <f t="shared" si="17"/>
        <v>0</v>
      </c>
    </row>
    <row r="330" spans="1:28" x14ac:dyDescent="0.3">
      <c r="A330" s="1" t="s">
        <v>53</v>
      </c>
      <c r="B330" s="1" t="s">
        <v>66</v>
      </c>
      <c r="C330">
        <v>4</v>
      </c>
      <c r="D330">
        <v>2</v>
      </c>
      <c r="E330">
        <v>4620</v>
      </c>
      <c r="F330">
        <v>4941</v>
      </c>
      <c r="G330">
        <v>2</v>
      </c>
      <c r="H330">
        <v>1960</v>
      </c>
      <c r="I330">
        <v>1977</v>
      </c>
      <c r="J330" s="1" t="s">
        <v>52</v>
      </c>
      <c r="K330">
        <v>3</v>
      </c>
      <c r="L330" s="1" t="s">
        <v>41</v>
      </c>
      <c r="M330" s="1" t="s">
        <v>27</v>
      </c>
      <c r="N330" s="1" t="s">
        <v>25</v>
      </c>
      <c r="O330">
        <v>10</v>
      </c>
      <c r="P330">
        <v>3</v>
      </c>
      <c r="Q330" s="1" t="s">
        <v>67</v>
      </c>
      <c r="R330">
        <v>1</v>
      </c>
      <c r="S330" s="1" t="s">
        <v>27</v>
      </c>
      <c r="T330">
        <v>41970000</v>
      </c>
      <c r="U330" t="s">
        <v>182</v>
      </c>
      <c r="V330" s="1" t="s">
        <v>179</v>
      </c>
      <c r="W330" s="1" t="s">
        <v>180</v>
      </c>
      <c r="X330" s="1" t="str">
        <f>VLOOKUP(V330,Broker_Directory!A:C,3,FALSE)</f>
        <v>Tier B</v>
      </c>
      <c r="Y330" s="1">
        <f>HLOOKUP(X330, Commission_Rates!A$1:C$2, 2, FALSE)</f>
        <v>1.4999999999999999E-2</v>
      </c>
      <c r="Z330" s="1">
        <f t="shared" si="15"/>
        <v>0</v>
      </c>
      <c r="AA330" s="1">
        <f t="shared" si="16"/>
        <v>0</v>
      </c>
      <c r="AB330" s="1">
        <f t="shared" si="17"/>
        <v>0</v>
      </c>
    </row>
    <row r="331" spans="1:28" x14ac:dyDescent="0.3">
      <c r="A331" s="1" t="s">
        <v>20</v>
      </c>
      <c r="B331" s="1" t="s">
        <v>69</v>
      </c>
      <c r="C331">
        <v>1</v>
      </c>
      <c r="D331">
        <v>1</v>
      </c>
      <c r="E331">
        <v>1672</v>
      </c>
      <c r="F331">
        <v>9324</v>
      </c>
      <c r="G331">
        <v>2</v>
      </c>
      <c r="H331">
        <v>2010</v>
      </c>
      <c r="I331">
        <v>2018</v>
      </c>
      <c r="J331" s="1" t="s">
        <v>22</v>
      </c>
      <c r="K331">
        <v>1</v>
      </c>
      <c r="L331" s="1" t="s">
        <v>41</v>
      </c>
      <c r="M331" s="1" t="s">
        <v>27</v>
      </c>
      <c r="N331" s="1" t="s">
        <v>46</v>
      </c>
      <c r="O331">
        <v>4</v>
      </c>
      <c r="P331">
        <v>1</v>
      </c>
      <c r="Q331" s="1" t="s">
        <v>120</v>
      </c>
      <c r="R331">
        <v>0</v>
      </c>
      <c r="S331" s="1" t="s">
        <v>27</v>
      </c>
      <c r="T331">
        <v>20184000</v>
      </c>
      <c r="U331" t="s">
        <v>184</v>
      </c>
      <c r="V331" s="1" t="s">
        <v>174</v>
      </c>
      <c r="W331" s="1" t="s">
        <v>175</v>
      </c>
      <c r="X331" s="1" t="str">
        <f>VLOOKUP(V331,Broker_Directory!A:C,3,FALSE)</f>
        <v>Tier A</v>
      </c>
      <c r="Y331" s="1">
        <f>HLOOKUP(X331, Commission_Rates!A$1:C$2, 2, FALSE)</f>
        <v>0.02</v>
      </c>
      <c r="Z331" s="1">
        <f t="shared" si="15"/>
        <v>403680</v>
      </c>
      <c r="AA331" s="1">
        <f t="shared" si="16"/>
        <v>605520</v>
      </c>
      <c r="AB331" s="1">
        <f t="shared" si="17"/>
        <v>201840</v>
      </c>
    </row>
    <row r="332" spans="1:28" x14ac:dyDescent="0.3">
      <c r="A332" s="1" t="s">
        <v>37</v>
      </c>
      <c r="B332" s="1" t="s">
        <v>72</v>
      </c>
      <c r="C332">
        <v>3</v>
      </c>
      <c r="D332">
        <v>1</v>
      </c>
      <c r="E332">
        <v>1097</v>
      </c>
      <c r="F332">
        <v>9851</v>
      </c>
      <c r="G332">
        <v>3</v>
      </c>
      <c r="H332">
        <v>1995</v>
      </c>
      <c r="I332">
        <v>2021</v>
      </c>
      <c r="J332" s="1" t="s">
        <v>30</v>
      </c>
      <c r="K332">
        <v>2</v>
      </c>
      <c r="L332" s="1" t="s">
        <v>64</v>
      </c>
      <c r="M332" s="1" t="s">
        <v>27</v>
      </c>
      <c r="N332" s="1" t="s">
        <v>25</v>
      </c>
      <c r="O332">
        <v>4</v>
      </c>
      <c r="P332">
        <v>5</v>
      </c>
      <c r="Q332" s="1" t="s">
        <v>94</v>
      </c>
      <c r="R332">
        <v>3</v>
      </c>
      <c r="S332" s="1" t="s">
        <v>24</v>
      </c>
      <c r="T332">
        <v>9186000</v>
      </c>
      <c r="U332" t="s">
        <v>182</v>
      </c>
      <c r="V332" s="1" t="s">
        <v>176</v>
      </c>
      <c r="W332" s="1" t="s">
        <v>177</v>
      </c>
      <c r="X332" s="1" t="str">
        <f>VLOOKUP(V332,Broker_Directory!A:C,3,FALSE)</f>
        <v>Tier C</v>
      </c>
      <c r="Y332" s="1">
        <f>HLOOKUP(X332, Commission_Rates!A$1:C$2, 2, FALSE)</f>
        <v>0.01</v>
      </c>
      <c r="Z332" s="1">
        <f t="shared" si="15"/>
        <v>0</v>
      </c>
      <c r="AA332" s="1">
        <f t="shared" si="16"/>
        <v>0</v>
      </c>
      <c r="AB332" s="1">
        <f t="shared" si="17"/>
        <v>0</v>
      </c>
    </row>
    <row r="333" spans="1:28" x14ac:dyDescent="0.3">
      <c r="A333" s="1" t="s">
        <v>33</v>
      </c>
      <c r="B333" s="1" t="s">
        <v>75</v>
      </c>
      <c r="C333">
        <v>5</v>
      </c>
      <c r="D333">
        <v>3</v>
      </c>
      <c r="E333">
        <v>1773</v>
      </c>
      <c r="F333">
        <v>4389</v>
      </c>
      <c r="G333">
        <v>3</v>
      </c>
      <c r="H333">
        <v>1951</v>
      </c>
      <c r="I333">
        <v>1951</v>
      </c>
      <c r="J333" s="1" t="s">
        <v>58</v>
      </c>
      <c r="K333">
        <v>0</v>
      </c>
      <c r="L333" s="1" t="s">
        <v>41</v>
      </c>
      <c r="M333" s="1" t="s">
        <v>24</v>
      </c>
      <c r="N333" s="1" t="s">
        <v>35</v>
      </c>
      <c r="O333">
        <v>1</v>
      </c>
      <c r="P333">
        <v>5</v>
      </c>
      <c r="Q333" s="1" t="s">
        <v>140</v>
      </c>
      <c r="R333">
        <v>2</v>
      </c>
      <c r="S333" s="1" t="s">
        <v>24</v>
      </c>
      <c r="T333">
        <v>15575500</v>
      </c>
      <c r="U333" t="s">
        <v>183</v>
      </c>
      <c r="V333" s="1" t="s">
        <v>174</v>
      </c>
      <c r="W333" s="1" t="s">
        <v>175</v>
      </c>
      <c r="X333" s="1" t="str">
        <f>VLOOKUP(V333,Broker_Directory!A:C,3,FALSE)</f>
        <v>Tier A</v>
      </c>
      <c r="Y333" s="1">
        <f>HLOOKUP(X333, Commission_Rates!A$1:C$2, 2, FALSE)</f>
        <v>0.02</v>
      </c>
      <c r="Z333" s="1">
        <f t="shared" si="15"/>
        <v>0</v>
      </c>
      <c r="AA333" s="1">
        <f t="shared" si="16"/>
        <v>0</v>
      </c>
      <c r="AB333" s="1">
        <f t="shared" si="17"/>
        <v>0</v>
      </c>
    </row>
    <row r="334" spans="1:28" x14ac:dyDescent="0.3">
      <c r="A334" s="1" t="s">
        <v>53</v>
      </c>
      <c r="B334" s="1" t="s">
        <v>89</v>
      </c>
      <c r="C334">
        <v>2</v>
      </c>
      <c r="D334">
        <v>1</v>
      </c>
      <c r="E334">
        <v>494</v>
      </c>
      <c r="F334">
        <v>2050</v>
      </c>
      <c r="G334">
        <v>1</v>
      </c>
      <c r="H334">
        <v>1977</v>
      </c>
      <c r="I334">
        <v>2014</v>
      </c>
      <c r="J334" s="1" t="s">
        <v>58</v>
      </c>
      <c r="K334">
        <v>0</v>
      </c>
      <c r="L334" s="1" t="s">
        <v>23</v>
      </c>
      <c r="M334" s="1" t="s">
        <v>24</v>
      </c>
      <c r="N334" s="1" t="s">
        <v>46</v>
      </c>
      <c r="O334">
        <v>10</v>
      </c>
      <c r="P334">
        <v>5</v>
      </c>
      <c r="Q334" s="1" t="s">
        <v>154</v>
      </c>
      <c r="R334">
        <v>0</v>
      </c>
      <c r="S334" s="1" t="s">
        <v>24</v>
      </c>
      <c r="T334">
        <v>4671000</v>
      </c>
      <c r="U334" t="s">
        <v>182</v>
      </c>
      <c r="V334" s="1" t="s">
        <v>171</v>
      </c>
      <c r="W334" s="1" t="s">
        <v>172</v>
      </c>
      <c r="X334" s="1" t="str">
        <f>VLOOKUP(V334,Broker_Directory!A:C,3,FALSE)</f>
        <v>Tier B</v>
      </c>
      <c r="Y334" s="1">
        <f>HLOOKUP(X334, Commission_Rates!A$1:C$2, 2, FALSE)</f>
        <v>1.4999999999999999E-2</v>
      </c>
      <c r="Z334" s="1">
        <f t="shared" si="15"/>
        <v>0</v>
      </c>
      <c r="AA334" s="1">
        <f t="shared" si="16"/>
        <v>0</v>
      </c>
      <c r="AB334" s="1">
        <f t="shared" si="17"/>
        <v>0</v>
      </c>
    </row>
    <row r="335" spans="1:28" x14ac:dyDescent="0.3">
      <c r="A335" s="1" t="s">
        <v>53</v>
      </c>
      <c r="B335" s="1" t="s">
        <v>89</v>
      </c>
      <c r="C335">
        <v>4</v>
      </c>
      <c r="D335">
        <v>1</v>
      </c>
      <c r="E335">
        <v>4014</v>
      </c>
      <c r="F335">
        <v>6328</v>
      </c>
      <c r="G335">
        <v>2</v>
      </c>
      <c r="H335">
        <v>1991</v>
      </c>
      <c r="I335">
        <v>2006</v>
      </c>
      <c r="J335" s="1" t="s">
        <v>52</v>
      </c>
      <c r="K335">
        <v>0</v>
      </c>
      <c r="L335" s="1" t="s">
        <v>64</v>
      </c>
      <c r="M335" s="1" t="s">
        <v>24</v>
      </c>
      <c r="N335" s="1" t="s">
        <v>46</v>
      </c>
      <c r="O335">
        <v>6</v>
      </c>
      <c r="P335">
        <v>2</v>
      </c>
      <c r="Q335" s="1" t="s">
        <v>125</v>
      </c>
      <c r="R335">
        <v>2</v>
      </c>
      <c r="S335" s="1" t="s">
        <v>27</v>
      </c>
      <c r="T335">
        <v>36451000</v>
      </c>
      <c r="U335" t="s">
        <v>183</v>
      </c>
      <c r="V335" s="1" t="s">
        <v>168</v>
      </c>
      <c r="W335" s="1" t="s">
        <v>169</v>
      </c>
      <c r="X335" s="1" t="str">
        <f>VLOOKUP(V335,Broker_Directory!A:C,3,FALSE)</f>
        <v>Tier A</v>
      </c>
      <c r="Y335" s="1">
        <f>HLOOKUP(X335, Commission_Rates!A$1:C$2, 2, FALSE)</f>
        <v>0.02</v>
      </c>
      <c r="Z335" s="1">
        <f t="shared" si="15"/>
        <v>0</v>
      </c>
      <c r="AA335" s="1">
        <f t="shared" si="16"/>
        <v>0</v>
      </c>
      <c r="AB335" s="1">
        <f t="shared" si="17"/>
        <v>0</v>
      </c>
    </row>
    <row r="336" spans="1:28" x14ac:dyDescent="0.3">
      <c r="A336" s="1" t="s">
        <v>28</v>
      </c>
      <c r="B336" s="1" t="s">
        <v>29</v>
      </c>
      <c r="C336">
        <v>1</v>
      </c>
      <c r="D336">
        <v>4</v>
      </c>
      <c r="E336">
        <v>1943</v>
      </c>
      <c r="F336">
        <v>6992</v>
      </c>
      <c r="G336">
        <v>2</v>
      </c>
      <c r="H336">
        <v>1972</v>
      </c>
      <c r="I336">
        <v>2012</v>
      </c>
      <c r="J336" s="1" t="s">
        <v>22</v>
      </c>
      <c r="K336">
        <v>0</v>
      </c>
      <c r="L336" s="1" t="s">
        <v>31</v>
      </c>
      <c r="M336" s="1" t="s">
        <v>27</v>
      </c>
      <c r="N336" s="1" t="s">
        <v>25</v>
      </c>
      <c r="O336">
        <v>9</v>
      </c>
      <c r="P336">
        <v>5</v>
      </c>
      <c r="Q336" s="1" t="s">
        <v>32</v>
      </c>
      <c r="R336">
        <v>3</v>
      </c>
      <c r="S336" s="1" t="s">
        <v>27</v>
      </c>
      <c r="T336">
        <v>19760000</v>
      </c>
      <c r="U336" t="s">
        <v>183</v>
      </c>
      <c r="V336" s="1" t="s">
        <v>174</v>
      </c>
      <c r="W336" s="1" t="s">
        <v>175</v>
      </c>
      <c r="X336" s="1" t="str">
        <f>VLOOKUP(V336,Broker_Directory!A:C,3,FALSE)</f>
        <v>Tier A</v>
      </c>
      <c r="Y336" s="1">
        <f>HLOOKUP(X336, Commission_Rates!A$1:C$2, 2, FALSE)</f>
        <v>0.02</v>
      </c>
      <c r="Z336" s="1">
        <f t="shared" si="15"/>
        <v>0</v>
      </c>
      <c r="AA336" s="1">
        <f t="shared" si="16"/>
        <v>0</v>
      </c>
      <c r="AB336" s="1">
        <f t="shared" si="17"/>
        <v>0</v>
      </c>
    </row>
    <row r="337" spans="1:28" x14ac:dyDescent="0.3">
      <c r="A337" s="1" t="s">
        <v>20</v>
      </c>
      <c r="B337" s="1" t="s">
        <v>21</v>
      </c>
      <c r="C337">
        <v>1</v>
      </c>
      <c r="D337">
        <v>1</v>
      </c>
      <c r="E337">
        <v>4980</v>
      </c>
      <c r="F337">
        <v>7082</v>
      </c>
      <c r="G337">
        <v>2</v>
      </c>
      <c r="H337">
        <v>1952</v>
      </c>
      <c r="I337">
        <v>2014</v>
      </c>
      <c r="J337" s="1" t="s">
        <v>52</v>
      </c>
      <c r="K337">
        <v>0</v>
      </c>
      <c r="L337" s="1" t="s">
        <v>23</v>
      </c>
      <c r="M337" s="1" t="s">
        <v>27</v>
      </c>
      <c r="N337" s="1" t="s">
        <v>46</v>
      </c>
      <c r="O337">
        <v>2</v>
      </c>
      <c r="P337">
        <v>5</v>
      </c>
      <c r="Q337" s="1" t="s">
        <v>114</v>
      </c>
      <c r="R337">
        <v>3</v>
      </c>
      <c r="S337" s="1" t="s">
        <v>24</v>
      </c>
      <c r="T337">
        <v>59975000</v>
      </c>
      <c r="U337" t="s">
        <v>182</v>
      </c>
      <c r="V337" s="1" t="s">
        <v>174</v>
      </c>
      <c r="W337" s="1" t="s">
        <v>175</v>
      </c>
      <c r="X337" s="1" t="str">
        <f>VLOOKUP(V337,Broker_Directory!A:C,3,FALSE)</f>
        <v>Tier A</v>
      </c>
      <c r="Y337" s="1">
        <f>HLOOKUP(X337, Commission_Rates!A$1:C$2, 2, FALSE)</f>
        <v>0.02</v>
      </c>
      <c r="Z337" s="1">
        <f t="shared" si="15"/>
        <v>0</v>
      </c>
      <c r="AA337" s="1">
        <f t="shared" si="16"/>
        <v>0</v>
      </c>
      <c r="AB337" s="1">
        <f t="shared" si="17"/>
        <v>0</v>
      </c>
    </row>
    <row r="338" spans="1:28" x14ac:dyDescent="0.3">
      <c r="A338" s="1" t="s">
        <v>33</v>
      </c>
      <c r="B338" s="1" t="s">
        <v>98</v>
      </c>
      <c r="C338">
        <v>4</v>
      </c>
      <c r="D338">
        <v>4</v>
      </c>
      <c r="E338">
        <v>3608</v>
      </c>
      <c r="F338">
        <v>9619</v>
      </c>
      <c r="G338">
        <v>1</v>
      </c>
      <c r="H338">
        <v>2019</v>
      </c>
      <c r="I338">
        <v>2021</v>
      </c>
      <c r="J338" s="1" t="s">
        <v>58</v>
      </c>
      <c r="K338">
        <v>3</v>
      </c>
      <c r="L338" s="1" t="s">
        <v>41</v>
      </c>
      <c r="M338" s="1" t="s">
        <v>24</v>
      </c>
      <c r="N338" s="1" t="s">
        <v>35</v>
      </c>
      <c r="O338">
        <v>8</v>
      </c>
      <c r="P338">
        <v>2</v>
      </c>
      <c r="Q338" s="1" t="s">
        <v>150</v>
      </c>
      <c r="R338">
        <v>2</v>
      </c>
      <c r="S338" s="1" t="s">
        <v>27</v>
      </c>
      <c r="T338">
        <v>31063000</v>
      </c>
      <c r="U338" t="s">
        <v>183</v>
      </c>
      <c r="V338" s="1" t="s">
        <v>174</v>
      </c>
      <c r="W338" s="1" t="s">
        <v>175</v>
      </c>
      <c r="X338" s="1" t="str">
        <f>VLOOKUP(V338,Broker_Directory!A:C,3,FALSE)</f>
        <v>Tier A</v>
      </c>
      <c r="Y338" s="1">
        <f>HLOOKUP(X338, Commission_Rates!A$1:C$2, 2, FALSE)</f>
        <v>0.02</v>
      </c>
      <c r="Z338" s="1">
        <f t="shared" si="15"/>
        <v>0</v>
      </c>
      <c r="AA338" s="1">
        <f t="shared" si="16"/>
        <v>0</v>
      </c>
      <c r="AB338" s="1">
        <f t="shared" si="17"/>
        <v>0</v>
      </c>
    </row>
    <row r="339" spans="1:28" x14ac:dyDescent="0.3">
      <c r="A339" s="1" t="s">
        <v>20</v>
      </c>
      <c r="B339" s="1" t="s">
        <v>21</v>
      </c>
      <c r="C339">
        <v>3</v>
      </c>
      <c r="D339">
        <v>3</v>
      </c>
      <c r="E339">
        <v>959</v>
      </c>
      <c r="F339">
        <v>8539</v>
      </c>
      <c r="G339">
        <v>2</v>
      </c>
      <c r="H339">
        <v>1975</v>
      </c>
      <c r="I339">
        <v>1985</v>
      </c>
      <c r="J339" s="1" t="s">
        <v>58</v>
      </c>
      <c r="K339">
        <v>3</v>
      </c>
      <c r="L339" s="1" t="s">
        <v>31</v>
      </c>
      <c r="M339" s="1" t="s">
        <v>27</v>
      </c>
      <c r="N339" s="1" t="s">
        <v>35</v>
      </c>
      <c r="O339">
        <v>6</v>
      </c>
      <c r="P339">
        <v>0</v>
      </c>
      <c r="Q339" s="1" t="s">
        <v>114</v>
      </c>
      <c r="R339">
        <v>3</v>
      </c>
      <c r="S339" s="1" t="s">
        <v>24</v>
      </c>
      <c r="T339">
        <v>11883000</v>
      </c>
      <c r="U339" t="s">
        <v>182</v>
      </c>
      <c r="V339" s="1" t="s">
        <v>168</v>
      </c>
      <c r="W339" s="1" t="s">
        <v>169</v>
      </c>
      <c r="X339" s="1" t="str">
        <f>VLOOKUP(V339,Broker_Directory!A:C,3,FALSE)</f>
        <v>Tier A</v>
      </c>
      <c r="Y339" s="1">
        <f>HLOOKUP(X339, Commission_Rates!A$1:C$2, 2, FALSE)</f>
        <v>0.02</v>
      </c>
      <c r="Z339" s="1">
        <f t="shared" si="15"/>
        <v>0</v>
      </c>
      <c r="AA339" s="1">
        <f t="shared" si="16"/>
        <v>0</v>
      </c>
      <c r="AB339" s="1">
        <f t="shared" si="17"/>
        <v>0</v>
      </c>
    </row>
    <row r="340" spans="1:28" x14ac:dyDescent="0.3">
      <c r="A340" s="1" t="s">
        <v>37</v>
      </c>
      <c r="B340" s="1" t="s">
        <v>62</v>
      </c>
      <c r="C340">
        <v>2</v>
      </c>
      <c r="D340">
        <v>1</v>
      </c>
      <c r="E340">
        <v>1881</v>
      </c>
      <c r="F340">
        <v>2138</v>
      </c>
      <c r="G340">
        <v>3</v>
      </c>
      <c r="H340">
        <v>2025</v>
      </c>
      <c r="I340">
        <v>0</v>
      </c>
      <c r="J340" s="1" t="s">
        <v>22</v>
      </c>
      <c r="K340">
        <v>3</v>
      </c>
      <c r="L340" s="1" t="s">
        <v>23</v>
      </c>
      <c r="M340" s="1" t="s">
        <v>27</v>
      </c>
      <c r="N340" s="1" t="s">
        <v>46</v>
      </c>
      <c r="O340">
        <v>8</v>
      </c>
      <c r="P340">
        <v>3</v>
      </c>
      <c r="Q340" s="1" t="s">
        <v>137</v>
      </c>
      <c r="R340">
        <v>0</v>
      </c>
      <c r="S340" s="1" t="s">
        <v>27</v>
      </c>
      <c r="T340">
        <v>15238000</v>
      </c>
      <c r="U340" t="s">
        <v>183</v>
      </c>
      <c r="V340" s="1" t="s">
        <v>174</v>
      </c>
      <c r="W340" s="1" t="s">
        <v>175</v>
      </c>
      <c r="X340" s="1" t="str">
        <f>VLOOKUP(V340,Broker_Directory!A:C,3,FALSE)</f>
        <v>Tier A</v>
      </c>
      <c r="Y340" s="1">
        <f>HLOOKUP(X340, Commission_Rates!A$1:C$2, 2, FALSE)</f>
        <v>0.02</v>
      </c>
      <c r="Z340" s="1">
        <f t="shared" si="15"/>
        <v>0</v>
      </c>
      <c r="AA340" s="1">
        <f t="shared" si="16"/>
        <v>0</v>
      </c>
      <c r="AB340" s="1">
        <f t="shared" si="17"/>
        <v>0</v>
      </c>
    </row>
    <row r="341" spans="1:28" x14ac:dyDescent="0.3">
      <c r="A341" s="1" t="s">
        <v>20</v>
      </c>
      <c r="B341" s="1" t="s">
        <v>69</v>
      </c>
      <c r="C341">
        <v>1</v>
      </c>
      <c r="D341">
        <v>4</v>
      </c>
      <c r="E341">
        <v>1268</v>
      </c>
      <c r="F341">
        <v>4786</v>
      </c>
      <c r="G341">
        <v>3</v>
      </c>
      <c r="H341">
        <v>2016</v>
      </c>
      <c r="I341">
        <v>2022</v>
      </c>
      <c r="J341" s="1" t="s">
        <v>52</v>
      </c>
      <c r="K341">
        <v>1</v>
      </c>
      <c r="L341" s="1" t="s">
        <v>23</v>
      </c>
      <c r="M341" s="1" t="s">
        <v>24</v>
      </c>
      <c r="N341" s="1" t="s">
        <v>35</v>
      </c>
      <c r="O341">
        <v>2</v>
      </c>
      <c r="P341">
        <v>3</v>
      </c>
      <c r="Q341" s="1" t="s">
        <v>74</v>
      </c>
      <c r="R341">
        <v>3</v>
      </c>
      <c r="S341" s="1" t="s">
        <v>24</v>
      </c>
      <c r="T341">
        <v>15566000</v>
      </c>
      <c r="U341" t="s">
        <v>184</v>
      </c>
      <c r="V341" s="1" t="s">
        <v>168</v>
      </c>
      <c r="W341" s="1" t="s">
        <v>169</v>
      </c>
      <c r="X341" s="1" t="str">
        <f>VLOOKUP(V341,Broker_Directory!A:C,3,FALSE)</f>
        <v>Tier A</v>
      </c>
      <c r="Y341" s="1">
        <f>HLOOKUP(X341, Commission_Rates!A$1:C$2, 2, FALSE)</f>
        <v>0.02</v>
      </c>
      <c r="Z341" s="1">
        <f t="shared" si="15"/>
        <v>311320</v>
      </c>
      <c r="AA341" s="1">
        <f t="shared" si="16"/>
        <v>466980</v>
      </c>
      <c r="AB341" s="1">
        <f t="shared" si="17"/>
        <v>155660</v>
      </c>
    </row>
    <row r="342" spans="1:28" x14ac:dyDescent="0.3">
      <c r="A342" s="1" t="s">
        <v>28</v>
      </c>
      <c r="B342" s="1" t="s">
        <v>110</v>
      </c>
      <c r="C342">
        <v>1</v>
      </c>
      <c r="D342">
        <v>2</v>
      </c>
      <c r="E342">
        <v>709</v>
      </c>
      <c r="F342">
        <v>5794</v>
      </c>
      <c r="G342">
        <v>1</v>
      </c>
      <c r="H342">
        <v>2008</v>
      </c>
      <c r="I342">
        <v>2012</v>
      </c>
      <c r="J342" s="1" t="s">
        <v>58</v>
      </c>
      <c r="K342">
        <v>0</v>
      </c>
      <c r="L342" s="1" t="s">
        <v>23</v>
      </c>
      <c r="M342" s="1" t="s">
        <v>27</v>
      </c>
      <c r="N342" s="1" t="s">
        <v>35</v>
      </c>
      <c r="O342">
        <v>9</v>
      </c>
      <c r="P342">
        <v>1</v>
      </c>
      <c r="Q342" s="1" t="s">
        <v>119</v>
      </c>
      <c r="R342">
        <v>1</v>
      </c>
      <c r="S342" s="1" t="s">
        <v>27</v>
      </c>
      <c r="T342">
        <v>7235000</v>
      </c>
      <c r="U342" t="s">
        <v>183</v>
      </c>
      <c r="V342" s="1" t="s">
        <v>179</v>
      </c>
      <c r="W342" s="1" t="s">
        <v>180</v>
      </c>
      <c r="X342" s="1" t="str">
        <f>VLOOKUP(V342,Broker_Directory!A:C,3,FALSE)</f>
        <v>Tier B</v>
      </c>
      <c r="Y342" s="1">
        <f>HLOOKUP(X342, Commission_Rates!A$1:C$2, 2, FALSE)</f>
        <v>1.4999999999999999E-2</v>
      </c>
      <c r="Z342" s="1">
        <f t="shared" si="15"/>
        <v>0</v>
      </c>
      <c r="AA342" s="1">
        <f t="shared" si="16"/>
        <v>0</v>
      </c>
      <c r="AB342" s="1">
        <f t="shared" si="17"/>
        <v>0</v>
      </c>
    </row>
    <row r="343" spans="1:28" x14ac:dyDescent="0.3">
      <c r="A343" s="1" t="s">
        <v>53</v>
      </c>
      <c r="B343" s="1" t="s">
        <v>54</v>
      </c>
      <c r="C343">
        <v>3</v>
      </c>
      <c r="D343">
        <v>1</v>
      </c>
      <c r="E343">
        <v>4771</v>
      </c>
      <c r="F343">
        <v>5946</v>
      </c>
      <c r="G343">
        <v>2</v>
      </c>
      <c r="H343">
        <v>1977</v>
      </c>
      <c r="I343">
        <v>2024</v>
      </c>
      <c r="J343" s="1" t="s">
        <v>58</v>
      </c>
      <c r="K343">
        <v>1</v>
      </c>
      <c r="L343" s="1" t="s">
        <v>64</v>
      </c>
      <c r="M343" s="1" t="s">
        <v>24</v>
      </c>
      <c r="N343" s="1" t="s">
        <v>25</v>
      </c>
      <c r="O343">
        <v>4</v>
      </c>
      <c r="P343">
        <v>1</v>
      </c>
      <c r="Q343" s="1" t="s">
        <v>55</v>
      </c>
      <c r="R343">
        <v>1</v>
      </c>
      <c r="S343" s="1" t="s">
        <v>27</v>
      </c>
      <c r="T343">
        <v>43274000</v>
      </c>
      <c r="U343" t="s">
        <v>183</v>
      </c>
      <c r="V343" s="1" t="s">
        <v>179</v>
      </c>
      <c r="W343" s="1" t="s">
        <v>180</v>
      </c>
      <c r="X343" s="1" t="str">
        <f>VLOOKUP(V343,Broker_Directory!A:C,3,FALSE)</f>
        <v>Tier B</v>
      </c>
      <c r="Y343" s="1">
        <f>HLOOKUP(X343, Commission_Rates!A$1:C$2, 2, FALSE)</f>
        <v>1.4999999999999999E-2</v>
      </c>
      <c r="Z343" s="1">
        <f t="shared" si="15"/>
        <v>0</v>
      </c>
      <c r="AA343" s="1">
        <f t="shared" si="16"/>
        <v>0</v>
      </c>
      <c r="AB343" s="1">
        <f t="shared" si="17"/>
        <v>0</v>
      </c>
    </row>
    <row r="344" spans="1:28" x14ac:dyDescent="0.3">
      <c r="A344" s="1" t="s">
        <v>33</v>
      </c>
      <c r="B344" s="1" t="s">
        <v>75</v>
      </c>
      <c r="C344">
        <v>4</v>
      </c>
      <c r="D344">
        <v>2</v>
      </c>
      <c r="E344">
        <v>633</v>
      </c>
      <c r="F344">
        <v>2868</v>
      </c>
      <c r="G344">
        <v>1</v>
      </c>
      <c r="H344">
        <v>1998</v>
      </c>
      <c r="I344">
        <v>2021</v>
      </c>
      <c r="J344" s="1" t="s">
        <v>52</v>
      </c>
      <c r="K344">
        <v>0</v>
      </c>
      <c r="L344" s="1" t="s">
        <v>41</v>
      </c>
      <c r="M344" s="1" t="s">
        <v>24</v>
      </c>
      <c r="N344" s="1" t="s">
        <v>25</v>
      </c>
      <c r="O344">
        <v>0</v>
      </c>
      <c r="P344">
        <v>1</v>
      </c>
      <c r="Q344" s="1" t="s">
        <v>76</v>
      </c>
      <c r="R344">
        <v>2</v>
      </c>
      <c r="S344" s="1" t="s">
        <v>27</v>
      </c>
      <c r="T344">
        <v>5790500</v>
      </c>
      <c r="U344" t="s">
        <v>182</v>
      </c>
      <c r="V344" s="1" t="s">
        <v>176</v>
      </c>
      <c r="W344" s="1" t="s">
        <v>177</v>
      </c>
      <c r="X344" s="1" t="str">
        <f>VLOOKUP(V344,Broker_Directory!A:C,3,FALSE)</f>
        <v>Tier C</v>
      </c>
      <c r="Y344" s="1">
        <f>HLOOKUP(X344, Commission_Rates!A$1:C$2, 2, FALSE)</f>
        <v>0.01</v>
      </c>
      <c r="Z344" s="1">
        <f t="shared" si="15"/>
        <v>0</v>
      </c>
      <c r="AA344" s="1">
        <f t="shared" si="16"/>
        <v>0</v>
      </c>
      <c r="AB344" s="1">
        <f t="shared" si="17"/>
        <v>0</v>
      </c>
    </row>
    <row r="345" spans="1:28" x14ac:dyDescent="0.3">
      <c r="A345" s="1" t="s">
        <v>37</v>
      </c>
      <c r="B345" s="1" t="s">
        <v>62</v>
      </c>
      <c r="C345">
        <v>2</v>
      </c>
      <c r="D345">
        <v>2</v>
      </c>
      <c r="E345">
        <v>2519</v>
      </c>
      <c r="F345">
        <v>6854</v>
      </c>
      <c r="G345">
        <v>2</v>
      </c>
      <c r="H345">
        <v>2002</v>
      </c>
      <c r="I345">
        <v>2008</v>
      </c>
      <c r="J345" s="1" t="s">
        <v>52</v>
      </c>
      <c r="K345">
        <v>0</v>
      </c>
      <c r="L345" s="1" t="s">
        <v>31</v>
      </c>
      <c r="M345" s="1" t="s">
        <v>27</v>
      </c>
      <c r="N345" s="1" t="s">
        <v>35</v>
      </c>
      <c r="O345">
        <v>1</v>
      </c>
      <c r="P345">
        <v>5</v>
      </c>
      <c r="Q345" s="1" t="s">
        <v>159</v>
      </c>
      <c r="R345">
        <v>2</v>
      </c>
      <c r="S345" s="1" t="s">
        <v>27</v>
      </c>
      <c r="T345">
        <v>20382000</v>
      </c>
      <c r="U345" t="s">
        <v>184</v>
      </c>
      <c r="V345" s="1" t="s">
        <v>179</v>
      </c>
      <c r="W345" s="1" t="s">
        <v>180</v>
      </c>
      <c r="X345" s="1" t="str">
        <f>VLOOKUP(V345,Broker_Directory!A:C,3,FALSE)</f>
        <v>Tier B</v>
      </c>
      <c r="Y345" s="1">
        <f>HLOOKUP(X345, Commission_Rates!A$1:C$2, 2, FALSE)</f>
        <v>1.4999999999999999E-2</v>
      </c>
      <c r="Z345" s="1">
        <f t="shared" si="15"/>
        <v>305730</v>
      </c>
      <c r="AA345" s="1">
        <f t="shared" si="16"/>
        <v>611460</v>
      </c>
      <c r="AB345" s="1">
        <f t="shared" si="17"/>
        <v>305730</v>
      </c>
    </row>
    <row r="346" spans="1:28" x14ac:dyDescent="0.3">
      <c r="A346" s="1" t="s">
        <v>20</v>
      </c>
      <c r="B346" s="1" t="s">
        <v>133</v>
      </c>
      <c r="C346">
        <v>2</v>
      </c>
      <c r="D346">
        <v>2</v>
      </c>
      <c r="E346">
        <v>1262</v>
      </c>
      <c r="F346">
        <v>9998</v>
      </c>
      <c r="G346">
        <v>1</v>
      </c>
      <c r="H346">
        <v>1996</v>
      </c>
      <c r="I346">
        <v>2022</v>
      </c>
      <c r="J346" s="1" t="s">
        <v>52</v>
      </c>
      <c r="K346">
        <v>3</v>
      </c>
      <c r="L346" s="1" t="s">
        <v>31</v>
      </c>
      <c r="M346" s="1" t="s">
        <v>27</v>
      </c>
      <c r="N346" s="1" t="s">
        <v>25</v>
      </c>
      <c r="O346">
        <v>3</v>
      </c>
      <c r="P346">
        <v>0</v>
      </c>
      <c r="Q346" s="1" t="s">
        <v>134</v>
      </c>
      <c r="R346">
        <v>3</v>
      </c>
      <c r="S346" s="1" t="s">
        <v>27</v>
      </c>
      <c r="T346">
        <v>15444000</v>
      </c>
      <c r="U346" t="s">
        <v>182</v>
      </c>
      <c r="V346" s="1" t="s">
        <v>176</v>
      </c>
      <c r="W346" s="1" t="s">
        <v>177</v>
      </c>
      <c r="X346" s="1" t="str">
        <f>VLOOKUP(V346,Broker_Directory!A:C,3,FALSE)</f>
        <v>Tier C</v>
      </c>
      <c r="Y346" s="1">
        <f>HLOOKUP(X346, Commission_Rates!A$1:C$2, 2, FALSE)</f>
        <v>0.01</v>
      </c>
      <c r="Z346" s="1">
        <f t="shared" si="15"/>
        <v>0</v>
      </c>
      <c r="AA346" s="1">
        <f t="shared" si="16"/>
        <v>0</v>
      </c>
      <c r="AB346" s="1">
        <f t="shared" si="17"/>
        <v>0</v>
      </c>
    </row>
    <row r="347" spans="1:28" x14ac:dyDescent="0.3">
      <c r="A347" s="1" t="s">
        <v>28</v>
      </c>
      <c r="B347" s="1" t="s">
        <v>110</v>
      </c>
      <c r="C347">
        <v>1</v>
      </c>
      <c r="D347">
        <v>1</v>
      </c>
      <c r="E347">
        <v>3283</v>
      </c>
      <c r="F347">
        <v>5668</v>
      </c>
      <c r="G347">
        <v>1</v>
      </c>
      <c r="H347">
        <v>2005</v>
      </c>
      <c r="I347">
        <v>2012</v>
      </c>
      <c r="J347" s="1" t="s">
        <v>30</v>
      </c>
      <c r="K347">
        <v>3</v>
      </c>
      <c r="L347" s="1" t="s">
        <v>23</v>
      </c>
      <c r="M347" s="1" t="s">
        <v>24</v>
      </c>
      <c r="N347" s="1" t="s">
        <v>35</v>
      </c>
      <c r="O347">
        <v>0</v>
      </c>
      <c r="P347">
        <v>4</v>
      </c>
      <c r="Q347" s="1" t="s">
        <v>117</v>
      </c>
      <c r="R347">
        <v>1</v>
      </c>
      <c r="S347" s="1" t="s">
        <v>24</v>
      </c>
      <c r="T347">
        <v>33020000</v>
      </c>
      <c r="U347" t="s">
        <v>182</v>
      </c>
      <c r="V347" s="1" t="s">
        <v>171</v>
      </c>
      <c r="W347" s="1" t="s">
        <v>172</v>
      </c>
      <c r="X347" s="1" t="str">
        <f>VLOOKUP(V347,Broker_Directory!A:C,3,FALSE)</f>
        <v>Tier B</v>
      </c>
      <c r="Y347" s="1">
        <f>HLOOKUP(X347, Commission_Rates!A$1:C$2, 2, FALSE)</f>
        <v>1.4999999999999999E-2</v>
      </c>
      <c r="Z347" s="1">
        <f t="shared" si="15"/>
        <v>0</v>
      </c>
      <c r="AA347" s="1">
        <f t="shared" si="16"/>
        <v>0</v>
      </c>
      <c r="AB347" s="1">
        <f t="shared" si="17"/>
        <v>0</v>
      </c>
    </row>
    <row r="348" spans="1:28" x14ac:dyDescent="0.3">
      <c r="A348" s="1" t="s">
        <v>37</v>
      </c>
      <c r="B348" s="1" t="s">
        <v>45</v>
      </c>
      <c r="C348">
        <v>1</v>
      </c>
      <c r="D348">
        <v>1</v>
      </c>
      <c r="E348">
        <v>2227</v>
      </c>
      <c r="F348">
        <v>8186</v>
      </c>
      <c r="G348">
        <v>2</v>
      </c>
      <c r="H348">
        <v>2025</v>
      </c>
      <c r="I348">
        <v>2025</v>
      </c>
      <c r="J348" s="1" t="s">
        <v>22</v>
      </c>
      <c r="K348">
        <v>1</v>
      </c>
      <c r="L348" s="1" t="s">
        <v>64</v>
      </c>
      <c r="M348" s="1" t="s">
        <v>24</v>
      </c>
      <c r="N348" s="1" t="s">
        <v>25</v>
      </c>
      <c r="O348">
        <v>5</v>
      </c>
      <c r="P348">
        <v>1</v>
      </c>
      <c r="Q348" s="1" t="s">
        <v>47</v>
      </c>
      <c r="R348">
        <v>1</v>
      </c>
      <c r="S348" s="1" t="s">
        <v>27</v>
      </c>
      <c r="T348">
        <v>18051000</v>
      </c>
      <c r="U348" t="s">
        <v>184</v>
      </c>
      <c r="V348" s="1" t="s">
        <v>176</v>
      </c>
      <c r="W348" s="1" t="s">
        <v>177</v>
      </c>
      <c r="X348" s="1" t="str">
        <f>VLOOKUP(V348,Broker_Directory!A:C,3,FALSE)</f>
        <v>Tier C</v>
      </c>
      <c r="Y348" s="1">
        <f>HLOOKUP(X348, Commission_Rates!A$1:C$2, 2, FALSE)</f>
        <v>0.01</v>
      </c>
      <c r="Z348" s="1">
        <f t="shared" si="15"/>
        <v>180510</v>
      </c>
      <c r="AA348" s="1">
        <f t="shared" si="16"/>
        <v>541530</v>
      </c>
      <c r="AB348" s="1">
        <f t="shared" si="17"/>
        <v>361020</v>
      </c>
    </row>
    <row r="349" spans="1:28" x14ac:dyDescent="0.3">
      <c r="A349" s="1" t="s">
        <v>28</v>
      </c>
      <c r="B349" s="1" t="s">
        <v>29</v>
      </c>
      <c r="C349">
        <v>2</v>
      </c>
      <c r="D349">
        <v>1</v>
      </c>
      <c r="E349">
        <v>4158</v>
      </c>
      <c r="F349">
        <v>9001</v>
      </c>
      <c r="G349">
        <v>2</v>
      </c>
      <c r="H349">
        <v>1956</v>
      </c>
      <c r="I349">
        <v>2010</v>
      </c>
      <c r="J349" s="1" t="s">
        <v>52</v>
      </c>
      <c r="K349">
        <v>1</v>
      </c>
      <c r="L349" s="1" t="s">
        <v>41</v>
      </c>
      <c r="M349" s="1" t="s">
        <v>24</v>
      </c>
      <c r="N349" s="1" t="s">
        <v>46</v>
      </c>
      <c r="O349">
        <v>5</v>
      </c>
      <c r="P349">
        <v>1</v>
      </c>
      <c r="Q349" s="1" t="s">
        <v>81</v>
      </c>
      <c r="R349">
        <v>1</v>
      </c>
      <c r="S349" s="1" t="s">
        <v>27</v>
      </c>
      <c r="T349">
        <v>41790000</v>
      </c>
      <c r="U349" t="s">
        <v>182</v>
      </c>
      <c r="V349" s="1" t="s">
        <v>168</v>
      </c>
      <c r="W349" s="1" t="s">
        <v>169</v>
      </c>
      <c r="X349" s="1" t="str">
        <f>VLOOKUP(V349,Broker_Directory!A:C,3,FALSE)</f>
        <v>Tier A</v>
      </c>
      <c r="Y349" s="1">
        <f>HLOOKUP(X349, Commission_Rates!A$1:C$2, 2, FALSE)</f>
        <v>0.02</v>
      </c>
      <c r="Z349" s="1">
        <f t="shared" si="15"/>
        <v>0</v>
      </c>
      <c r="AA349" s="1">
        <f t="shared" si="16"/>
        <v>0</v>
      </c>
      <c r="AB349" s="1">
        <f t="shared" si="17"/>
        <v>0</v>
      </c>
    </row>
    <row r="350" spans="1:28" x14ac:dyDescent="0.3">
      <c r="A350" s="1" t="s">
        <v>53</v>
      </c>
      <c r="B350" s="1" t="s">
        <v>66</v>
      </c>
      <c r="C350">
        <v>3</v>
      </c>
      <c r="D350">
        <v>2</v>
      </c>
      <c r="E350">
        <v>562</v>
      </c>
      <c r="F350">
        <v>9929</v>
      </c>
      <c r="G350">
        <v>1</v>
      </c>
      <c r="H350">
        <v>1985</v>
      </c>
      <c r="I350">
        <v>1992</v>
      </c>
      <c r="J350" s="1" t="s">
        <v>58</v>
      </c>
      <c r="K350">
        <v>3</v>
      </c>
      <c r="L350" s="1" t="s">
        <v>41</v>
      </c>
      <c r="M350" s="1" t="s">
        <v>27</v>
      </c>
      <c r="N350" s="1" t="s">
        <v>25</v>
      </c>
      <c r="O350">
        <v>5</v>
      </c>
      <c r="P350">
        <v>1</v>
      </c>
      <c r="Q350" s="1" t="s">
        <v>82</v>
      </c>
      <c r="R350">
        <v>1</v>
      </c>
      <c r="S350" s="1" t="s">
        <v>24</v>
      </c>
      <c r="T350">
        <v>5428000</v>
      </c>
      <c r="U350" t="s">
        <v>183</v>
      </c>
      <c r="V350" s="1" t="s">
        <v>168</v>
      </c>
      <c r="W350" s="1" t="s">
        <v>169</v>
      </c>
      <c r="X350" s="1" t="str">
        <f>VLOOKUP(V350,Broker_Directory!A:C,3,FALSE)</f>
        <v>Tier A</v>
      </c>
      <c r="Y350" s="1">
        <f>HLOOKUP(X350, Commission_Rates!A$1:C$2, 2, FALSE)</f>
        <v>0.02</v>
      </c>
      <c r="Z350" s="1">
        <f t="shared" si="15"/>
        <v>0</v>
      </c>
      <c r="AA350" s="1">
        <f t="shared" si="16"/>
        <v>0</v>
      </c>
      <c r="AB350" s="1">
        <f t="shared" si="17"/>
        <v>0</v>
      </c>
    </row>
    <row r="351" spans="1:28" x14ac:dyDescent="0.3">
      <c r="A351" s="1" t="s">
        <v>33</v>
      </c>
      <c r="B351" s="1" t="s">
        <v>43</v>
      </c>
      <c r="C351">
        <v>2</v>
      </c>
      <c r="D351">
        <v>1</v>
      </c>
      <c r="E351">
        <v>3672</v>
      </c>
      <c r="F351">
        <v>7996</v>
      </c>
      <c r="G351">
        <v>2</v>
      </c>
      <c r="H351">
        <v>1977</v>
      </c>
      <c r="I351">
        <v>2013</v>
      </c>
      <c r="J351" s="1" t="s">
        <v>22</v>
      </c>
      <c r="K351">
        <v>3</v>
      </c>
      <c r="L351" s="1" t="s">
        <v>64</v>
      </c>
      <c r="M351" s="1" t="s">
        <v>24</v>
      </c>
      <c r="N351" s="1" t="s">
        <v>35</v>
      </c>
      <c r="O351">
        <v>6</v>
      </c>
      <c r="P351">
        <v>5</v>
      </c>
      <c r="Q351" s="1" t="s">
        <v>130</v>
      </c>
      <c r="R351">
        <v>1</v>
      </c>
      <c r="S351" s="1" t="s">
        <v>27</v>
      </c>
      <c r="T351">
        <v>31422000</v>
      </c>
      <c r="U351" t="s">
        <v>182</v>
      </c>
      <c r="V351" s="1" t="s">
        <v>174</v>
      </c>
      <c r="W351" s="1" t="s">
        <v>175</v>
      </c>
      <c r="X351" s="1" t="str">
        <f>VLOOKUP(V351,Broker_Directory!A:C,3,FALSE)</f>
        <v>Tier A</v>
      </c>
      <c r="Y351" s="1">
        <f>HLOOKUP(X351, Commission_Rates!A$1:C$2, 2, FALSE)</f>
        <v>0.02</v>
      </c>
      <c r="Z351" s="1">
        <f t="shared" si="15"/>
        <v>0</v>
      </c>
      <c r="AA351" s="1">
        <f t="shared" si="16"/>
        <v>0</v>
      </c>
      <c r="AB351" s="1">
        <f t="shared" si="17"/>
        <v>0</v>
      </c>
    </row>
    <row r="352" spans="1:28" x14ac:dyDescent="0.3">
      <c r="A352" s="1" t="s">
        <v>37</v>
      </c>
      <c r="B352" s="1" t="s">
        <v>45</v>
      </c>
      <c r="C352">
        <v>2</v>
      </c>
      <c r="D352">
        <v>2</v>
      </c>
      <c r="E352">
        <v>4999</v>
      </c>
      <c r="F352">
        <v>5090</v>
      </c>
      <c r="G352">
        <v>2</v>
      </c>
      <c r="H352">
        <v>1955</v>
      </c>
      <c r="I352">
        <v>1959</v>
      </c>
      <c r="J352" s="1" t="s">
        <v>22</v>
      </c>
      <c r="K352">
        <v>0</v>
      </c>
      <c r="L352" s="1" t="s">
        <v>41</v>
      </c>
      <c r="M352" s="1" t="s">
        <v>27</v>
      </c>
      <c r="N352" s="1" t="s">
        <v>46</v>
      </c>
      <c r="O352">
        <v>1</v>
      </c>
      <c r="P352">
        <v>3</v>
      </c>
      <c r="Q352" s="1" t="s">
        <v>122</v>
      </c>
      <c r="R352">
        <v>1</v>
      </c>
      <c r="S352" s="1" t="s">
        <v>24</v>
      </c>
      <c r="T352">
        <v>40257000</v>
      </c>
      <c r="U352" t="s">
        <v>183</v>
      </c>
      <c r="V352" s="1" t="s">
        <v>171</v>
      </c>
      <c r="W352" s="1" t="s">
        <v>172</v>
      </c>
      <c r="X352" s="1" t="str">
        <f>VLOOKUP(V352,Broker_Directory!A:C,3,FALSE)</f>
        <v>Tier B</v>
      </c>
      <c r="Y352" s="1">
        <f>HLOOKUP(X352, Commission_Rates!A$1:C$2, 2, FALSE)</f>
        <v>1.4999999999999999E-2</v>
      </c>
      <c r="Z352" s="1">
        <f t="shared" si="15"/>
        <v>0</v>
      </c>
      <c r="AA352" s="1">
        <f t="shared" si="16"/>
        <v>0</v>
      </c>
      <c r="AB352" s="1">
        <f t="shared" si="17"/>
        <v>0</v>
      </c>
    </row>
    <row r="353" spans="1:28" x14ac:dyDescent="0.3">
      <c r="A353" s="1" t="s">
        <v>33</v>
      </c>
      <c r="B353" s="1" t="s">
        <v>48</v>
      </c>
      <c r="C353">
        <v>4</v>
      </c>
      <c r="D353">
        <v>2</v>
      </c>
      <c r="E353">
        <v>1387</v>
      </c>
      <c r="F353">
        <v>7309</v>
      </c>
      <c r="G353">
        <v>2</v>
      </c>
      <c r="H353">
        <v>1980</v>
      </c>
      <c r="I353">
        <v>2020</v>
      </c>
      <c r="J353" s="1" t="s">
        <v>58</v>
      </c>
      <c r="K353">
        <v>0</v>
      </c>
      <c r="L353" s="1" t="s">
        <v>41</v>
      </c>
      <c r="M353" s="1" t="s">
        <v>27</v>
      </c>
      <c r="N353" s="1" t="s">
        <v>25</v>
      </c>
      <c r="O353">
        <v>7</v>
      </c>
      <c r="P353">
        <v>4</v>
      </c>
      <c r="Q353" s="1" t="s">
        <v>49</v>
      </c>
      <c r="R353">
        <v>3</v>
      </c>
      <c r="S353" s="1" t="s">
        <v>27</v>
      </c>
      <c r="T353">
        <v>12209500</v>
      </c>
      <c r="U353" t="s">
        <v>182</v>
      </c>
      <c r="V353" s="1" t="s">
        <v>171</v>
      </c>
      <c r="W353" s="1" t="s">
        <v>172</v>
      </c>
      <c r="X353" s="1" t="str">
        <f>VLOOKUP(V353,Broker_Directory!A:C,3,FALSE)</f>
        <v>Tier B</v>
      </c>
      <c r="Y353" s="1">
        <f>HLOOKUP(X353, Commission_Rates!A$1:C$2, 2, FALSE)</f>
        <v>1.4999999999999999E-2</v>
      </c>
      <c r="Z353" s="1">
        <f t="shared" si="15"/>
        <v>0</v>
      </c>
      <c r="AA353" s="1">
        <f t="shared" si="16"/>
        <v>0</v>
      </c>
      <c r="AB353" s="1">
        <f t="shared" si="17"/>
        <v>0</v>
      </c>
    </row>
    <row r="354" spans="1:28" x14ac:dyDescent="0.3">
      <c r="A354" s="1" t="s">
        <v>28</v>
      </c>
      <c r="B354" s="1" t="s">
        <v>29</v>
      </c>
      <c r="C354">
        <v>2</v>
      </c>
      <c r="D354">
        <v>3</v>
      </c>
      <c r="E354">
        <v>4103</v>
      </c>
      <c r="F354">
        <v>9919</v>
      </c>
      <c r="G354">
        <v>3</v>
      </c>
      <c r="H354">
        <v>1950</v>
      </c>
      <c r="I354">
        <v>1958</v>
      </c>
      <c r="J354" s="1" t="s">
        <v>22</v>
      </c>
      <c r="K354">
        <v>2</v>
      </c>
      <c r="L354" s="1" t="s">
        <v>23</v>
      </c>
      <c r="M354" s="1" t="s">
        <v>27</v>
      </c>
      <c r="N354" s="1" t="s">
        <v>46</v>
      </c>
      <c r="O354">
        <v>4</v>
      </c>
      <c r="P354">
        <v>5</v>
      </c>
      <c r="Q354" s="1" t="s">
        <v>149</v>
      </c>
      <c r="R354">
        <v>0</v>
      </c>
      <c r="S354" s="1" t="s">
        <v>27</v>
      </c>
      <c r="T354">
        <v>41280000</v>
      </c>
      <c r="U354" t="s">
        <v>183</v>
      </c>
      <c r="V354" s="1" t="s">
        <v>171</v>
      </c>
      <c r="W354" s="1" t="s">
        <v>172</v>
      </c>
      <c r="X354" s="1" t="str">
        <f>VLOOKUP(V354,Broker_Directory!A:C,3,FALSE)</f>
        <v>Tier B</v>
      </c>
      <c r="Y354" s="1">
        <f>HLOOKUP(X354, Commission_Rates!A$1:C$2, 2, FALSE)</f>
        <v>1.4999999999999999E-2</v>
      </c>
      <c r="Z354" s="1">
        <f t="shared" si="15"/>
        <v>0</v>
      </c>
      <c r="AA354" s="1">
        <f t="shared" si="16"/>
        <v>0</v>
      </c>
      <c r="AB354" s="1">
        <f t="shared" si="17"/>
        <v>0</v>
      </c>
    </row>
    <row r="355" spans="1:28" x14ac:dyDescent="0.3">
      <c r="A355" s="1" t="s">
        <v>20</v>
      </c>
      <c r="B355" s="1" t="s">
        <v>133</v>
      </c>
      <c r="C355">
        <v>3</v>
      </c>
      <c r="D355">
        <v>1</v>
      </c>
      <c r="E355">
        <v>1209</v>
      </c>
      <c r="F355">
        <v>7533</v>
      </c>
      <c r="G355">
        <v>2</v>
      </c>
      <c r="H355">
        <v>2009</v>
      </c>
      <c r="I355">
        <v>2009</v>
      </c>
      <c r="J355" s="1" t="s">
        <v>30</v>
      </c>
      <c r="K355">
        <v>2</v>
      </c>
      <c r="L355" s="1" t="s">
        <v>31</v>
      </c>
      <c r="M355" s="1" t="s">
        <v>24</v>
      </c>
      <c r="N355" s="1" t="s">
        <v>35</v>
      </c>
      <c r="O355">
        <v>3</v>
      </c>
      <c r="P355">
        <v>1</v>
      </c>
      <c r="Q355" s="1" t="s">
        <v>148</v>
      </c>
      <c r="R355">
        <v>1</v>
      </c>
      <c r="S355" s="1" t="s">
        <v>24</v>
      </c>
      <c r="T355">
        <v>14818000</v>
      </c>
      <c r="U355" t="s">
        <v>183</v>
      </c>
      <c r="V355" s="1" t="s">
        <v>176</v>
      </c>
      <c r="W355" s="1" t="s">
        <v>177</v>
      </c>
      <c r="X355" s="1" t="str">
        <f>VLOOKUP(V355,Broker_Directory!A:C,3,FALSE)</f>
        <v>Tier C</v>
      </c>
      <c r="Y355" s="1">
        <f>HLOOKUP(X355, Commission_Rates!A$1:C$2, 2, FALSE)</f>
        <v>0.01</v>
      </c>
      <c r="Z355" s="1">
        <f t="shared" si="15"/>
        <v>0</v>
      </c>
      <c r="AA355" s="1">
        <f t="shared" si="16"/>
        <v>0</v>
      </c>
      <c r="AB355" s="1">
        <f t="shared" si="17"/>
        <v>0</v>
      </c>
    </row>
    <row r="356" spans="1:28" x14ac:dyDescent="0.3">
      <c r="A356" s="1" t="s">
        <v>37</v>
      </c>
      <c r="B356" s="1" t="s">
        <v>45</v>
      </c>
      <c r="C356">
        <v>2</v>
      </c>
      <c r="D356">
        <v>2</v>
      </c>
      <c r="E356">
        <v>2925</v>
      </c>
      <c r="F356">
        <v>5864</v>
      </c>
      <c r="G356">
        <v>2</v>
      </c>
      <c r="H356">
        <v>2014</v>
      </c>
      <c r="I356">
        <v>2023</v>
      </c>
      <c r="J356" s="1" t="s">
        <v>22</v>
      </c>
      <c r="K356">
        <v>2</v>
      </c>
      <c r="L356" s="1" t="s">
        <v>23</v>
      </c>
      <c r="M356" s="1" t="s">
        <v>24</v>
      </c>
      <c r="N356" s="1" t="s">
        <v>46</v>
      </c>
      <c r="O356">
        <v>5</v>
      </c>
      <c r="P356">
        <v>3</v>
      </c>
      <c r="Q356" s="1" t="s">
        <v>122</v>
      </c>
      <c r="R356">
        <v>0</v>
      </c>
      <c r="S356" s="1" t="s">
        <v>27</v>
      </c>
      <c r="T356">
        <v>23625000</v>
      </c>
      <c r="U356" t="s">
        <v>183</v>
      </c>
      <c r="V356" s="1" t="s">
        <v>171</v>
      </c>
      <c r="W356" s="1" t="s">
        <v>172</v>
      </c>
      <c r="X356" s="1" t="str">
        <f>VLOOKUP(V356,Broker_Directory!A:C,3,FALSE)</f>
        <v>Tier B</v>
      </c>
      <c r="Y356" s="1">
        <f>HLOOKUP(X356, Commission_Rates!A$1:C$2, 2, FALSE)</f>
        <v>1.4999999999999999E-2</v>
      </c>
      <c r="Z356" s="1">
        <f t="shared" si="15"/>
        <v>0</v>
      </c>
      <c r="AA356" s="1">
        <f t="shared" si="16"/>
        <v>0</v>
      </c>
      <c r="AB356" s="1">
        <f t="shared" si="17"/>
        <v>0</v>
      </c>
    </row>
    <row r="357" spans="1:28" x14ac:dyDescent="0.3">
      <c r="A357" s="1" t="s">
        <v>33</v>
      </c>
      <c r="B357" s="1" t="s">
        <v>43</v>
      </c>
      <c r="C357">
        <v>3</v>
      </c>
      <c r="D357">
        <v>4</v>
      </c>
      <c r="E357">
        <v>3315</v>
      </c>
      <c r="F357">
        <v>9917</v>
      </c>
      <c r="G357">
        <v>3</v>
      </c>
      <c r="H357">
        <v>1958</v>
      </c>
      <c r="I357">
        <v>1981</v>
      </c>
      <c r="J357" s="1" t="s">
        <v>22</v>
      </c>
      <c r="K357">
        <v>0</v>
      </c>
      <c r="L357" s="1" t="s">
        <v>23</v>
      </c>
      <c r="M357" s="1" t="s">
        <v>27</v>
      </c>
      <c r="N357" s="1" t="s">
        <v>25</v>
      </c>
      <c r="O357">
        <v>4</v>
      </c>
      <c r="P357">
        <v>0</v>
      </c>
      <c r="Q357" s="1" t="s">
        <v>83</v>
      </c>
      <c r="R357">
        <v>1</v>
      </c>
      <c r="S357" s="1" t="s">
        <v>27</v>
      </c>
      <c r="T357">
        <v>28597500</v>
      </c>
      <c r="U357" t="s">
        <v>183</v>
      </c>
      <c r="V357" s="1" t="s">
        <v>179</v>
      </c>
      <c r="W357" s="1" t="s">
        <v>180</v>
      </c>
      <c r="X357" s="1" t="str">
        <f>VLOOKUP(V357,Broker_Directory!A:C,3,FALSE)</f>
        <v>Tier B</v>
      </c>
      <c r="Y357" s="1">
        <f>HLOOKUP(X357, Commission_Rates!A$1:C$2, 2, FALSE)</f>
        <v>1.4999999999999999E-2</v>
      </c>
      <c r="Z357" s="1">
        <f t="shared" si="15"/>
        <v>0</v>
      </c>
      <c r="AA357" s="1">
        <f t="shared" si="16"/>
        <v>0</v>
      </c>
      <c r="AB357" s="1">
        <f t="shared" si="17"/>
        <v>0</v>
      </c>
    </row>
    <row r="358" spans="1:28" x14ac:dyDescent="0.3">
      <c r="A358" s="1" t="s">
        <v>20</v>
      </c>
      <c r="B358" s="1" t="s">
        <v>40</v>
      </c>
      <c r="C358">
        <v>4</v>
      </c>
      <c r="D358">
        <v>2</v>
      </c>
      <c r="E358">
        <v>1973</v>
      </c>
      <c r="F358">
        <v>6288</v>
      </c>
      <c r="G358">
        <v>3</v>
      </c>
      <c r="H358">
        <v>1952</v>
      </c>
      <c r="I358">
        <v>1988</v>
      </c>
      <c r="J358" s="1" t="s">
        <v>22</v>
      </c>
      <c r="K358">
        <v>1</v>
      </c>
      <c r="L358" s="1" t="s">
        <v>41</v>
      </c>
      <c r="M358" s="1" t="s">
        <v>27</v>
      </c>
      <c r="N358" s="1" t="s">
        <v>46</v>
      </c>
      <c r="O358">
        <v>7</v>
      </c>
      <c r="P358">
        <v>5</v>
      </c>
      <c r="Q358" s="1" t="s">
        <v>115</v>
      </c>
      <c r="R358">
        <v>2</v>
      </c>
      <c r="S358" s="1" t="s">
        <v>24</v>
      </c>
      <c r="T358">
        <v>24076000</v>
      </c>
      <c r="U358" t="s">
        <v>183</v>
      </c>
      <c r="V358" s="1" t="s">
        <v>168</v>
      </c>
      <c r="W358" s="1" t="s">
        <v>169</v>
      </c>
      <c r="X358" s="1" t="str">
        <f>VLOOKUP(V358,Broker_Directory!A:C,3,FALSE)</f>
        <v>Tier A</v>
      </c>
      <c r="Y358" s="1">
        <f>HLOOKUP(X358, Commission_Rates!A$1:C$2, 2, FALSE)</f>
        <v>0.02</v>
      </c>
      <c r="Z358" s="1">
        <f t="shared" si="15"/>
        <v>0</v>
      </c>
      <c r="AA358" s="1">
        <f t="shared" si="16"/>
        <v>0</v>
      </c>
      <c r="AB358" s="1">
        <f t="shared" si="17"/>
        <v>0</v>
      </c>
    </row>
    <row r="359" spans="1:28" x14ac:dyDescent="0.3">
      <c r="A359" s="1" t="s">
        <v>20</v>
      </c>
      <c r="B359" s="1" t="s">
        <v>21</v>
      </c>
      <c r="C359">
        <v>2</v>
      </c>
      <c r="D359">
        <v>3</v>
      </c>
      <c r="E359">
        <v>3672</v>
      </c>
      <c r="F359">
        <v>8462</v>
      </c>
      <c r="G359">
        <v>2</v>
      </c>
      <c r="H359">
        <v>1991</v>
      </c>
      <c r="I359">
        <v>2021</v>
      </c>
      <c r="J359" s="1" t="s">
        <v>22</v>
      </c>
      <c r="K359">
        <v>3</v>
      </c>
      <c r="L359" s="1" t="s">
        <v>64</v>
      </c>
      <c r="M359" s="1" t="s">
        <v>24</v>
      </c>
      <c r="N359" s="1" t="s">
        <v>46</v>
      </c>
      <c r="O359">
        <v>2</v>
      </c>
      <c r="P359">
        <v>2</v>
      </c>
      <c r="Q359" s="1" t="s">
        <v>56</v>
      </c>
      <c r="R359">
        <v>3</v>
      </c>
      <c r="S359" s="1" t="s">
        <v>27</v>
      </c>
      <c r="T359">
        <v>44364000</v>
      </c>
      <c r="U359" t="s">
        <v>184</v>
      </c>
      <c r="V359" s="1" t="s">
        <v>176</v>
      </c>
      <c r="W359" s="1" t="s">
        <v>177</v>
      </c>
      <c r="X359" s="1" t="str">
        <f>VLOOKUP(V359,Broker_Directory!A:C,3,FALSE)</f>
        <v>Tier C</v>
      </c>
      <c r="Y359" s="1">
        <f>HLOOKUP(X359, Commission_Rates!A$1:C$2, 2, FALSE)</f>
        <v>0.01</v>
      </c>
      <c r="Z359" s="1">
        <f t="shared" si="15"/>
        <v>443640</v>
      </c>
      <c r="AA359" s="1">
        <f t="shared" si="16"/>
        <v>1330920</v>
      </c>
      <c r="AB359" s="1">
        <f t="shared" si="17"/>
        <v>887280</v>
      </c>
    </row>
    <row r="360" spans="1:28" x14ac:dyDescent="0.3">
      <c r="A360" s="1" t="s">
        <v>53</v>
      </c>
      <c r="B360" s="1" t="s">
        <v>105</v>
      </c>
      <c r="C360">
        <v>2</v>
      </c>
      <c r="D360">
        <v>3</v>
      </c>
      <c r="E360">
        <v>2629</v>
      </c>
      <c r="F360">
        <v>6413</v>
      </c>
      <c r="G360">
        <v>1</v>
      </c>
      <c r="H360">
        <v>1970</v>
      </c>
      <c r="I360">
        <v>2014</v>
      </c>
      <c r="J360" s="1" t="s">
        <v>30</v>
      </c>
      <c r="K360">
        <v>1</v>
      </c>
      <c r="L360" s="1" t="s">
        <v>31</v>
      </c>
      <c r="M360" s="1" t="s">
        <v>24</v>
      </c>
      <c r="N360" s="1" t="s">
        <v>25</v>
      </c>
      <c r="O360">
        <v>3</v>
      </c>
      <c r="P360">
        <v>0</v>
      </c>
      <c r="Q360" s="1" t="s">
        <v>108</v>
      </c>
      <c r="R360">
        <v>2</v>
      </c>
      <c r="S360" s="1" t="s">
        <v>24</v>
      </c>
      <c r="T360">
        <v>24051000</v>
      </c>
      <c r="U360" t="s">
        <v>182</v>
      </c>
      <c r="V360" s="1" t="s">
        <v>174</v>
      </c>
      <c r="W360" s="1" t="s">
        <v>175</v>
      </c>
      <c r="X360" s="1" t="str">
        <f>VLOOKUP(V360,Broker_Directory!A:C,3,FALSE)</f>
        <v>Tier A</v>
      </c>
      <c r="Y360" s="1">
        <f>HLOOKUP(X360, Commission_Rates!A$1:C$2, 2, FALSE)</f>
        <v>0.02</v>
      </c>
      <c r="Z360" s="1">
        <f t="shared" si="15"/>
        <v>0</v>
      </c>
      <c r="AA360" s="1">
        <f t="shared" si="16"/>
        <v>0</v>
      </c>
      <c r="AB360" s="1">
        <f t="shared" si="17"/>
        <v>0</v>
      </c>
    </row>
    <row r="361" spans="1:28" x14ac:dyDescent="0.3">
      <c r="A361" s="1" t="s">
        <v>37</v>
      </c>
      <c r="B361" s="1" t="s">
        <v>38</v>
      </c>
      <c r="C361">
        <v>3</v>
      </c>
      <c r="D361">
        <v>2</v>
      </c>
      <c r="E361">
        <v>1980</v>
      </c>
      <c r="F361">
        <v>6637</v>
      </c>
      <c r="G361">
        <v>3</v>
      </c>
      <c r="H361">
        <v>1954</v>
      </c>
      <c r="I361">
        <v>1993</v>
      </c>
      <c r="J361" s="1" t="s">
        <v>30</v>
      </c>
      <c r="K361">
        <v>1</v>
      </c>
      <c r="L361" s="1" t="s">
        <v>64</v>
      </c>
      <c r="M361" s="1" t="s">
        <v>27</v>
      </c>
      <c r="N361" s="1" t="s">
        <v>35</v>
      </c>
      <c r="O361">
        <v>2</v>
      </c>
      <c r="P361">
        <v>4</v>
      </c>
      <c r="Q361" s="1" t="s">
        <v>39</v>
      </c>
      <c r="R361">
        <v>0</v>
      </c>
      <c r="S361" s="1" t="s">
        <v>24</v>
      </c>
      <c r="T361">
        <v>16160000</v>
      </c>
      <c r="U361" t="s">
        <v>182</v>
      </c>
      <c r="V361" s="1" t="s">
        <v>176</v>
      </c>
      <c r="W361" s="1" t="s">
        <v>177</v>
      </c>
      <c r="X361" s="1" t="str">
        <f>VLOOKUP(V361,Broker_Directory!A:C,3,FALSE)</f>
        <v>Tier C</v>
      </c>
      <c r="Y361" s="1">
        <f>HLOOKUP(X361, Commission_Rates!A$1:C$2, 2, FALSE)</f>
        <v>0.01</v>
      </c>
      <c r="Z361" s="1">
        <f t="shared" si="15"/>
        <v>0</v>
      </c>
      <c r="AA361" s="1">
        <f t="shared" si="16"/>
        <v>0</v>
      </c>
      <c r="AB361" s="1">
        <f t="shared" si="17"/>
        <v>0</v>
      </c>
    </row>
    <row r="362" spans="1:28" x14ac:dyDescent="0.3">
      <c r="A362" s="1" t="s">
        <v>37</v>
      </c>
      <c r="B362" s="1" t="s">
        <v>72</v>
      </c>
      <c r="C362">
        <v>2</v>
      </c>
      <c r="D362">
        <v>4</v>
      </c>
      <c r="E362">
        <v>2923</v>
      </c>
      <c r="F362">
        <v>4251</v>
      </c>
      <c r="G362">
        <v>1</v>
      </c>
      <c r="H362">
        <v>2019</v>
      </c>
      <c r="I362">
        <v>2023</v>
      </c>
      <c r="J362" s="1" t="s">
        <v>30</v>
      </c>
      <c r="K362">
        <v>3</v>
      </c>
      <c r="L362" s="1" t="s">
        <v>64</v>
      </c>
      <c r="M362" s="1" t="s">
        <v>24</v>
      </c>
      <c r="N362" s="1" t="s">
        <v>35</v>
      </c>
      <c r="O362">
        <v>7</v>
      </c>
      <c r="P362">
        <v>2</v>
      </c>
      <c r="Q362" s="1" t="s">
        <v>107</v>
      </c>
      <c r="R362">
        <v>3</v>
      </c>
      <c r="S362" s="1" t="s">
        <v>24</v>
      </c>
      <c r="T362">
        <v>23744000</v>
      </c>
      <c r="U362" t="s">
        <v>182</v>
      </c>
      <c r="V362" s="1" t="s">
        <v>168</v>
      </c>
      <c r="W362" s="1" t="s">
        <v>169</v>
      </c>
      <c r="X362" s="1" t="str">
        <f>VLOOKUP(V362,Broker_Directory!A:C,3,FALSE)</f>
        <v>Tier A</v>
      </c>
      <c r="Y362" s="1">
        <f>HLOOKUP(X362, Commission_Rates!A$1:C$2, 2, FALSE)</f>
        <v>0.02</v>
      </c>
      <c r="Z362" s="1">
        <f t="shared" si="15"/>
        <v>0</v>
      </c>
      <c r="AA362" s="1">
        <f t="shared" si="16"/>
        <v>0</v>
      </c>
      <c r="AB362" s="1">
        <f t="shared" si="17"/>
        <v>0</v>
      </c>
    </row>
    <row r="363" spans="1:28" x14ac:dyDescent="0.3">
      <c r="A363" s="1" t="s">
        <v>28</v>
      </c>
      <c r="B363" s="1" t="s">
        <v>95</v>
      </c>
      <c r="C363">
        <v>1</v>
      </c>
      <c r="D363">
        <v>3</v>
      </c>
      <c r="E363">
        <v>503</v>
      </c>
      <c r="F363">
        <v>7133</v>
      </c>
      <c r="G363">
        <v>3</v>
      </c>
      <c r="H363">
        <v>1978</v>
      </c>
      <c r="I363">
        <v>2005</v>
      </c>
      <c r="J363" s="1" t="s">
        <v>30</v>
      </c>
      <c r="K363">
        <v>0</v>
      </c>
      <c r="L363" s="1" t="s">
        <v>64</v>
      </c>
      <c r="M363" s="1" t="s">
        <v>24</v>
      </c>
      <c r="N363" s="1" t="s">
        <v>35</v>
      </c>
      <c r="O363">
        <v>10</v>
      </c>
      <c r="P363">
        <v>1</v>
      </c>
      <c r="Q363" s="1" t="s">
        <v>96</v>
      </c>
      <c r="R363">
        <v>2</v>
      </c>
      <c r="S363" s="1" t="s">
        <v>24</v>
      </c>
      <c r="T363">
        <v>5335000</v>
      </c>
      <c r="U363" t="s">
        <v>184</v>
      </c>
      <c r="V363" s="1" t="s">
        <v>174</v>
      </c>
      <c r="W363" s="1" t="s">
        <v>175</v>
      </c>
      <c r="X363" s="1" t="str">
        <f>VLOOKUP(V363,Broker_Directory!A:C,3,FALSE)</f>
        <v>Tier A</v>
      </c>
      <c r="Y363" s="1">
        <f>HLOOKUP(X363, Commission_Rates!A$1:C$2, 2, FALSE)</f>
        <v>0.02</v>
      </c>
      <c r="Z363" s="1">
        <f t="shared" si="15"/>
        <v>106700</v>
      </c>
      <c r="AA363" s="1">
        <f t="shared" si="16"/>
        <v>160050</v>
      </c>
      <c r="AB363" s="1">
        <f t="shared" si="17"/>
        <v>53350</v>
      </c>
    </row>
    <row r="364" spans="1:28" x14ac:dyDescent="0.3">
      <c r="A364" s="1" t="s">
        <v>20</v>
      </c>
      <c r="B364" s="1" t="s">
        <v>21</v>
      </c>
      <c r="C364">
        <v>5</v>
      </c>
      <c r="D364">
        <v>4</v>
      </c>
      <c r="E364">
        <v>1015</v>
      </c>
      <c r="F364">
        <v>9450</v>
      </c>
      <c r="G364">
        <v>2</v>
      </c>
      <c r="H364">
        <v>1974</v>
      </c>
      <c r="I364">
        <v>2004</v>
      </c>
      <c r="J364" s="1" t="s">
        <v>30</v>
      </c>
      <c r="K364">
        <v>0</v>
      </c>
      <c r="L364" s="1" t="s">
        <v>64</v>
      </c>
      <c r="M364" s="1" t="s">
        <v>27</v>
      </c>
      <c r="N364" s="1" t="s">
        <v>25</v>
      </c>
      <c r="O364">
        <v>6</v>
      </c>
      <c r="P364">
        <v>2</v>
      </c>
      <c r="Q364" s="1" t="s">
        <v>102</v>
      </c>
      <c r="R364">
        <v>2</v>
      </c>
      <c r="S364" s="1" t="s">
        <v>24</v>
      </c>
      <c r="T364">
        <v>12745000</v>
      </c>
      <c r="U364" t="s">
        <v>184</v>
      </c>
      <c r="V364" s="1" t="s">
        <v>168</v>
      </c>
      <c r="W364" s="1" t="s">
        <v>169</v>
      </c>
      <c r="X364" s="1" t="str">
        <f>VLOOKUP(V364,Broker_Directory!A:C,3,FALSE)</f>
        <v>Tier A</v>
      </c>
      <c r="Y364" s="1">
        <f>HLOOKUP(X364, Commission_Rates!A$1:C$2, 2, FALSE)</f>
        <v>0.02</v>
      </c>
      <c r="Z364" s="1">
        <f t="shared" si="15"/>
        <v>254900</v>
      </c>
      <c r="AA364" s="1">
        <f t="shared" si="16"/>
        <v>382350</v>
      </c>
      <c r="AB364" s="1">
        <f t="shared" si="17"/>
        <v>127450</v>
      </c>
    </row>
    <row r="365" spans="1:28" x14ac:dyDescent="0.3">
      <c r="A365" s="1" t="s">
        <v>53</v>
      </c>
      <c r="B365" s="1" t="s">
        <v>89</v>
      </c>
      <c r="C365">
        <v>3</v>
      </c>
      <c r="D365">
        <v>3</v>
      </c>
      <c r="E365">
        <v>3950</v>
      </c>
      <c r="F365">
        <v>8595</v>
      </c>
      <c r="G365">
        <v>1</v>
      </c>
      <c r="H365">
        <v>1977</v>
      </c>
      <c r="I365">
        <v>2022</v>
      </c>
      <c r="J365" s="1" t="s">
        <v>22</v>
      </c>
      <c r="K365">
        <v>3</v>
      </c>
      <c r="L365" s="1" t="s">
        <v>41</v>
      </c>
      <c r="M365" s="1" t="s">
        <v>27</v>
      </c>
      <c r="N365" s="1" t="s">
        <v>25</v>
      </c>
      <c r="O365">
        <v>6</v>
      </c>
      <c r="P365">
        <v>5</v>
      </c>
      <c r="Q365" s="1" t="s">
        <v>157</v>
      </c>
      <c r="R365">
        <v>1</v>
      </c>
      <c r="S365" s="1" t="s">
        <v>24</v>
      </c>
      <c r="T365">
        <v>35950000</v>
      </c>
      <c r="U365" t="s">
        <v>184</v>
      </c>
      <c r="V365" s="1" t="s">
        <v>174</v>
      </c>
      <c r="W365" s="1" t="s">
        <v>175</v>
      </c>
      <c r="X365" s="1" t="str">
        <f>VLOOKUP(V365,Broker_Directory!A:C,3,FALSE)</f>
        <v>Tier A</v>
      </c>
      <c r="Y365" s="1">
        <f>HLOOKUP(X365, Commission_Rates!A$1:C$2, 2, FALSE)</f>
        <v>0.02</v>
      </c>
      <c r="Z365" s="1">
        <f t="shared" si="15"/>
        <v>719000</v>
      </c>
      <c r="AA365" s="1">
        <f t="shared" si="16"/>
        <v>1078500</v>
      </c>
      <c r="AB365" s="1">
        <f t="shared" si="17"/>
        <v>359500</v>
      </c>
    </row>
    <row r="366" spans="1:28" x14ac:dyDescent="0.3">
      <c r="A366" s="1" t="s">
        <v>28</v>
      </c>
      <c r="B366" s="1" t="s">
        <v>110</v>
      </c>
      <c r="C366">
        <v>3</v>
      </c>
      <c r="D366">
        <v>4</v>
      </c>
      <c r="E366">
        <v>4603</v>
      </c>
      <c r="F366">
        <v>7400</v>
      </c>
      <c r="G366">
        <v>1</v>
      </c>
      <c r="H366">
        <v>2025</v>
      </c>
      <c r="I366">
        <v>2025</v>
      </c>
      <c r="J366" s="1" t="s">
        <v>58</v>
      </c>
      <c r="K366">
        <v>0</v>
      </c>
      <c r="L366" s="1" t="s">
        <v>41</v>
      </c>
      <c r="M366" s="1" t="s">
        <v>27</v>
      </c>
      <c r="N366" s="1" t="s">
        <v>46</v>
      </c>
      <c r="O366">
        <v>2</v>
      </c>
      <c r="P366">
        <v>4</v>
      </c>
      <c r="Q366" s="1" t="s">
        <v>155</v>
      </c>
      <c r="R366">
        <v>1</v>
      </c>
      <c r="S366" s="1" t="s">
        <v>24</v>
      </c>
      <c r="T366">
        <v>46385000</v>
      </c>
      <c r="U366" t="s">
        <v>182</v>
      </c>
      <c r="V366" s="1" t="s">
        <v>171</v>
      </c>
      <c r="W366" s="1" t="s">
        <v>172</v>
      </c>
      <c r="X366" s="1" t="str">
        <f>VLOOKUP(V366,Broker_Directory!A:C,3,FALSE)</f>
        <v>Tier B</v>
      </c>
      <c r="Y366" s="1">
        <f>HLOOKUP(X366, Commission_Rates!A$1:C$2, 2, FALSE)</f>
        <v>1.4999999999999999E-2</v>
      </c>
      <c r="Z366" s="1">
        <f t="shared" si="15"/>
        <v>0</v>
      </c>
      <c r="AA366" s="1">
        <f t="shared" si="16"/>
        <v>0</v>
      </c>
      <c r="AB366" s="1">
        <f t="shared" si="17"/>
        <v>0</v>
      </c>
    </row>
    <row r="367" spans="1:28" x14ac:dyDescent="0.3">
      <c r="A367" s="1" t="s">
        <v>28</v>
      </c>
      <c r="B367" s="1" t="s">
        <v>29</v>
      </c>
      <c r="C367">
        <v>3</v>
      </c>
      <c r="D367">
        <v>4</v>
      </c>
      <c r="E367">
        <v>645</v>
      </c>
      <c r="F367">
        <v>5642</v>
      </c>
      <c r="G367">
        <v>3</v>
      </c>
      <c r="H367">
        <v>1988</v>
      </c>
      <c r="I367">
        <v>2018</v>
      </c>
      <c r="J367" s="1" t="s">
        <v>22</v>
      </c>
      <c r="K367">
        <v>1</v>
      </c>
      <c r="L367" s="1" t="s">
        <v>23</v>
      </c>
      <c r="M367" s="1" t="s">
        <v>24</v>
      </c>
      <c r="N367" s="1" t="s">
        <v>25</v>
      </c>
      <c r="O367">
        <v>4</v>
      </c>
      <c r="P367">
        <v>2</v>
      </c>
      <c r="Q367" s="1" t="s">
        <v>81</v>
      </c>
      <c r="R367">
        <v>0</v>
      </c>
      <c r="S367" s="1" t="s">
        <v>27</v>
      </c>
      <c r="T367">
        <v>6880000</v>
      </c>
      <c r="U367" t="s">
        <v>182</v>
      </c>
      <c r="V367" s="1" t="s">
        <v>171</v>
      </c>
      <c r="W367" s="1" t="s">
        <v>172</v>
      </c>
      <c r="X367" s="1" t="str">
        <f>VLOOKUP(V367,Broker_Directory!A:C,3,FALSE)</f>
        <v>Tier B</v>
      </c>
      <c r="Y367" s="1">
        <f>HLOOKUP(X367, Commission_Rates!A$1:C$2, 2, FALSE)</f>
        <v>1.4999999999999999E-2</v>
      </c>
      <c r="Z367" s="1">
        <f t="shared" si="15"/>
        <v>0</v>
      </c>
      <c r="AA367" s="1">
        <f t="shared" si="16"/>
        <v>0</v>
      </c>
      <c r="AB367" s="1">
        <f t="shared" si="17"/>
        <v>0</v>
      </c>
    </row>
    <row r="368" spans="1:28" x14ac:dyDescent="0.3">
      <c r="A368" s="1" t="s">
        <v>37</v>
      </c>
      <c r="B368" s="1" t="s">
        <v>62</v>
      </c>
      <c r="C368">
        <v>4</v>
      </c>
      <c r="D368">
        <v>2</v>
      </c>
      <c r="E368">
        <v>533</v>
      </c>
      <c r="F368">
        <v>2538</v>
      </c>
      <c r="G368">
        <v>2</v>
      </c>
      <c r="H368">
        <v>2013</v>
      </c>
      <c r="I368">
        <v>2013</v>
      </c>
      <c r="J368" s="1" t="s">
        <v>30</v>
      </c>
      <c r="K368">
        <v>3</v>
      </c>
      <c r="L368" s="1" t="s">
        <v>41</v>
      </c>
      <c r="M368" s="1" t="s">
        <v>27</v>
      </c>
      <c r="N368" s="1" t="s">
        <v>35</v>
      </c>
      <c r="O368">
        <v>10</v>
      </c>
      <c r="P368">
        <v>3</v>
      </c>
      <c r="Q368" s="1" t="s">
        <v>137</v>
      </c>
      <c r="R368">
        <v>2</v>
      </c>
      <c r="S368" s="1" t="s">
        <v>24</v>
      </c>
      <c r="T368">
        <v>4644000</v>
      </c>
      <c r="U368" t="s">
        <v>184</v>
      </c>
      <c r="V368" s="1" t="s">
        <v>168</v>
      </c>
      <c r="W368" s="1" t="s">
        <v>169</v>
      </c>
      <c r="X368" s="1" t="str">
        <f>VLOOKUP(V368,Broker_Directory!A:C,3,FALSE)</f>
        <v>Tier A</v>
      </c>
      <c r="Y368" s="1">
        <f>HLOOKUP(X368, Commission_Rates!A$1:C$2, 2, FALSE)</f>
        <v>0.02</v>
      </c>
      <c r="Z368" s="1">
        <f t="shared" si="15"/>
        <v>92880</v>
      </c>
      <c r="AA368" s="1">
        <f t="shared" si="16"/>
        <v>139320</v>
      </c>
      <c r="AB368" s="1">
        <f t="shared" si="17"/>
        <v>46440</v>
      </c>
    </row>
    <row r="369" spans="1:28" x14ac:dyDescent="0.3">
      <c r="A369" s="1" t="s">
        <v>53</v>
      </c>
      <c r="B369" s="1" t="s">
        <v>66</v>
      </c>
      <c r="C369">
        <v>5</v>
      </c>
      <c r="D369">
        <v>1</v>
      </c>
      <c r="E369">
        <v>1497</v>
      </c>
      <c r="F369">
        <v>6784</v>
      </c>
      <c r="G369">
        <v>2</v>
      </c>
      <c r="H369">
        <v>1967</v>
      </c>
      <c r="I369">
        <v>1988</v>
      </c>
      <c r="J369" s="1" t="s">
        <v>52</v>
      </c>
      <c r="K369">
        <v>0</v>
      </c>
      <c r="L369" s="1" t="s">
        <v>64</v>
      </c>
      <c r="M369" s="1" t="s">
        <v>27</v>
      </c>
      <c r="N369" s="1" t="s">
        <v>46</v>
      </c>
      <c r="O369">
        <v>10</v>
      </c>
      <c r="P369">
        <v>2</v>
      </c>
      <c r="Q369" s="1" t="s">
        <v>142</v>
      </c>
      <c r="R369">
        <v>2</v>
      </c>
      <c r="S369" s="1" t="s">
        <v>27</v>
      </c>
      <c r="T369">
        <v>13823000</v>
      </c>
      <c r="U369" t="s">
        <v>184</v>
      </c>
      <c r="V369" s="1" t="s">
        <v>171</v>
      </c>
      <c r="W369" s="1" t="s">
        <v>172</v>
      </c>
      <c r="X369" s="1" t="str">
        <f>VLOOKUP(V369,Broker_Directory!A:C,3,FALSE)</f>
        <v>Tier B</v>
      </c>
      <c r="Y369" s="1">
        <f>HLOOKUP(X369, Commission_Rates!A$1:C$2, 2, FALSE)</f>
        <v>1.4999999999999999E-2</v>
      </c>
      <c r="Z369" s="1">
        <f t="shared" si="15"/>
        <v>207345</v>
      </c>
      <c r="AA369" s="1">
        <f t="shared" si="16"/>
        <v>414690</v>
      </c>
      <c r="AB369" s="1">
        <f t="shared" si="17"/>
        <v>207345</v>
      </c>
    </row>
    <row r="370" spans="1:28" x14ac:dyDescent="0.3">
      <c r="A370" s="1" t="s">
        <v>33</v>
      </c>
      <c r="B370" s="1" t="s">
        <v>48</v>
      </c>
      <c r="C370">
        <v>5</v>
      </c>
      <c r="D370">
        <v>2</v>
      </c>
      <c r="E370">
        <v>1801</v>
      </c>
      <c r="F370">
        <v>8115</v>
      </c>
      <c r="G370">
        <v>1</v>
      </c>
      <c r="H370">
        <v>1971</v>
      </c>
      <c r="I370">
        <v>2004</v>
      </c>
      <c r="J370" s="1" t="s">
        <v>30</v>
      </c>
      <c r="K370">
        <v>2</v>
      </c>
      <c r="L370" s="1" t="s">
        <v>64</v>
      </c>
      <c r="M370" s="1" t="s">
        <v>27</v>
      </c>
      <c r="N370" s="1" t="s">
        <v>35</v>
      </c>
      <c r="O370">
        <v>5</v>
      </c>
      <c r="P370">
        <v>0</v>
      </c>
      <c r="Q370" s="1" t="s">
        <v>68</v>
      </c>
      <c r="R370">
        <v>1</v>
      </c>
      <c r="S370" s="1" t="s">
        <v>24</v>
      </c>
      <c r="T370">
        <v>15703500</v>
      </c>
      <c r="U370" t="s">
        <v>184</v>
      </c>
      <c r="V370" s="1" t="s">
        <v>174</v>
      </c>
      <c r="W370" s="1" t="s">
        <v>175</v>
      </c>
      <c r="X370" s="1" t="str">
        <f>VLOOKUP(V370,Broker_Directory!A:C,3,FALSE)</f>
        <v>Tier A</v>
      </c>
      <c r="Y370" s="1">
        <f>HLOOKUP(X370, Commission_Rates!A$1:C$2, 2, FALSE)</f>
        <v>0.02</v>
      </c>
      <c r="Z370" s="1">
        <f t="shared" si="15"/>
        <v>314070</v>
      </c>
      <c r="AA370" s="1">
        <f t="shared" si="16"/>
        <v>471105</v>
      </c>
      <c r="AB370" s="1">
        <f t="shared" si="17"/>
        <v>157035</v>
      </c>
    </row>
    <row r="371" spans="1:28" x14ac:dyDescent="0.3">
      <c r="A371" s="1" t="s">
        <v>28</v>
      </c>
      <c r="B371" s="1" t="s">
        <v>95</v>
      </c>
      <c r="C371">
        <v>3</v>
      </c>
      <c r="D371">
        <v>3</v>
      </c>
      <c r="E371">
        <v>4272</v>
      </c>
      <c r="F371">
        <v>7697</v>
      </c>
      <c r="G371">
        <v>2</v>
      </c>
      <c r="H371">
        <v>1970</v>
      </c>
      <c r="I371">
        <v>1975</v>
      </c>
      <c r="J371" s="1" t="s">
        <v>52</v>
      </c>
      <c r="K371">
        <v>1</v>
      </c>
      <c r="L371" s="1" t="s">
        <v>31</v>
      </c>
      <c r="M371" s="1" t="s">
        <v>24</v>
      </c>
      <c r="N371" s="1" t="s">
        <v>35</v>
      </c>
      <c r="O371">
        <v>9</v>
      </c>
      <c r="P371">
        <v>5</v>
      </c>
      <c r="Q371" s="1" t="s">
        <v>126</v>
      </c>
      <c r="R371">
        <v>3</v>
      </c>
      <c r="S371" s="1" t="s">
        <v>27</v>
      </c>
      <c r="T371">
        <v>43070000</v>
      </c>
      <c r="U371" t="s">
        <v>183</v>
      </c>
      <c r="V371" s="1" t="s">
        <v>174</v>
      </c>
      <c r="W371" s="1" t="s">
        <v>175</v>
      </c>
      <c r="X371" s="1" t="str">
        <f>VLOOKUP(V371,Broker_Directory!A:C,3,FALSE)</f>
        <v>Tier A</v>
      </c>
      <c r="Y371" s="1">
        <f>HLOOKUP(X371, Commission_Rates!A$1:C$2, 2, FALSE)</f>
        <v>0.02</v>
      </c>
      <c r="Z371" s="1">
        <f t="shared" si="15"/>
        <v>0</v>
      </c>
      <c r="AA371" s="1">
        <f t="shared" si="16"/>
        <v>0</v>
      </c>
      <c r="AB371" s="1">
        <f t="shared" si="17"/>
        <v>0</v>
      </c>
    </row>
    <row r="372" spans="1:28" x14ac:dyDescent="0.3">
      <c r="A372" s="1" t="s">
        <v>20</v>
      </c>
      <c r="B372" s="1" t="s">
        <v>21</v>
      </c>
      <c r="C372">
        <v>2</v>
      </c>
      <c r="D372">
        <v>1</v>
      </c>
      <c r="E372">
        <v>4228</v>
      </c>
      <c r="F372">
        <v>7130</v>
      </c>
      <c r="G372">
        <v>2</v>
      </c>
      <c r="H372">
        <v>1996</v>
      </c>
      <c r="I372">
        <v>1999</v>
      </c>
      <c r="J372" s="1" t="s">
        <v>22</v>
      </c>
      <c r="K372">
        <v>2</v>
      </c>
      <c r="L372" s="1" t="s">
        <v>31</v>
      </c>
      <c r="M372" s="1" t="s">
        <v>27</v>
      </c>
      <c r="N372" s="1" t="s">
        <v>25</v>
      </c>
      <c r="O372">
        <v>1</v>
      </c>
      <c r="P372">
        <v>1</v>
      </c>
      <c r="Q372" s="1" t="s">
        <v>56</v>
      </c>
      <c r="R372">
        <v>1</v>
      </c>
      <c r="S372" s="1" t="s">
        <v>24</v>
      </c>
      <c r="T372">
        <v>51046000</v>
      </c>
      <c r="U372" t="s">
        <v>183</v>
      </c>
      <c r="V372" s="1" t="s">
        <v>174</v>
      </c>
      <c r="W372" s="1" t="s">
        <v>175</v>
      </c>
      <c r="X372" s="1" t="str">
        <f>VLOOKUP(V372,Broker_Directory!A:C,3,FALSE)</f>
        <v>Tier A</v>
      </c>
      <c r="Y372" s="1">
        <f>HLOOKUP(X372, Commission_Rates!A$1:C$2, 2, FALSE)</f>
        <v>0.02</v>
      </c>
      <c r="Z372" s="1">
        <f t="shared" si="15"/>
        <v>0</v>
      </c>
      <c r="AA372" s="1">
        <f t="shared" si="16"/>
        <v>0</v>
      </c>
      <c r="AB372" s="1">
        <f t="shared" si="17"/>
        <v>0</v>
      </c>
    </row>
    <row r="373" spans="1:28" x14ac:dyDescent="0.3">
      <c r="A373" s="1" t="s">
        <v>53</v>
      </c>
      <c r="B373" s="1" t="s">
        <v>66</v>
      </c>
      <c r="C373">
        <v>2</v>
      </c>
      <c r="D373">
        <v>2</v>
      </c>
      <c r="E373">
        <v>943</v>
      </c>
      <c r="F373">
        <v>7953</v>
      </c>
      <c r="G373">
        <v>3</v>
      </c>
      <c r="H373">
        <v>1964</v>
      </c>
      <c r="I373">
        <v>1967</v>
      </c>
      <c r="J373" s="1" t="s">
        <v>58</v>
      </c>
      <c r="K373">
        <v>3</v>
      </c>
      <c r="L373" s="1" t="s">
        <v>41</v>
      </c>
      <c r="M373" s="1" t="s">
        <v>24</v>
      </c>
      <c r="N373" s="1" t="s">
        <v>25</v>
      </c>
      <c r="O373">
        <v>1</v>
      </c>
      <c r="P373">
        <v>0</v>
      </c>
      <c r="Q373" s="1" t="s">
        <v>142</v>
      </c>
      <c r="R373">
        <v>3</v>
      </c>
      <c r="S373" s="1" t="s">
        <v>24</v>
      </c>
      <c r="T373">
        <v>8902000</v>
      </c>
      <c r="U373" t="s">
        <v>182</v>
      </c>
      <c r="V373" s="1" t="s">
        <v>174</v>
      </c>
      <c r="W373" s="1" t="s">
        <v>175</v>
      </c>
      <c r="X373" s="1" t="str">
        <f>VLOOKUP(V373,Broker_Directory!A:C,3,FALSE)</f>
        <v>Tier A</v>
      </c>
      <c r="Y373" s="1">
        <f>HLOOKUP(X373, Commission_Rates!A$1:C$2, 2, FALSE)</f>
        <v>0.02</v>
      </c>
      <c r="Z373" s="1">
        <f t="shared" si="15"/>
        <v>0</v>
      </c>
      <c r="AA373" s="1">
        <f t="shared" si="16"/>
        <v>0</v>
      </c>
      <c r="AB373" s="1">
        <f t="shared" si="17"/>
        <v>0</v>
      </c>
    </row>
    <row r="374" spans="1:28" x14ac:dyDescent="0.3">
      <c r="A374" s="1" t="s">
        <v>53</v>
      </c>
      <c r="B374" s="1" t="s">
        <v>105</v>
      </c>
      <c r="C374">
        <v>1</v>
      </c>
      <c r="D374">
        <v>3</v>
      </c>
      <c r="E374">
        <v>384</v>
      </c>
      <c r="F374">
        <v>2015</v>
      </c>
      <c r="G374">
        <v>1</v>
      </c>
      <c r="H374">
        <v>1976</v>
      </c>
      <c r="I374">
        <v>2012</v>
      </c>
      <c r="J374" s="1" t="s">
        <v>52</v>
      </c>
      <c r="K374">
        <v>1</v>
      </c>
      <c r="L374" s="1" t="s">
        <v>64</v>
      </c>
      <c r="M374" s="1" t="s">
        <v>24</v>
      </c>
      <c r="N374" s="1" t="s">
        <v>25</v>
      </c>
      <c r="O374">
        <v>2</v>
      </c>
      <c r="P374">
        <v>5</v>
      </c>
      <c r="Q374" s="1" t="s">
        <v>160</v>
      </c>
      <c r="R374">
        <v>2</v>
      </c>
      <c r="S374" s="1" t="s">
        <v>27</v>
      </c>
      <c r="T374">
        <v>3746000</v>
      </c>
      <c r="U374" t="s">
        <v>183</v>
      </c>
      <c r="V374" s="1" t="s">
        <v>174</v>
      </c>
      <c r="W374" s="1" t="s">
        <v>175</v>
      </c>
      <c r="X374" s="1" t="str">
        <f>VLOOKUP(V374,Broker_Directory!A:C,3,FALSE)</f>
        <v>Tier A</v>
      </c>
      <c r="Y374" s="1">
        <f>HLOOKUP(X374, Commission_Rates!A$1:C$2, 2, FALSE)</f>
        <v>0.02</v>
      </c>
      <c r="Z374" s="1">
        <f t="shared" si="15"/>
        <v>0</v>
      </c>
      <c r="AA374" s="1">
        <f t="shared" si="16"/>
        <v>0</v>
      </c>
      <c r="AB374" s="1">
        <f t="shared" si="17"/>
        <v>0</v>
      </c>
    </row>
    <row r="375" spans="1:28" x14ac:dyDescent="0.3">
      <c r="A375" s="1" t="s">
        <v>28</v>
      </c>
      <c r="B375" s="1" t="s">
        <v>95</v>
      </c>
      <c r="C375">
        <v>5</v>
      </c>
      <c r="D375">
        <v>2</v>
      </c>
      <c r="E375">
        <v>4436</v>
      </c>
      <c r="F375">
        <v>9157</v>
      </c>
      <c r="G375">
        <v>1</v>
      </c>
      <c r="H375">
        <v>1962</v>
      </c>
      <c r="I375">
        <v>1962</v>
      </c>
      <c r="J375" s="1" t="s">
        <v>52</v>
      </c>
      <c r="K375">
        <v>1</v>
      </c>
      <c r="L375" s="1" t="s">
        <v>64</v>
      </c>
      <c r="M375" s="1" t="s">
        <v>24</v>
      </c>
      <c r="N375" s="1" t="s">
        <v>35</v>
      </c>
      <c r="O375">
        <v>0</v>
      </c>
      <c r="P375">
        <v>5</v>
      </c>
      <c r="Q375" s="1" t="s">
        <v>126</v>
      </c>
      <c r="R375">
        <v>1</v>
      </c>
      <c r="S375" s="1" t="s">
        <v>27</v>
      </c>
      <c r="T375">
        <v>44730000</v>
      </c>
      <c r="U375" t="s">
        <v>183</v>
      </c>
      <c r="V375" s="1" t="s">
        <v>168</v>
      </c>
      <c r="W375" s="1" t="s">
        <v>169</v>
      </c>
      <c r="X375" s="1" t="str">
        <f>VLOOKUP(V375,Broker_Directory!A:C,3,FALSE)</f>
        <v>Tier A</v>
      </c>
      <c r="Y375" s="1">
        <f>HLOOKUP(X375, Commission_Rates!A$1:C$2, 2, FALSE)</f>
        <v>0.02</v>
      </c>
      <c r="Z375" s="1">
        <f t="shared" si="15"/>
        <v>0</v>
      </c>
      <c r="AA375" s="1">
        <f t="shared" si="16"/>
        <v>0</v>
      </c>
      <c r="AB375" s="1">
        <f t="shared" si="17"/>
        <v>0</v>
      </c>
    </row>
    <row r="376" spans="1:28" x14ac:dyDescent="0.3">
      <c r="A376" s="1" t="s">
        <v>53</v>
      </c>
      <c r="B376" s="1" t="s">
        <v>100</v>
      </c>
      <c r="C376">
        <v>2</v>
      </c>
      <c r="D376">
        <v>4</v>
      </c>
      <c r="E376">
        <v>1179</v>
      </c>
      <c r="F376">
        <v>4192</v>
      </c>
      <c r="G376">
        <v>2</v>
      </c>
      <c r="H376">
        <v>1998</v>
      </c>
      <c r="I376">
        <v>2010</v>
      </c>
      <c r="J376" s="1" t="s">
        <v>52</v>
      </c>
      <c r="K376">
        <v>1</v>
      </c>
      <c r="L376" s="1" t="s">
        <v>41</v>
      </c>
      <c r="M376" s="1" t="s">
        <v>24</v>
      </c>
      <c r="N376" s="1" t="s">
        <v>46</v>
      </c>
      <c r="O376">
        <v>1</v>
      </c>
      <c r="P376">
        <v>3</v>
      </c>
      <c r="Q376" s="1" t="s">
        <v>131</v>
      </c>
      <c r="R376">
        <v>1</v>
      </c>
      <c r="S376" s="1" t="s">
        <v>27</v>
      </c>
      <c r="T376">
        <v>10911000</v>
      </c>
      <c r="U376" t="s">
        <v>183</v>
      </c>
      <c r="V376" s="1" t="s">
        <v>179</v>
      </c>
      <c r="W376" s="1" t="s">
        <v>180</v>
      </c>
      <c r="X376" s="1" t="str">
        <f>VLOOKUP(V376,Broker_Directory!A:C,3,FALSE)</f>
        <v>Tier B</v>
      </c>
      <c r="Y376" s="1">
        <f>HLOOKUP(X376, Commission_Rates!A$1:C$2, 2, FALSE)</f>
        <v>1.4999999999999999E-2</v>
      </c>
      <c r="Z376" s="1">
        <f t="shared" si="15"/>
        <v>0</v>
      </c>
      <c r="AA376" s="1">
        <f t="shared" si="16"/>
        <v>0</v>
      </c>
      <c r="AB376" s="1">
        <f t="shared" si="17"/>
        <v>0</v>
      </c>
    </row>
    <row r="377" spans="1:28" x14ac:dyDescent="0.3">
      <c r="A377" s="1" t="s">
        <v>53</v>
      </c>
      <c r="B377" s="1" t="s">
        <v>89</v>
      </c>
      <c r="C377">
        <v>5</v>
      </c>
      <c r="D377">
        <v>1</v>
      </c>
      <c r="E377">
        <v>973</v>
      </c>
      <c r="F377">
        <v>6398</v>
      </c>
      <c r="G377">
        <v>2</v>
      </c>
      <c r="H377">
        <v>1964</v>
      </c>
      <c r="I377">
        <v>1987</v>
      </c>
      <c r="J377" s="1" t="s">
        <v>30</v>
      </c>
      <c r="K377">
        <v>3</v>
      </c>
      <c r="L377" s="1" t="s">
        <v>64</v>
      </c>
      <c r="M377" s="1" t="s">
        <v>27</v>
      </c>
      <c r="N377" s="1" t="s">
        <v>25</v>
      </c>
      <c r="O377">
        <v>8</v>
      </c>
      <c r="P377">
        <v>3</v>
      </c>
      <c r="Q377" s="1" t="s">
        <v>90</v>
      </c>
      <c r="R377">
        <v>3</v>
      </c>
      <c r="S377" s="1" t="s">
        <v>24</v>
      </c>
      <c r="T377">
        <v>9247000</v>
      </c>
      <c r="U377" t="s">
        <v>182</v>
      </c>
      <c r="V377" s="1" t="s">
        <v>171</v>
      </c>
      <c r="W377" s="1" t="s">
        <v>172</v>
      </c>
      <c r="X377" s="1" t="str">
        <f>VLOOKUP(V377,Broker_Directory!A:C,3,FALSE)</f>
        <v>Tier B</v>
      </c>
      <c r="Y377" s="1">
        <f>HLOOKUP(X377, Commission_Rates!A$1:C$2, 2, FALSE)</f>
        <v>1.4999999999999999E-2</v>
      </c>
      <c r="Z377" s="1">
        <f t="shared" si="15"/>
        <v>0</v>
      </c>
      <c r="AA377" s="1">
        <f t="shared" si="16"/>
        <v>0</v>
      </c>
      <c r="AB377" s="1">
        <f t="shared" si="17"/>
        <v>0</v>
      </c>
    </row>
    <row r="378" spans="1:28" x14ac:dyDescent="0.3">
      <c r="A378" s="1" t="s">
        <v>20</v>
      </c>
      <c r="B378" s="1" t="s">
        <v>50</v>
      </c>
      <c r="C378">
        <v>3</v>
      </c>
      <c r="D378">
        <v>2</v>
      </c>
      <c r="E378">
        <v>404</v>
      </c>
      <c r="F378">
        <v>8509</v>
      </c>
      <c r="G378">
        <v>3</v>
      </c>
      <c r="H378">
        <v>1963</v>
      </c>
      <c r="I378">
        <v>2012</v>
      </c>
      <c r="J378" s="1" t="s">
        <v>22</v>
      </c>
      <c r="K378">
        <v>0</v>
      </c>
      <c r="L378" s="1" t="s">
        <v>23</v>
      </c>
      <c r="M378" s="1" t="s">
        <v>24</v>
      </c>
      <c r="N378" s="1" t="s">
        <v>46</v>
      </c>
      <c r="O378">
        <v>6</v>
      </c>
      <c r="P378">
        <v>5</v>
      </c>
      <c r="Q378" s="1" t="s">
        <v>113</v>
      </c>
      <c r="R378">
        <v>1</v>
      </c>
      <c r="S378" s="1" t="s">
        <v>24</v>
      </c>
      <c r="T378">
        <v>5208000</v>
      </c>
      <c r="U378" t="s">
        <v>184</v>
      </c>
      <c r="V378" s="1" t="s">
        <v>174</v>
      </c>
      <c r="W378" s="1" t="s">
        <v>175</v>
      </c>
      <c r="X378" s="1" t="str">
        <f>VLOOKUP(V378,Broker_Directory!A:C,3,FALSE)</f>
        <v>Tier A</v>
      </c>
      <c r="Y378" s="1">
        <f>HLOOKUP(X378, Commission_Rates!A$1:C$2, 2, FALSE)</f>
        <v>0.02</v>
      </c>
      <c r="Z378" s="1">
        <f t="shared" si="15"/>
        <v>104160</v>
      </c>
      <c r="AA378" s="1">
        <f t="shared" si="16"/>
        <v>156240</v>
      </c>
      <c r="AB378" s="1">
        <f t="shared" si="17"/>
        <v>52080</v>
      </c>
    </row>
    <row r="379" spans="1:28" x14ac:dyDescent="0.3">
      <c r="A379" s="1" t="s">
        <v>53</v>
      </c>
      <c r="B379" s="1" t="s">
        <v>66</v>
      </c>
      <c r="C379">
        <v>3</v>
      </c>
      <c r="D379">
        <v>2</v>
      </c>
      <c r="E379">
        <v>3611</v>
      </c>
      <c r="F379">
        <v>4666</v>
      </c>
      <c r="G379">
        <v>1</v>
      </c>
      <c r="H379">
        <v>2004</v>
      </c>
      <c r="I379">
        <v>2018</v>
      </c>
      <c r="J379" s="1" t="s">
        <v>30</v>
      </c>
      <c r="K379">
        <v>2</v>
      </c>
      <c r="L379" s="1" t="s">
        <v>41</v>
      </c>
      <c r="M379" s="1" t="s">
        <v>27</v>
      </c>
      <c r="N379" s="1" t="s">
        <v>46</v>
      </c>
      <c r="O379">
        <v>10</v>
      </c>
      <c r="P379">
        <v>4</v>
      </c>
      <c r="Q379" s="1" t="s">
        <v>91</v>
      </c>
      <c r="R379">
        <v>3</v>
      </c>
      <c r="S379" s="1" t="s">
        <v>27</v>
      </c>
      <c r="T379">
        <v>32774000</v>
      </c>
      <c r="U379" t="s">
        <v>183</v>
      </c>
      <c r="V379" s="1" t="s">
        <v>174</v>
      </c>
      <c r="W379" s="1" t="s">
        <v>175</v>
      </c>
      <c r="X379" s="1" t="str">
        <f>VLOOKUP(V379,Broker_Directory!A:C,3,FALSE)</f>
        <v>Tier A</v>
      </c>
      <c r="Y379" s="1">
        <f>HLOOKUP(X379, Commission_Rates!A$1:C$2, 2, FALSE)</f>
        <v>0.02</v>
      </c>
      <c r="Z379" s="1">
        <f t="shared" si="15"/>
        <v>0</v>
      </c>
      <c r="AA379" s="1">
        <f t="shared" si="16"/>
        <v>0</v>
      </c>
      <c r="AB379" s="1">
        <f t="shared" si="17"/>
        <v>0</v>
      </c>
    </row>
    <row r="380" spans="1:28" x14ac:dyDescent="0.3">
      <c r="A380" s="1" t="s">
        <v>28</v>
      </c>
      <c r="B380" s="1" t="s">
        <v>29</v>
      </c>
      <c r="C380">
        <v>1</v>
      </c>
      <c r="D380">
        <v>1</v>
      </c>
      <c r="E380">
        <v>2353</v>
      </c>
      <c r="F380">
        <v>6411</v>
      </c>
      <c r="G380">
        <v>2</v>
      </c>
      <c r="H380">
        <v>1979</v>
      </c>
      <c r="I380">
        <v>2018</v>
      </c>
      <c r="J380" s="1" t="s">
        <v>52</v>
      </c>
      <c r="K380">
        <v>0</v>
      </c>
      <c r="L380" s="1" t="s">
        <v>23</v>
      </c>
      <c r="M380" s="1" t="s">
        <v>24</v>
      </c>
      <c r="N380" s="1" t="s">
        <v>25</v>
      </c>
      <c r="O380">
        <v>7</v>
      </c>
      <c r="P380">
        <v>5</v>
      </c>
      <c r="Q380" s="1" t="s">
        <v>32</v>
      </c>
      <c r="R380">
        <v>1</v>
      </c>
      <c r="S380" s="1" t="s">
        <v>27</v>
      </c>
      <c r="T380">
        <v>23765000</v>
      </c>
      <c r="U380" t="s">
        <v>184</v>
      </c>
      <c r="V380" s="1" t="s">
        <v>171</v>
      </c>
      <c r="W380" s="1" t="s">
        <v>172</v>
      </c>
      <c r="X380" s="1" t="str">
        <f>VLOOKUP(V380,Broker_Directory!A:C,3,FALSE)</f>
        <v>Tier B</v>
      </c>
      <c r="Y380" s="1">
        <f>HLOOKUP(X380, Commission_Rates!A$1:C$2, 2, FALSE)</f>
        <v>1.4999999999999999E-2</v>
      </c>
      <c r="Z380" s="1">
        <f t="shared" si="15"/>
        <v>356475</v>
      </c>
      <c r="AA380" s="1">
        <f t="shared" si="16"/>
        <v>712950</v>
      </c>
      <c r="AB380" s="1">
        <f t="shared" si="17"/>
        <v>356475</v>
      </c>
    </row>
    <row r="381" spans="1:28" x14ac:dyDescent="0.3">
      <c r="A381" s="1" t="s">
        <v>33</v>
      </c>
      <c r="B381" s="1" t="s">
        <v>34</v>
      </c>
      <c r="C381">
        <v>2</v>
      </c>
      <c r="D381">
        <v>3</v>
      </c>
      <c r="E381">
        <v>1089</v>
      </c>
      <c r="F381">
        <v>2392</v>
      </c>
      <c r="G381">
        <v>3</v>
      </c>
      <c r="H381">
        <v>2016</v>
      </c>
      <c r="I381">
        <v>2022</v>
      </c>
      <c r="J381" s="1" t="s">
        <v>22</v>
      </c>
      <c r="K381">
        <v>1</v>
      </c>
      <c r="L381" s="1" t="s">
        <v>64</v>
      </c>
      <c r="M381" s="1" t="s">
        <v>27</v>
      </c>
      <c r="N381" s="1" t="s">
        <v>46</v>
      </c>
      <c r="O381">
        <v>8</v>
      </c>
      <c r="P381">
        <v>2</v>
      </c>
      <c r="Q381" s="1" t="s">
        <v>147</v>
      </c>
      <c r="R381">
        <v>0</v>
      </c>
      <c r="S381" s="1" t="s">
        <v>24</v>
      </c>
      <c r="T381">
        <v>9556500</v>
      </c>
      <c r="U381" t="s">
        <v>182</v>
      </c>
      <c r="V381" s="1" t="s">
        <v>174</v>
      </c>
      <c r="W381" s="1" t="s">
        <v>175</v>
      </c>
      <c r="X381" s="1" t="str">
        <f>VLOOKUP(V381,Broker_Directory!A:C,3,FALSE)</f>
        <v>Tier A</v>
      </c>
      <c r="Y381" s="1">
        <f>HLOOKUP(X381, Commission_Rates!A$1:C$2, 2, FALSE)</f>
        <v>0.02</v>
      </c>
      <c r="Z381" s="1">
        <f t="shared" si="15"/>
        <v>0</v>
      </c>
      <c r="AA381" s="1">
        <f t="shared" si="16"/>
        <v>0</v>
      </c>
      <c r="AB381" s="1">
        <f t="shared" si="17"/>
        <v>0</v>
      </c>
    </row>
    <row r="382" spans="1:28" x14ac:dyDescent="0.3">
      <c r="A382" s="1" t="s">
        <v>37</v>
      </c>
      <c r="B382" s="1" t="s">
        <v>87</v>
      </c>
      <c r="C382">
        <v>4</v>
      </c>
      <c r="D382">
        <v>4</v>
      </c>
      <c r="E382">
        <v>2876</v>
      </c>
      <c r="F382">
        <v>9912</v>
      </c>
      <c r="G382">
        <v>2</v>
      </c>
      <c r="H382">
        <v>2006</v>
      </c>
      <c r="I382">
        <v>2019</v>
      </c>
      <c r="J382" s="1" t="s">
        <v>58</v>
      </c>
      <c r="K382">
        <v>0</v>
      </c>
      <c r="L382" s="1" t="s">
        <v>31</v>
      </c>
      <c r="M382" s="1" t="s">
        <v>27</v>
      </c>
      <c r="N382" s="1" t="s">
        <v>35</v>
      </c>
      <c r="O382">
        <v>2</v>
      </c>
      <c r="P382">
        <v>3</v>
      </c>
      <c r="Q382" s="1" t="s">
        <v>138</v>
      </c>
      <c r="R382">
        <v>1</v>
      </c>
      <c r="S382" s="1" t="s">
        <v>27</v>
      </c>
      <c r="T382">
        <v>23383000</v>
      </c>
      <c r="U382" t="s">
        <v>183</v>
      </c>
      <c r="V382" s="1" t="s">
        <v>171</v>
      </c>
      <c r="W382" s="1" t="s">
        <v>172</v>
      </c>
      <c r="X382" s="1" t="str">
        <f>VLOOKUP(V382,Broker_Directory!A:C,3,FALSE)</f>
        <v>Tier B</v>
      </c>
      <c r="Y382" s="1">
        <f>HLOOKUP(X382, Commission_Rates!A$1:C$2, 2, FALSE)</f>
        <v>1.4999999999999999E-2</v>
      </c>
      <c r="Z382" s="1">
        <f t="shared" si="15"/>
        <v>0</v>
      </c>
      <c r="AA382" s="1">
        <f t="shared" si="16"/>
        <v>0</v>
      </c>
      <c r="AB382" s="1">
        <f t="shared" si="17"/>
        <v>0</v>
      </c>
    </row>
    <row r="383" spans="1:28" x14ac:dyDescent="0.3">
      <c r="A383" s="1" t="s">
        <v>37</v>
      </c>
      <c r="B383" s="1" t="s">
        <v>72</v>
      </c>
      <c r="C383">
        <v>1</v>
      </c>
      <c r="D383">
        <v>4</v>
      </c>
      <c r="E383">
        <v>4836</v>
      </c>
      <c r="F383">
        <v>9304</v>
      </c>
      <c r="G383">
        <v>3</v>
      </c>
      <c r="H383">
        <v>2010</v>
      </c>
      <c r="I383">
        <v>2024</v>
      </c>
      <c r="J383" s="1" t="s">
        <v>52</v>
      </c>
      <c r="K383">
        <v>0</v>
      </c>
      <c r="L383" s="1" t="s">
        <v>41</v>
      </c>
      <c r="M383" s="1" t="s">
        <v>27</v>
      </c>
      <c r="N383" s="1" t="s">
        <v>46</v>
      </c>
      <c r="O383">
        <v>9</v>
      </c>
      <c r="P383">
        <v>3</v>
      </c>
      <c r="Q383" s="1" t="s">
        <v>127</v>
      </c>
      <c r="R383">
        <v>2</v>
      </c>
      <c r="S383" s="1" t="s">
        <v>27</v>
      </c>
      <c r="T383">
        <v>38948000</v>
      </c>
      <c r="U383" t="s">
        <v>182</v>
      </c>
      <c r="V383" s="1" t="s">
        <v>179</v>
      </c>
      <c r="W383" s="1" t="s">
        <v>180</v>
      </c>
      <c r="X383" s="1" t="str">
        <f>VLOOKUP(V383,Broker_Directory!A:C,3,FALSE)</f>
        <v>Tier B</v>
      </c>
      <c r="Y383" s="1">
        <f>HLOOKUP(X383, Commission_Rates!A$1:C$2, 2, FALSE)</f>
        <v>1.4999999999999999E-2</v>
      </c>
      <c r="Z383" s="1">
        <f t="shared" si="15"/>
        <v>0</v>
      </c>
      <c r="AA383" s="1">
        <f t="shared" si="16"/>
        <v>0</v>
      </c>
      <c r="AB383" s="1">
        <f t="shared" si="17"/>
        <v>0</v>
      </c>
    </row>
    <row r="384" spans="1:28" x14ac:dyDescent="0.3">
      <c r="A384" s="1" t="s">
        <v>20</v>
      </c>
      <c r="B384" s="1" t="s">
        <v>21</v>
      </c>
      <c r="C384">
        <v>5</v>
      </c>
      <c r="D384">
        <v>1</v>
      </c>
      <c r="E384">
        <v>1350</v>
      </c>
      <c r="F384">
        <v>7403</v>
      </c>
      <c r="G384">
        <v>2</v>
      </c>
      <c r="H384">
        <v>2024</v>
      </c>
      <c r="I384">
        <v>0</v>
      </c>
      <c r="J384" s="1" t="s">
        <v>30</v>
      </c>
      <c r="K384">
        <v>3</v>
      </c>
      <c r="L384" s="1" t="s">
        <v>23</v>
      </c>
      <c r="M384" s="1" t="s">
        <v>27</v>
      </c>
      <c r="N384" s="1" t="s">
        <v>46</v>
      </c>
      <c r="O384">
        <v>5</v>
      </c>
      <c r="P384">
        <v>3</v>
      </c>
      <c r="Q384" s="1" t="s">
        <v>114</v>
      </c>
      <c r="R384">
        <v>0</v>
      </c>
      <c r="S384" s="1" t="s">
        <v>24</v>
      </c>
      <c r="T384">
        <v>16570000</v>
      </c>
      <c r="U384" t="s">
        <v>184</v>
      </c>
      <c r="V384" s="1" t="s">
        <v>179</v>
      </c>
      <c r="W384" s="1" t="s">
        <v>180</v>
      </c>
      <c r="X384" s="1" t="str">
        <f>VLOOKUP(V384,Broker_Directory!A:C,3,FALSE)</f>
        <v>Tier B</v>
      </c>
      <c r="Y384" s="1">
        <f>HLOOKUP(X384, Commission_Rates!A$1:C$2, 2, FALSE)</f>
        <v>1.4999999999999999E-2</v>
      </c>
      <c r="Z384" s="1">
        <f t="shared" si="15"/>
        <v>248550</v>
      </c>
      <c r="AA384" s="1">
        <f t="shared" si="16"/>
        <v>497100</v>
      </c>
      <c r="AB384" s="1">
        <f t="shared" si="17"/>
        <v>248550</v>
      </c>
    </row>
    <row r="385" spans="1:28" x14ac:dyDescent="0.3">
      <c r="A385" s="1" t="s">
        <v>28</v>
      </c>
      <c r="B385" s="1" t="s">
        <v>110</v>
      </c>
      <c r="C385">
        <v>3</v>
      </c>
      <c r="D385">
        <v>1</v>
      </c>
      <c r="E385">
        <v>836</v>
      </c>
      <c r="F385">
        <v>5881</v>
      </c>
      <c r="G385">
        <v>1</v>
      </c>
      <c r="H385">
        <v>1993</v>
      </c>
      <c r="I385">
        <v>2002</v>
      </c>
      <c r="J385" s="1" t="s">
        <v>58</v>
      </c>
      <c r="K385">
        <v>2</v>
      </c>
      <c r="L385" s="1" t="s">
        <v>23</v>
      </c>
      <c r="M385" s="1" t="s">
        <v>27</v>
      </c>
      <c r="N385" s="1" t="s">
        <v>35</v>
      </c>
      <c r="O385">
        <v>6</v>
      </c>
      <c r="P385">
        <v>4</v>
      </c>
      <c r="Q385" s="1" t="s">
        <v>155</v>
      </c>
      <c r="R385">
        <v>2</v>
      </c>
      <c r="S385" s="1" t="s">
        <v>24</v>
      </c>
      <c r="T385">
        <v>8640000</v>
      </c>
      <c r="U385" t="s">
        <v>183</v>
      </c>
      <c r="V385" s="1" t="s">
        <v>179</v>
      </c>
      <c r="W385" s="1" t="s">
        <v>180</v>
      </c>
      <c r="X385" s="1" t="str">
        <f>VLOOKUP(V385,Broker_Directory!A:C,3,FALSE)</f>
        <v>Tier B</v>
      </c>
      <c r="Y385" s="1">
        <f>HLOOKUP(X385, Commission_Rates!A$1:C$2, 2, FALSE)</f>
        <v>1.4999999999999999E-2</v>
      </c>
      <c r="Z385" s="1">
        <f t="shared" si="15"/>
        <v>0</v>
      </c>
      <c r="AA385" s="1">
        <f t="shared" si="16"/>
        <v>0</v>
      </c>
      <c r="AB385" s="1">
        <f t="shared" si="17"/>
        <v>0</v>
      </c>
    </row>
    <row r="386" spans="1:28" x14ac:dyDescent="0.3">
      <c r="A386" s="1" t="s">
        <v>37</v>
      </c>
      <c r="B386" s="1" t="s">
        <v>45</v>
      </c>
      <c r="C386">
        <v>1</v>
      </c>
      <c r="D386">
        <v>3</v>
      </c>
      <c r="E386">
        <v>3394</v>
      </c>
      <c r="F386">
        <v>8116</v>
      </c>
      <c r="G386">
        <v>2</v>
      </c>
      <c r="H386">
        <v>1991</v>
      </c>
      <c r="I386">
        <v>1996</v>
      </c>
      <c r="J386" s="1" t="s">
        <v>22</v>
      </c>
      <c r="K386">
        <v>0</v>
      </c>
      <c r="L386" s="1" t="s">
        <v>31</v>
      </c>
      <c r="M386" s="1" t="s">
        <v>27</v>
      </c>
      <c r="N386" s="1" t="s">
        <v>46</v>
      </c>
      <c r="O386">
        <v>8</v>
      </c>
      <c r="P386">
        <v>5</v>
      </c>
      <c r="Q386" s="1" t="s">
        <v>77</v>
      </c>
      <c r="R386">
        <v>1</v>
      </c>
      <c r="S386" s="1" t="s">
        <v>27</v>
      </c>
      <c r="T386">
        <v>27347000</v>
      </c>
      <c r="U386" t="s">
        <v>183</v>
      </c>
      <c r="V386" s="1" t="s">
        <v>176</v>
      </c>
      <c r="W386" s="1" t="s">
        <v>177</v>
      </c>
      <c r="X386" s="1" t="str">
        <f>VLOOKUP(V386,Broker_Directory!A:C,3,FALSE)</f>
        <v>Tier C</v>
      </c>
      <c r="Y386" s="1">
        <f>HLOOKUP(X386, Commission_Rates!A$1:C$2, 2, FALSE)</f>
        <v>0.01</v>
      </c>
      <c r="Z386" s="1">
        <f t="shared" ref="Z386:Z449" si="18">IF(U386="Sold",T386*Y386,0)</f>
        <v>0</v>
      </c>
      <c r="AA386" s="1">
        <f t="shared" ref="AA386:AA449" si="19">IF(U386="Sold", T386 * 0.03, 0)</f>
        <v>0</v>
      </c>
      <c r="AB386" s="1">
        <f t="shared" ref="AB386:AB449" si="20">AA386 - Z386</f>
        <v>0</v>
      </c>
    </row>
    <row r="387" spans="1:28" x14ac:dyDescent="0.3">
      <c r="A387" s="1" t="s">
        <v>53</v>
      </c>
      <c r="B387" s="1" t="s">
        <v>54</v>
      </c>
      <c r="C387">
        <v>2</v>
      </c>
      <c r="D387">
        <v>4</v>
      </c>
      <c r="E387">
        <v>917</v>
      </c>
      <c r="F387">
        <v>9746</v>
      </c>
      <c r="G387">
        <v>1</v>
      </c>
      <c r="H387">
        <v>1986</v>
      </c>
      <c r="I387">
        <v>2001</v>
      </c>
      <c r="J387" s="1" t="s">
        <v>58</v>
      </c>
      <c r="K387">
        <v>2</v>
      </c>
      <c r="L387" s="1" t="s">
        <v>41</v>
      </c>
      <c r="M387" s="1" t="s">
        <v>24</v>
      </c>
      <c r="N387" s="1" t="s">
        <v>35</v>
      </c>
      <c r="O387">
        <v>1</v>
      </c>
      <c r="P387">
        <v>5</v>
      </c>
      <c r="Q387" s="1" t="s">
        <v>156</v>
      </c>
      <c r="R387">
        <v>2</v>
      </c>
      <c r="S387" s="1" t="s">
        <v>27</v>
      </c>
      <c r="T387">
        <v>8548000</v>
      </c>
      <c r="U387" t="s">
        <v>183</v>
      </c>
      <c r="V387" s="1" t="s">
        <v>176</v>
      </c>
      <c r="W387" s="1" t="s">
        <v>177</v>
      </c>
      <c r="X387" s="1" t="str">
        <f>VLOOKUP(V387,Broker_Directory!A:C,3,FALSE)</f>
        <v>Tier C</v>
      </c>
      <c r="Y387" s="1">
        <f>HLOOKUP(X387, Commission_Rates!A$1:C$2, 2, FALSE)</f>
        <v>0.01</v>
      </c>
      <c r="Z387" s="1">
        <f t="shared" si="18"/>
        <v>0</v>
      </c>
      <c r="AA387" s="1">
        <f t="shared" si="19"/>
        <v>0</v>
      </c>
      <c r="AB387" s="1">
        <f t="shared" si="20"/>
        <v>0</v>
      </c>
    </row>
    <row r="388" spans="1:28" x14ac:dyDescent="0.3">
      <c r="A388" s="1" t="s">
        <v>20</v>
      </c>
      <c r="B388" s="1" t="s">
        <v>133</v>
      </c>
      <c r="C388">
        <v>5</v>
      </c>
      <c r="D388">
        <v>4</v>
      </c>
      <c r="E388">
        <v>3798</v>
      </c>
      <c r="F388">
        <v>5566</v>
      </c>
      <c r="G388">
        <v>2</v>
      </c>
      <c r="H388">
        <v>1959</v>
      </c>
      <c r="I388">
        <v>1996</v>
      </c>
      <c r="J388" s="1" t="s">
        <v>30</v>
      </c>
      <c r="K388">
        <v>3</v>
      </c>
      <c r="L388" s="1" t="s">
        <v>64</v>
      </c>
      <c r="M388" s="1" t="s">
        <v>24</v>
      </c>
      <c r="N388" s="1" t="s">
        <v>46</v>
      </c>
      <c r="O388">
        <v>6</v>
      </c>
      <c r="P388">
        <v>2</v>
      </c>
      <c r="Q388" s="1" t="s">
        <v>158</v>
      </c>
      <c r="R388">
        <v>1</v>
      </c>
      <c r="S388" s="1" t="s">
        <v>24</v>
      </c>
      <c r="T388">
        <v>46076000</v>
      </c>
      <c r="U388" t="s">
        <v>182</v>
      </c>
      <c r="V388" s="1" t="s">
        <v>168</v>
      </c>
      <c r="W388" s="1" t="s">
        <v>169</v>
      </c>
      <c r="X388" s="1" t="str">
        <f>VLOOKUP(V388,Broker_Directory!A:C,3,FALSE)</f>
        <v>Tier A</v>
      </c>
      <c r="Y388" s="1">
        <f>HLOOKUP(X388, Commission_Rates!A$1:C$2, 2, FALSE)</f>
        <v>0.02</v>
      </c>
      <c r="Z388" s="1">
        <f t="shared" si="18"/>
        <v>0</v>
      </c>
      <c r="AA388" s="1">
        <f t="shared" si="19"/>
        <v>0</v>
      </c>
      <c r="AB388" s="1">
        <f t="shared" si="20"/>
        <v>0</v>
      </c>
    </row>
    <row r="389" spans="1:28" x14ac:dyDescent="0.3">
      <c r="A389" s="1" t="s">
        <v>33</v>
      </c>
      <c r="B389" s="1" t="s">
        <v>75</v>
      </c>
      <c r="C389">
        <v>5</v>
      </c>
      <c r="D389">
        <v>4</v>
      </c>
      <c r="E389">
        <v>2044</v>
      </c>
      <c r="F389">
        <v>7507</v>
      </c>
      <c r="G389">
        <v>3</v>
      </c>
      <c r="H389">
        <v>2009</v>
      </c>
      <c r="I389">
        <v>2016</v>
      </c>
      <c r="J389" s="1" t="s">
        <v>22</v>
      </c>
      <c r="K389">
        <v>0</v>
      </c>
      <c r="L389" s="1" t="s">
        <v>31</v>
      </c>
      <c r="M389" s="1" t="s">
        <v>27</v>
      </c>
      <c r="N389" s="1" t="s">
        <v>46</v>
      </c>
      <c r="O389">
        <v>2</v>
      </c>
      <c r="P389">
        <v>1</v>
      </c>
      <c r="Q389" s="1" t="s">
        <v>135</v>
      </c>
      <c r="R389">
        <v>2</v>
      </c>
      <c r="S389" s="1" t="s">
        <v>27</v>
      </c>
      <c r="T389">
        <v>17834000</v>
      </c>
      <c r="U389" t="s">
        <v>184</v>
      </c>
      <c r="V389" s="1" t="s">
        <v>179</v>
      </c>
      <c r="W389" s="1" t="s">
        <v>180</v>
      </c>
      <c r="X389" s="1" t="str">
        <f>VLOOKUP(V389,Broker_Directory!A:C,3,FALSE)</f>
        <v>Tier B</v>
      </c>
      <c r="Y389" s="1">
        <f>HLOOKUP(X389, Commission_Rates!A$1:C$2, 2, FALSE)</f>
        <v>1.4999999999999999E-2</v>
      </c>
      <c r="Z389" s="1">
        <f t="shared" si="18"/>
        <v>267510</v>
      </c>
      <c r="AA389" s="1">
        <f t="shared" si="19"/>
        <v>535020</v>
      </c>
      <c r="AB389" s="1">
        <f t="shared" si="20"/>
        <v>267510</v>
      </c>
    </row>
    <row r="390" spans="1:28" x14ac:dyDescent="0.3">
      <c r="A390" s="1" t="s">
        <v>37</v>
      </c>
      <c r="B390" s="1" t="s">
        <v>38</v>
      </c>
      <c r="C390">
        <v>1</v>
      </c>
      <c r="D390">
        <v>2</v>
      </c>
      <c r="E390">
        <v>3678</v>
      </c>
      <c r="F390">
        <v>5914</v>
      </c>
      <c r="G390">
        <v>2</v>
      </c>
      <c r="H390">
        <v>1970</v>
      </c>
      <c r="I390">
        <v>1985</v>
      </c>
      <c r="J390" s="1" t="s">
        <v>52</v>
      </c>
      <c r="K390">
        <v>3</v>
      </c>
      <c r="L390" s="1" t="s">
        <v>31</v>
      </c>
      <c r="M390" s="1" t="s">
        <v>24</v>
      </c>
      <c r="N390" s="1" t="s">
        <v>25</v>
      </c>
      <c r="O390">
        <v>3</v>
      </c>
      <c r="P390">
        <v>0</v>
      </c>
      <c r="Q390" s="1" t="s">
        <v>86</v>
      </c>
      <c r="R390">
        <v>2</v>
      </c>
      <c r="S390" s="1" t="s">
        <v>27</v>
      </c>
      <c r="T390">
        <v>29704000</v>
      </c>
      <c r="U390" t="s">
        <v>184</v>
      </c>
      <c r="V390" s="1" t="s">
        <v>168</v>
      </c>
      <c r="W390" s="1" t="s">
        <v>169</v>
      </c>
      <c r="X390" s="1" t="str">
        <f>VLOOKUP(V390,Broker_Directory!A:C,3,FALSE)</f>
        <v>Tier A</v>
      </c>
      <c r="Y390" s="1">
        <f>HLOOKUP(X390, Commission_Rates!A$1:C$2, 2, FALSE)</f>
        <v>0.02</v>
      </c>
      <c r="Z390" s="1">
        <f t="shared" si="18"/>
        <v>594080</v>
      </c>
      <c r="AA390" s="1">
        <f t="shared" si="19"/>
        <v>891120</v>
      </c>
      <c r="AB390" s="1">
        <f t="shared" si="20"/>
        <v>297040</v>
      </c>
    </row>
    <row r="391" spans="1:28" x14ac:dyDescent="0.3">
      <c r="A391" s="1" t="s">
        <v>37</v>
      </c>
      <c r="B391" s="1" t="s">
        <v>45</v>
      </c>
      <c r="C391">
        <v>4</v>
      </c>
      <c r="D391">
        <v>4</v>
      </c>
      <c r="E391">
        <v>603</v>
      </c>
      <c r="F391">
        <v>3962</v>
      </c>
      <c r="G391">
        <v>1</v>
      </c>
      <c r="H391">
        <v>1984</v>
      </c>
      <c r="I391">
        <v>1991</v>
      </c>
      <c r="J391" s="1" t="s">
        <v>58</v>
      </c>
      <c r="K391">
        <v>2</v>
      </c>
      <c r="L391" s="1" t="s">
        <v>64</v>
      </c>
      <c r="M391" s="1" t="s">
        <v>24</v>
      </c>
      <c r="N391" s="1" t="s">
        <v>35</v>
      </c>
      <c r="O391">
        <v>0</v>
      </c>
      <c r="P391">
        <v>5</v>
      </c>
      <c r="Q391" s="1" t="s">
        <v>122</v>
      </c>
      <c r="R391">
        <v>0</v>
      </c>
      <c r="S391" s="1" t="s">
        <v>24</v>
      </c>
      <c r="T391">
        <v>5239000</v>
      </c>
      <c r="U391" t="s">
        <v>183</v>
      </c>
      <c r="V391" s="1" t="s">
        <v>168</v>
      </c>
      <c r="W391" s="1" t="s">
        <v>169</v>
      </c>
      <c r="X391" s="1" t="str">
        <f>VLOOKUP(V391,Broker_Directory!A:C,3,FALSE)</f>
        <v>Tier A</v>
      </c>
      <c r="Y391" s="1">
        <f>HLOOKUP(X391, Commission_Rates!A$1:C$2, 2, FALSE)</f>
        <v>0.02</v>
      </c>
      <c r="Z391" s="1">
        <f t="shared" si="18"/>
        <v>0</v>
      </c>
      <c r="AA391" s="1">
        <f t="shared" si="19"/>
        <v>0</v>
      </c>
      <c r="AB391" s="1">
        <f t="shared" si="20"/>
        <v>0</v>
      </c>
    </row>
    <row r="392" spans="1:28" x14ac:dyDescent="0.3">
      <c r="A392" s="1" t="s">
        <v>20</v>
      </c>
      <c r="B392" s="1" t="s">
        <v>69</v>
      </c>
      <c r="C392">
        <v>5</v>
      </c>
      <c r="D392">
        <v>3</v>
      </c>
      <c r="E392">
        <v>820</v>
      </c>
      <c r="F392">
        <v>7538</v>
      </c>
      <c r="G392">
        <v>2</v>
      </c>
      <c r="H392">
        <v>1961</v>
      </c>
      <c r="I392">
        <v>2010</v>
      </c>
      <c r="J392" s="1" t="s">
        <v>52</v>
      </c>
      <c r="K392">
        <v>1</v>
      </c>
      <c r="L392" s="1" t="s">
        <v>23</v>
      </c>
      <c r="M392" s="1" t="s">
        <v>24</v>
      </c>
      <c r="N392" s="1" t="s">
        <v>35</v>
      </c>
      <c r="O392">
        <v>10</v>
      </c>
      <c r="P392">
        <v>4</v>
      </c>
      <c r="Q392" s="1" t="s">
        <v>103</v>
      </c>
      <c r="R392">
        <v>3</v>
      </c>
      <c r="S392" s="1" t="s">
        <v>24</v>
      </c>
      <c r="T392">
        <v>10340000</v>
      </c>
      <c r="U392" t="s">
        <v>182</v>
      </c>
      <c r="V392" s="1" t="s">
        <v>168</v>
      </c>
      <c r="W392" s="1" t="s">
        <v>169</v>
      </c>
      <c r="X392" s="1" t="str">
        <f>VLOOKUP(V392,Broker_Directory!A:C,3,FALSE)</f>
        <v>Tier A</v>
      </c>
      <c r="Y392" s="1">
        <f>HLOOKUP(X392, Commission_Rates!A$1:C$2, 2, FALSE)</f>
        <v>0.02</v>
      </c>
      <c r="Z392" s="1">
        <f t="shared" si="18"/>
        <v>0</v>
      </c>
      <c r="AA392" s="1">
        <f t="shared" si="19"/>
        <v>0</v>
      </c>
      <c r="AB392" s="1">
        <f t="shared" si="20"/>
        <v>0</v>
      </c>
    </row>
    <row r="393" spans="1:28" x14ac:dyDescent="0.3">
      <c r="A393" s="1" t="s">
        <v>28</v>
      </c>
      <c r="B393" s="1" t="s">
        <v>95</v>
      </c>
      <c r="C393">
        <v>1</v>
      </c>
      <c r="D393">
        <v>3</v>
      </c>
      <c r="E393">
        <v>2997</v>
      </c>
      <c r="F393">
        <v>9865</v>
      </c>
      <c r="G393">
        <v>3</v>
      </c>
      <c r="H393">
        <v>1999</v>
      </c>
      <c r="I393">
        <v>2023</v>
      </c>
      <c r="J393" s="1" t="s">
        <v>52</v>
      </c>
      <c r="K393">
        <v>3</v>
      </c>
      <c r="L393" s="1" t="s">
        <v>31</v>
      </c>
      <c r="M393" s="1" t="s">
        <v>24</v>
      </c>
      <c r="N393" s="1" t="s">
        <v>25</v>
      </c>
      <c r="O393">
        <v>2</v>
      </c>
      <c r="P393">
        <v>1</v>
      </c>
      <c r="Q393" s="1" t="s">
        <v>129</v>
      </c>
      <c r="R393">
        <v>3</v>
      </c>
      <c r="S393" s="1" t="s">
        <v>27</v>
      </c>
      <c r="T393">
        <v>30315000</v>
      </c>
      <c r="U393" t="s">
        <v>182</v>
      </c>
      <c r="V393" s="1" t="s">
        <v>171</v>
      </c>
      <c r="W393" s="1" t="s">
        <v>172</v>
      </c>
      <c r="X393" s="1" t="str">
        <f>VLOOKUP(V393,Broker_Directory!A:C,3,FALSE)</f>
        <v>Tier B</v>
      </c>
      <c r="Y393" s="1">
        <f>HLOOKUP(X393, Commission_Rates!A$1:C$2, 2, FALSE)</f>
        <v>1.4999999999999999E-2</v>
      </c>
      <c r="Z393" s="1">
        <f t="shared" si="18"/>
        <v>0</v>
      </c>
      <c r="AA393" s="1">
        <f t="shared" si="19"/>
        <v>0</v>
      </c>
      <c r="AB393" s="1">
        <f t="shared" si="20"/>
        <v>0</v>
      </c>
    </row>
    <row r="394" spans="1:28" x14ac:dyDescent="0.3">
      <c r="A394" s="1" t="s">
        <v>53</v>
      </c>
      <c r="B394" s="1" t="s">
        <v>100</v>
      </c>
      <c r="C394">
        <v>1</v>
      </c>
      <c r="D394">
        <v>4</v>
      </c>
      <c r="E394">
        <v>4670</v>
      </c>
      <c r="F394">
        <v>7789</v>
      </c>
      <c r="G394">
        <v>3</v>
      </c>
      <c r="H394">
        <v>1964</v>
      </c>
      <c r="I394">
        <v>1983</v>
      </c>
      <c r="J394" s="1" t="s">
        <v>22</v>
      </c>
      <c r="K394">
        <v>3</v>
      </c>
      <c r="L394" s="1" t="s">
        <v>31</v>
      </c>
      <c r="M394" s="1" t="s">
        <v>27</v>
      </c>
      <c r="N394" s="1" t="s">
        <v>25</v>
      </c>
      <c r="O394">
        <v>5</v>
      </c>
      <c r="P394">
        <v>3</v>
      </c>
      <c r="Q394" s="1" t="s">
        <v>151</v>
      </c>
      <c r="R394">
        <v>2</v>
      </c>
      <c r="S394" s="1" t="s">
        <v>24</v>
      </c>
      <c r="T394">
        <v>42415000</v>
      </c>
      <c r="U394" t="s">
        <v>183</v>
      </c>
      <c r="V394" s="1" t="s">
        <v>171</v>
      </c>
      <c r="W394" s="1" t="s">
        <v>172</v>
      </c>
      <c r="X394" s="1" t="str">
        <f>VLOOKUP(V394,Broker_Directory!A:C,3,FALSE)</f>
        <v>Tier B</v>
      </c>
      <c r="Y394" s="1">
        <f>HLOOKUP(X394, Commission_Rates!A$1:C$2, 2, FALSE)</f>
        <v>1.4999999999999999E-2</v>
      </c>
      <c r="Z394" s="1">
        <f t="shared" si="18"/>
        <v>0</v>
      </c>
      <c r="AA394" s="1">
        <f t="shared" si="19"/>
        <v>0</v>
      </c>
      <c r="AB394" s="1">
        <f t="shared" si="20"/>
        <v>0</v>
      </c>
    </row>
    <row r="395" spans="1:28" x14ac:dyDescent="0.3">
      <c r="A395" s="1" t="s">
        <v>33</v>
      </c>
      <c r="B395" s="1" t="s">
        <v>48</v>
      </c>
      <c r="C395">
        <v>1</v>
      </c>
      <c r="D395">
        <v>2</v>
      </c>
      <c r="E395">
        <v>2372</v>
      </c>
      <c r="F395">
        <v>6949</v>
      </c>
      <c r="G395">
        <v>2</v>
      </c>
      <c r="H395">
        <v>1989</v>
      </c>
      <c r="I395">
        <v>2011</v>
      </c>
      <c r="J395" s="1" t="s">
        <v>58</v>
      </c>
      <c r="K395">
        <v>1</v>
      </c>
      <c r="L395" s="1" t="s">
        <v>41</v>
      </c>
      <c r="M395" s="1" t="s">
        <v>27</v>
      </c>
      <c r="N395" s="1" t="s">
        <v>25</v>
      </c>
      <c r="O395">
        <v>6</v>
      </c>
      <c r="P395">
        <v>2</v>
      </c>
      <c r="Q395" s="1" t="s">
        <v>68</v>
      </c>
      <c r="R395">
        <v>0</v>
      </c>
      <c r="S395" s="1" t="s">
        <v>24</v>
      </c>
      <c r="T395">
        <v>20437000</v>
      </c>
      <c r="U395" t="s">
        <v>184</v>
      </c>
      <c r="V395" s="1" t="s">
        <v>171</v>
      </c>
      <c r="W395" s="1" t="s">
        <v>172</v>
      </c>
      <c r="X395" s="1" t="str">
        <f>VLOOKUP(V395,Broker_Directory!A:C,3,FALSE)</f>
        <v>Tier B</v>
      </c>
      <c r="Y395" s="1">
        <f>HLOOKUP(X395, Commission_Rates!A$1:C$2, 2, FALSE)</f>
        <v>1.4999999999999999E-2</v>
      </c>
      <c r="Z395" s="1">
        <f t="shared" si="18"/>
        <v>306555</v>
      </c>
      <c r="AA395" s="1">
        <f t="shared" si="19"/>
        <v>613110</v>
      </c>
      <c r="AB395" s="1">
        <f t="shared" si="20"/>
        <v>306555</v>
      </c>
    </row>
    <row r="396" spans="1:28" x14ac:dyDescent="0.3">
      <c r="A396" s="1" t="s">
        <v>53</v>
      </c>
      <c r="B396" s="1" t="s">
        <v>66</v>
      </c>
      <c r="C396">
        <v>2</v>
      </c>
      <c r="D396">
        <v>4</v>
      </c>
      <c r="E396">
        <v>2898</v>
      </c>
      <c r="F396">
        <v>9601</v>
      </c>
      <c r="G396">
        <v>3</v>
      </c>
      <c r="H396">
        <v>2002</v>
      </c>
      <c r="I396">
        <v>2002</v>
      </c>
      <c r="J396" s="1" t="s">
        <v>30</v>
      </c>
      <c r="K396">
        <v>0</v>
      </c>
      <c r="L396" s="1" t="s">
        <v>41</v>
      </c>
      <c r="M396" s="1" t="s">
        <v>27</v>
      </c>
      <c r="N396" s="1" t="s">
        <v>35</v>
      </c>
      <c r="O396">
        <v>6</v>
      </c>
      <c r="P396">
        <v>2</v>
      </c>
      <c r="Q396" s="1" t="s">
        <v>91</v>
      </c>
      <c r="R396">
        <v>0</v>
      </c>
      <c r="S396" s="1" t="s">
        <v>24</v>
      </c>
      <c r="T396">
        <v>26412000</v>
      </c>
      <c r="U396" t="s">
        <v>183</v>
      </c>
      <c r="V396" s="1" t="s">
        <v>179</v>
      </c>
      <c r="W396" s="1" t="s">
        <v>180</v>
      </c>
      <c r="X396" s="1" t="str">
        <f>VLOOKUP(V396,Broker_Directory!A:C,3,FALSE)</f>
        <v>Tier B</v>
      </c>
      <c r="Y396" s="1">
        <f>HLOOKUP(X396, Commission_Rates!A$1:C$2, 2, FALSE)</f>
        <v>1.4999999999999999E-2</v>
      </c>
      <c r="Z396" s="1">
        <f t="shared" si="18"/>
        <v>0</v>
      </c>
      <c r="AA396" s="1">
        <f t="shared" si="19"/>
        <v>0</v>
      </c>
      <c r="AB396" s="1">
        <f t="shared" si="20"/>
        <v>0</v>
      </c>
    </row>
    <row r="397" spans="1:28" x14ac:dyDescent="0.3">
      <c r="A397" s="1" t="s">
        <v>53</v>
      </c>
      <c r="B397" s="1" t="s">
        <v>100</v>
      </c>
      <c r="C397">
        <v>1</v>
      </c>
      <c r="D397">
        <v>3</v>
      </c>
      <c r="E397">
        <v>3747</v>
      </c>
      <c r="F397">
        <v>8729</v>
      </c>
      <c r="G397">
        <v>3</v>
      </c>
      <c r="H397">
        <v>2020</v>
      </c>
      <c r="I397">
        <v>2024</v>
      </c>
      <c r="J397" s="1" t="s">
        <v>30</v>
      </c>
      <c r="K397">
        <v>3</v>
      </c>
      <c r="L397" s="1" t="s">
        <v>23</v>
      </c>
      <c r="M397" s="1" t="s">
        <v>24</v>
      </c>
      <c r="N397" s="1" t="s">
        <v>35</v>
      </c>
      <c r="O397">
        <v>10</v>
      </c>
      <c r="P397">
        <v>1</v>
      </c>
      <c r="Q397" s="1" t="s">
        <v>104</v>
      </c>
      <c r="R397">
        <v>1</v>
      </c>
      <c r="S397" s="1" t="s">
        <v>24</v>
      </c>
      <c r="T397">
        <v>34013000</v>
      </c>
      <c r="U397" t="s">
        <v>182</v>
      </c>
      <c r="V397" s="1" t="s">
        <v>179</v>
      </c>
      <c r="W397" s="1" t="s">
        <v>180</v>
      </c>
      <c r="X397" s="1" t="str">
        <f>VLOOKUP(V397,Broker_Directory!A:C,3,FALSE)</f>
        <v>Tier B</v>
      </c>
      <c r="Y397" s="1">
        <f>HLOOKUP(X397, Commission_Rates!A$1:C$2, 2, FALSE)</f>
        <v>1.4999999999999999E-2</v>
      </c>
      <c r="Z397" s="1">
        <f t="shared" si="18"/>
        <v>0</v>
      </c>
      <c r="AA397" s="1">
        <f t="shared" si="19"/>
        <v>0</v>
      </c>
      <c r="AB397" s="1">
        <f t="shared" si="20"/>
        <v>0</v>
      </c>
    </row>
    <row r="398" spans="1:28" x14ac:dyDescent="0.3">
      <c r="A398" s="1" t="s">
        <v>37</v>
      </c>
      <c r="B398" s="1" t="s">
        <v>62</v>
      </c>
      <c r="C398">
        <v>3</v>
      </c>
      <c r="D398">
        <v>3</v>
      </c>
      <c r="E398">
        <v>973</v>
      </c>
      <c r="F398">
        <v>2838</v>
      </c>
      <c r="G398">
        <v>1</v>
      </c>
      <c r="H398">
        <v>1981</v>
      </c>
      <c r="I398">
        <v>2013</v>
      </c>
      <c r="J398" s="1" t="s">
        <v>52</v>
      </c>
      <c r="K398">
        <v>3</v>
      </c>
      <c r="L398" s="1" t="s">
        <v>64</v>
      </c>
      <c r="M398" s="1" t="s">
        <v>27</v>
      </c>
      <c r="N398" s="1" t="s">
        <v>46</v>
      </c>
      <c r="O398">
        <v>2</v>
      </c>
      <c r="P398">
        <v>2</v>
      </c>
      <c r="Q398" s="1" t="s">
        <v>63</v>
      </c>
      <c r="R398">
        <v>2</v>
      </c>
      <c r="S398" s="1" t="s">
        <v>27</v>
      </c>
      <c r="T398">
        <v>8074000</v>
      </c>
      <c r="U398" t="s">
        <v>184</v>
      </c>
      <c r="V398" s="1" t="s">
        <v>168</v>
      </c>
      <c r="W398" s="1" t="s">
        <v>169</v>
      </c>
      <c r="X398" s="1" t="str">
        <f>VLOOKUP(V398,Broker_Directory!A:C,3,FALSE)</f>
        <v>Tier A</v>
      </c>
      <c r="Y398" s="1">
        <f>HLOOKUP(X398, Commission_Rates!A$1:C$2, 2, FALSE)</f>
        <v>0.02</v>
      </c>
      <c r="Z398" s="1">
        <f t="shared" si="18"/>
        <v>161480</v>
      </c>
      <c r="AA398" s="1">
        <f t="shared" si="19"/>
        <v>242220</v>
      </c>
      <c r="AB398" s="1">
        <f t="shared" si="20"/>
        <v>80740</v>
      </c>
    </row>
    <row r="399" spans="1:28" x14ac:dyDescent="0.3">
      <c r="A399" s="1" t="s">
        <v>28</v>
      </c>
      <c r="B399" s="1" t="s">
        <v>60</v>
      </c>
      <c r="C399">
        <v>4</v>
      </c>
      <c r="D399">
        <v>3</v>
      </c>
      <c r="E399">
        <v>1790</v>
      </c>
      <c r="F399">
        <v>5063</v>
      </c>
      <c r="G399">
        <v>2</v>
      </c>
      <c r="H399">
        <v>2023</v>
      </c>
      <c r="I399">
        <v>2023</v>
      </c>
      <c r="J399" s="1" t="s">
        <v>58</v>
      </c>
      <c r="K399">
        <v>0</v>
      </c>
      <c r="L399" s="1" t="s">
        <v>31</v>
      </c>
      <c r="M399" s="1" t="s">
        <v>24</v>
      </c>
      <c r="N399" s="1" t="s">
        <v>46</v>
      </c>
      <c r="O399">
        <v>3</v>
      </c>
      <c r="P399">
        <v>2</v>
      </c>
      <c r="Q399" s="1" t="s">
        <v>121</v>
      </c>
      <c r="R399">
        <v>0</v>
      </c>
      <c r="S399" s="1" t="s">
        <v>27</v>
      </c>
      <c r="T399">
        <v>18255000</v>
      </c>
      <c r="U399" t="s">
        <v>184</v>
      </c>
      <c r="V399" s="1" t="s">
        <v>171</v>
      </c>
      <c r="W399" s="1" t="s">
        <v>172</v>
      </c>
      <c r="X399" s="1" t="str">
        <f>VLOOKUP(V399,Broker_Directory!A:C,3,FALSE)</f>
        <v>Tier B</v>
      </c>
      <c r="Y399" s="1">
        <f>HLOOKUP(X399, Commission_Rates!A$1:C$2, 2, FALSE)</f>
        <v>1.4999999999999999E-2</v>
      </c>
      <c r="Z399" s="1">
        <f t="shared" si="18"/>
        <v>273825</v>
      </c>
      <c r="AA399" s="1">
        <f t="shared" si="19"/>
        <v>547650</v>
      </c>
      <c r="AB399" s="1">
        <f t="shared" si="20"/>
        <v>273825</v>
      </c>
    </row>
    <row r="400" spans="1:28" x14ac:dyDescent="0.3">
      <c r="A400" s="1" t="s">
        <v>33</v>
      </c>
      <c r="B400" s="1" t="s">
        <v>98</v>
      </c>
      <c r="C400">
        <v>5</v>
      </c>
      <c r="D400">
        <v>3</v>
      </c>
      <c r="E400">
        <v>1522</v>
      </c>
      <c r="F400">
        <v>3031</v>
      </c>
      <c r="G400">
        <v>2</v>
      </c>
      <c r="H400">
        <v>1971</v>
      </c>
      <c r="I400">
        <v>2006</v>
      </c>
      <c r="J400" s="1" t="s">
        <v>58</v>
      </c>
      <c r="K400">
        <v>0</v>
      </c>
      <c r="L400" s="1" t="s">
        <v>41</v>
      </c>
      <c r="M400" s="1" t="s">
        <v>27</v>
      </c>
      <c r="N400" s="1" t="s">
        <v>35</v>
      </c>
      <c r="O400">
        <v>7</v>
      </c>
      <c r="P400">
        <v>0</v>
      </c>
      <c r="Q400" s="1" t="s">
        <v>123</v>
      </c>
      <c r="R400">
        <v>1</v>
      </c>
      <c r="S400" s="1" t="s">
        <v>24</v>
      </c>
      <c r="T400">
        <v>13382000</v>
      </c>
      <c r="U400" t="s">
        <v>184</v>
      </c>
      <c r="V400" s="1" t="s">
        <v>174</v>
      </c>
      <c r="W400" s="1" t="s">
        <v>175</v>
      </c>
      <c r="X400" s="1" t="str">
        <f>VLOOKUP(V400,Broker_Directory!A:C,3,FALSE)</f>
        <v>Tier A</v>
      </c>
      <c r="Y400" s="1">
        <f>HLOOKUP(X400, Commission_Rates!A$1:C$2, 2, FALSE)</f>
        <v>0.02</v>
      </c>
      <c r="Z400" s="1">
        <f t="shared" si="18"/>
        <v>267640</v>
      </c>
      <c r="AA400" s="1">
        <f t="shared" si="19"/>
        <v>401460</v>
      </c>
      <c r="AB400" s="1">
        <f t="shared" si="20"/>
        <v>133820</v>
      </c>
    </row>
    <row r="401" spans="1:28" x14ac:dyDescent="0.3">
      <c r="A401" s="1" t="s">
        <v>53</v>
      </c>
      <c r="B401" s="1" t="s">
        <v>89</v>
      </c>
      <c r="C401">
        <v>4</v>
      </c>
      <c r="D401">
        <v>4</v>
      </c>
      <c r="E401">
        <v>1366</v>
      </c>
      <c r="F401">
        <v>8482</v>
      </c>
      <c r="G401">
        <v>1</v>
      </c>
      <c r="H401">
        <v>1977</v>
      </c>
      <c r="I401">
        <v>1994</v>
      </c>
      <c r="J401" s="1" t="s">
        <v>52</v>
      </c>
      <c r="K401">
        <v>3</v>
      </c>
      <c r="L401" s="1" t="s">
        <v>31</v>
      </c>
      <c r="M401" s="1" t="s">
        <v>27</v>
      </c>
      <c r="N401" s="1" t="s">
        <v>25</v>
      </c>
      <c r="O401">
        <v>0</v>
      </c>
      <c r="P401">
        <v>2</v>
      </c>
      <c r="Q401" s="1" t="s">
        <v>90</v>
      </c>
      <c r="R401">
        <v>1</v>
      </c>
      <c r="S401" s="1" t="s">
        <v>27</v>
      </c>
      <c r="T401">
        <v>12724000</v>
      </c>
      <c r="U401" t="s">
        <v>184</v>
      </c>
      <c r="V401" s="1" t="s">
        <v>171</v>
      </c>
      <c r="W401" s="1" t="s">
        <v>172</v>
      </c>
      <c r="X401" s="1" t="str">
        <f>VLOOKUP(V401,Broker_Directory!A:C,3,FALSE)</f>
        <v>Tier B</v>
      </c>
      <c r="Y401" s="1">
        <f>HLOOKUP(X401, Commission_Rates!A$1:C$2, 2, FALSE)</f>
        <v>1.4999999999999999E-2</v>
      </c>
      <c r="Z401" s="1">
        <f t="shared" si="18"/>
        <v>190860</v>
      </c>
      <c r="AA401" s="1">
        <f t="shared" si="19"/>
        <v>381720</v>
      </c>
      <c r="AB401" s="1">
        <f t="shared" si="20"/>
        <v>190860</v>
      </c>
    </row>
    <row r="402" spans="1:28" x14ac:dyDescent="0.3">
      <c r="A402" s="1" t="s">
        <v>28</v>
      </c>
      <c r="B402" s="1" t="s">
        <v>79</v>
      </c>
      <c r="C402">
        <v>5</v>
      </c>
      <c r="D402">
        <v>4</v>
      </c>
      <c r="E402">
        <v>1002</v>
      </c>
      <c r="F402">
        <v>1221</v>
      </c>
      <c r="G402">
        <v>2</v>
      </c>
      <c r="H402">
        <v>1967</v>
      </c>
      <c r="I402">
        <v>2021</v>
      </c>
      <c r="J402" s="1" t="s">
        <v>30</v>
      </c>
      <c r="K402">
        <v>3</v>
      </c>
      <c r="L402" s="1" t="s">
        <v>31</v>
      </c>
      <c r="M402" s="1" t="s">
        <v>27</v>
      </c>
      <c r="N402" s="1" t="s">
        <v>35</v>
      </c>
      <c r="O402">
        <v>6</v>
      </c>
      <c r="P402">
        <v>5</v>
      </c>
      <c r="Q402" s="1" t="s">
        <v>92</v>
      </c>
      <c r="R402">
        <v>0</v>
      </c>
      <c r="S402" s="1" t="s">
        <v>24</v>
      </c>
      <c r="T402">
        <v>10480000</v>
      </c>
      <c r="U402" t="s">
        <v>183</v>
      </c>
      <c r="V402" s="1" t="s">
        <v>179</v>
      </c>
      <c r="W402" s="1" t="s">
        <v>180</v>
      </c>
      <c r="X402" s="1" t="str">
        <f>VLOOKUP(V402,Broker_Directory!A:C,3,FALSE)</f>
        <v>Tier B</v>
      </c>
      <c r="Y402" s="1">
        <f>HLOOKUP(X402, Commission_Rates!A$1:C$2, 2, FALSE)</f>
        <v>1.4999999999999999E-2</v>
      </c>
      <c r="Z402" s="1">
        <f t="shared" si="18"/>
        <v>0</v>
      </c>
      <c r="AA402" s="1">
        <f t="shared" si="19"/>
        <v>0</v>
      </c>
      <c r="AB402" s="1">
        <f t="shared" si="20"/>
        <v>0</v>
      </c>
    </row>
    <row r="403" spans="1:28" x14ac:dyDescent="0.3">
      <c r="A403" s="1" t="s">
        <v>33</v>
      </c>
      <c r="B403" s="1" t="s">
        <v>48</v>
      </c>
      <c r="C403">
        <v>1</v>
      </c>
      <c r="D403">
        <v>3</v>
      </c>
      <c r="E403">
        <v>2223</v>
      </c>
      <c r="F403">
        <v>6130</v>
      </c>
      <c r="G403">
        <v>2</v>
      </c>
      <c r="H403">
        <v>1955</v>
      </c>
      <c r="I403">
        <v>0</v>
      </c>
      <c r="J403" s="1" t="s">
        <v>30</v>
      </c>
      <c r="K403">
        <v>3</v>
      </c>
      <c r="L403" s="1" t="s">
        <v>64</v>
      </c>
      <c r="M403" s="1" t="s">
        <v>27</v>
      </c>
      <c r="N403" s="1" t="s">
        <v>35</v>
      </c>
      <c r="O403">
        <v>5</v>
      </c>
      <c r="P403">
        <v>1</v>
      </c>
      <c r="Q403" s="1" t="s">
        <v>49</v>
      </c>
      <c r="R403">
        <v>1</v>
      </c>
      <c r="S403" s="1" t="s">
        <v>27</v>
      </c>
      <c r="T403">
        <v>19090500</v>
      </c>
      <c r="U403" t="s">
        <v>184</v>
      </c>
      <c r="V403" s="1" t="s">
        <v>171</v>
      </c>
      <c r="W403" s="1" t="s">
        <v>172</v>
      </c>
      <c r="X403" s="1" t="str">
        <f>VLOOKUP(V403,Broker_Directory!A:C,3,FALSE)</f>
        <v>Tier B</v>
      </c>
      <c r="Y403" s="1">
        <f>HLOOKUP(X403, Commission_Rates!A$1:C$2, 2, FALSE)</f>
        <v>1.4999999999999999E-2</v>
      </c>
      <c r="Z403" s="1">
        <f t="shared" si="18"/>
        <v>286357.5</v>
      </c>
      <c r="AA403" s="1">
        <f t="shared" si="19"/>
        <v>572715</v>
      </c>
      <c r="AB403" s="1">
        <f t="shared" si="20"/>
        <v>286357.5</v>
      </c>
    </row>
    <row r="404" spans="1:28" x14ac:dyDescent="0.3">
      <c r="A404" s="1" t="s">
        <v>28</v>
      </c>
      <c r="B404" s="1" t="s">
        <v>95</v>
      </c>
      <c r="C404">
        <v>4</v>
      </c>
      <c r="D404">
        <v>3</v>
      </c>
      <c r="E404">
        <v>4134</v>
      </c>
      <c r="F404">
        <v>5264</v>
      </c>
      <c r="G404">
        <v>1</v>
      </c>
      <c r="H404">
        <v>1990</v>
      </c>
      <c r="I404">
        <v>2022</v>
      </c>
      <c r="J404" s="1" t="s">
        <v>22</v>
      </c>
      <c r="K404">
        <v>1</v>
      </c>
      <c r="L404" s="1" t="s">
        <v>64</v>
      </c>
      <c r="M404" s="1" t="s">
        <v>24</v>
      </c>
      <c r="N404" s="1" t="s">
        <v>46</v>
      </c>
      <c r="O404">
        <v>0</v>
      </c>
      <c r="P404">
        <v>1</v>
      </c>
      <c r="Q404" s="1" t="s">
        <v>146</v>
      </c>
      <c r="R404">
        <v>2</v>
      </c>
      <c r="S404" s="1" t="s">
        <v>27</v>
      </c>
      <c r="T404">
        <v>41705000</v>
      </c>
      <c r="U404" t="s">
        <v>184</v>
      </c>
      <c r="V404" s="1" t="s">
        <v>168</v>
      </c>
      <c r="W404" s="1" t="s">
        <v>169</v>
      </c>
      <c r="X404" s="1" t="str">
        <f>VLOOKUP(V404,Broker_Directory!A:C,3,FALSE)</f>
        <v>Tier A</v>
      </c>
      <c r="Y404" s="1">
        <f>HLOOKUP(X404, Commission_Rates!A$1:C$2, 2, FALSE)</f>
        <v>0.02</v>
      </c>
      <c r="Z404" s="1">
        <f t="shared" si="18"/>
        <v>834100</v>
      </c>
      <c r="AA404" s="1">
        <f t="shared" si="19"/>
        <v>1251150</v>
      </c>
      <c r="AB404" s="1">
        <f t="shared" si="20"/>
        <v>417050</v>
      </c>
    </row>
    <row r="405" spans="1:28" x14ac:dyDescent="0.3">
      <c r="A405" s="1" t="s">
        <v>37</v>
      </c>
      <c r="B405" s="1" t="s">
        <v>38</v>
      </c>
      <c r="C405">
        <v>3</v>
      </c>
      <c r="D405">
        <v>3</v>
      </c>
      <c r="E405">
        <v>4535</v>
      </c>
      <c r="F405">
        <v>7149</v>
      </c>
      <c r="G405">
        <v>2</v>
      </c>
      <c r="H405">
        <v>1971</v>
      </c>
      <c r="I405">
        <v>1990</v>
      </c>
      <c r="J405" s="1" t="s">
        <v>22</v>
      </c>
      <c r="K405">
        <v>1</v>
      </c>
      <c r="L405" s="1" t="s">
        <v>41</v>
      </c>
      <c r="M405" s="1" t="s">
        <v>24</v>
      </c>
      <c r="N405" s="1" t="s">
        <v>25</v>
      </c>
      <c r="O405">
        <v>2</v>
      </c>
      <c r="P405">
        <v>0</v>
      </c>
      <c r="Q405" s="1" t="s">
        <v>86</v>
      </c>
      <c r="R405">
        <v>1</v>
      </c>
      <c r="S405" s="1" t="s">
        <v>24</v>
      </c>
      <c r="T405">
        <v>36725000</v>
      </c>
      <c r="U405" t="s">
        <v>182</v>
      </c>
      <c r="V405" s="1" t="s">
        <v>168</v>
      </c>
      <c r="W405" s="1" t="s">
        <v>169</v>
      </c>
      <c r="X405" s="1" t="str">
        <f>VLOOKUP(V405,Broker_Directory!A:C,3,FALSE)</f>
        <v>Tier A</v>
      </c>
      <c r="Y405" s="1">
        <f>HLOOKUP(X405, Commission_Rates!A$1:C$2, 2, FALSE)</f>
        <v>0.02</v>
      </c>
      <c r="Z405" s="1">
        <f t="shared" si="18"/>
        <v>0</v>
      </c>
      <c r="AA405" s="1">
        <f t="shared" si="19"/>
        <v>0</v>
      </c>
      <c r="AB405" s="1">
        <f t="shared" si="20"/>
        <v>0</v>
      </c>
    </row>
    <row r="406" spans="1:28" x14ac:dyDescent="0.3">
      <c r="A406" s="1" t="s">
        <v>37</v>
      </c>
      <c r="B406" s="1" t="s">
        <v>38</v>
      </c>
      <c r="C406">
        <v>2</v>
      </c>
      <c r="D406">
        <v>4</v>
      </c>
      <c r="E406">
        <v>3875</v>
      </c>
      <c r="F406">
        <v>4875</v>
      </c>
      <c r="G406">
        <v>2</v>
      </c>
      <c r="H406">
        <v>1955</v>
      </c>
      <c r="I406">
        <v>2010</v>
      </c>
      <c r="J406" s="1" t="s">
        <v>30</v>
      </c>
      <c r="K406">
        <v>3</v>
      </c>
      <c r="L406" s="1" t="s">
        <v>41</v>
      </c>
      <c r="M406" s="1" t="s">
        <v>27</v>
      </c>
      <c r="N406" s="1" t="s">
        <v>25</v>
      </c>
      <c r="O406">
        <v>2</v>
      </c>
      <c r="P406">
        <v>0</v>
      </c>
      <c r="Q406" s="1" t="s">
        <v>39</v>
      </c>
      <c r="R406">
        <v>0</v>
      </c>
      <c r="S406" s="1" t="s">
        <v>24</v>
      </c>
      <c r="T406">
        <v>31385000</v>
      </c>
      <c r="U406" t="s">
        <v>182</v>
      </c>
      <c r="V406" s="1" t="s">
        <v>171</v>
      </c>
      <c r="W406" s="1" t="s">
        <v>172</v>
      </c>
      <c r="X406" s="1" t="str">
        <f>VLOOKUP(V406,Broker_Directory!A:C,3,FALSE)</f>
        <v>Tier B</v>
      </c>
      <c r="Y406" s="1">
        <f>HLOOKUP(X406, Commission_Rates!A$1:C$2, 2, FALSE)</f>
        <v>1.4999999999999999E-2</v>
      </c>
      <c r="Z406" s="1">
        <f t="shared" si="18"/>
        <v>0</v>
      </c>
      <c r="AA406" s="1">
        <f t="shared" si="19"/>
        <v>0</v>
      </c>
      <c r="AB406" s="1">
        <f t="shared" si="20"/>
        <v>0</v>
      </c>
    </row>
    <row r="407" spans="1:28" x14ac:dyDescent="0.3">
      <c r="A407" s="1" t="s">
        <v>53</v>
      </c>
      <c r="B407" s="1" t="s">
        <v>66</v>
      </c>
      <c r="C407">
        <v>2</v>
      </c>
      <c r="D407">
        <v>3</v>
      </c>
      <c r="E407">
        <v>4914</v>
      </c>
      <c r="F407">
        <v>9761</v>
      </c>
      <c r="G407">
        <v>1</v>
      </c>
      <c r="H407">
        <v>2024</v>
      </c>
      <c r="I407">
        <v>0</v>
      </c>
      <c r="J407" s="1" t="s">
        <v>52</v>
      </c>
      <c r="K407">
        <v>3</v>
      </c>
      <c r="L407" s="1" t="s">
        <v>23</v>
      </c>
      <c r="M407" s="1" t="s">
        <v>24</v>
      </c>
      <c r="N407" s="1" t="s">
        <v>46</v>
      </c>
      <c r="O407">
        <v>10</v>
      </c>
      <c r="P407">
        <v>0</v>
      </c>
      <c r="Q407" s="1" t="s">
        <v>82</v>
      </c>
      <c r="R407">
        <v>0</v>
      </c>
      <c r="S407" s="1" t="s">
        <v>27</v>
      </c>
      <c r="T407">
        <v>44461000</v>
      </c>
      <c r="U407" t="s">
        <v>183</v>
      </c>
      <c r="V407" s="1" t="s">
        <v>174</v>
      </c>
      <c r="W407" s="1" t="s">
        <v>175</v>
      </c>
      <c r="X407" s="1" t="str">
        <f>VLOOKUP(V407,Broker_Directory!A:C,3,FALSE)</f>
        <v>Tier A</v>
      </c>
      <c r="Y407" s="1">
        <f>HLOOKUP(X407, Commission_Rates!A$1:C$2, 2, FALSE)</f>
        <v>0.02</v>
      </c>
      <c r="Z407" s="1">
        <f t="shared" si="18"/>
        <v>0</v>
      </c>
      <c r="AA407" s="1">
        <f t="shared" si="19"/>
        <v>0</v>
      </c>
      <c r="AB407" s="1">
        <f t="shared" si="20"/>
        <v>0</v>
      </c>
    </row>
    <row r="408" spans="1:28" x14ac:dyDescent="0.3">
      <c r="A408" s="1" t="s">
        <v>20</v>
      </c>
      <c r="B408" s="1" t="s">
        <v>50</v>
      </c>
      <c r="C408">
        <v>3</v>
      </c>
      <c r="D408">
        <v>1</v>
      </c>
      <c r="E408">
        <v>2950</v>
      </c>
      <c r="F408">
        <v>4259</v>
      </c>
      <c r="G408">
        <v>1</v>
      </c>
      <c r="H408">
        <v>1960</v>
      </c>
      <c r="I408">
        <v>2017</v>
      </c>
      <c r="J408" s="1" t="s">
        <v>22</v>
      </c>
      <c r="K408">
        <v>3</v>
      </c>
      <c r="L408" s="1" t="s">
        <v>64</v>
      </c>
      <c r="M408" s="1" t="s">
        <v>24</v>
      </c>
      <c r="N408" s="1" t="s">
        <v>46</v>
      </c>
      <c r="O408">
        <v>0</v>
      </c>
      <c r="P408">
        <v>5</v>
      </c>
      <c r="Q408" s="1" t="s">
        <v>128</v>
      </c>
      <c r="R408">
        <v>2</v>
      </c>
      <c r="S408" s="1" t="s">
        <v>24</v>
      </c>
      <c r="T408">
        <v>35705000</v>
      </c>
      <c r="U408" t="s">
        <v>182</v>
      </c>
      <c r="V408" s="1" t="s">
        <v>176</v>
      </c>
      <c r="W408" s="1" t="s">
        <v>177</v>
      </c>
      <c r="X408" s="1" t="str">
        <f>VLOOKUP(V408,Broker_Directory!A:C,3,FALSE)</f>
        <v>Tier C</v>
      </c>
      <c r="Y408" s="1">
        <f>HLOOKUP(X408, Commission_Rates!A$1:C$2, 2, FALSE)</f>
        <v>0.01</v>
      </c>
      <c r="Z408" s="1">
        <f t="shared" si="18"/>
        <v>0</v>
      </c>
      <c r="AA408" s="1">
        <f t="shared" si="19"/>
        <v>0</v>
      </c>
      <c r="AB408" s="1">
        <f t="shared" si="20"/>
        <v>0</v>
      </c>
    </row>
    <row r="409" spans="1:28" x14ac:dyDescent="0.3">
      <c r="A409" s="1" t="s">
        <v>28</v>
      </c>
      <c r="B409" s="1" t="s">
        <v>60</v>
      </c>
      <c r="C409">
        <v>3</v>
      </c>
      <c r="D409">
        <v>3</v>
      </c>
      <c r="E409">
        <v>754</v>
      </c>
      <c r="F409">
        <v>1962</v>
      </c>
      <c r="G409">
        <v>3</v>
      </c>
      <c r="H409">
        <v>1998</v>
      </c>
      <c r="I409">
        <v>1999</v>
      </c>
      <c r="J409" s="1" t="s">
        <v>22</v>
      </c>
      <c r="K409">
        <v>2</v>
      </c>
      <c r="L409" s="1" t="s">
        <v>31</v>
      </c>
      <c r="M409" s="1" t="s">
        <v>24</v>
      </c>
      <c r="N409" s="1" t="s">
        <v>46</v>
      </c>
      <c r="O409">
        <v>1</v>
      </c>
      <c r="P409">
        <v>0</v>
      </c>
      <c r="Q409" s="1" t="s">
        <v>121</v>
      </c>
      <c r="R409">
        <v>1</v>
      </c>
      <c r="S409" s="1" t="s">
        <v>27</v>
      </c>
      <c r="T409">
        <v>7880000</v>
      </c>
      <c r="U409" t="s">
        <v>184</v>
      </c>
      <c r="V409" s="1" t="s">
        <v>168</v>
      </c>
      <c r="W409" s="1" t="s">
        <v>169</v>
      </c>
      <c r="X409" s="1" t="str">
        <f>VLOOKUP(V409,Broker_Directory!A:C,3,FALSE)</f>
        <v>Tier A</v>
      </c>
      <c r="Y409" s="1">
        <f>HLOOKUP(X409, Commission_Rates!A$1:C$2, 2, FALSE)</f>
        <v>0.02</v>
      </c>
      <c r="Z409" s="1">
        <f t="shared" si="18"/>
        <v>157600</v>
      </c>
      <c r="AA409" s="1">
        <f t="shared" si="19"/>
        <v>236400</v>
      </c>
      <c r="AB409" s="1">
        <f t="shared" si="20"/>
        <v>78800</v>
      </c>
    </row>
    <row r="410" spans="1:28" x14ac:dyDescent="0.3">
      <c r="A410" s="1" t="s">
        <v>37</v>
      </c>
      <c r="B410" s="1" t="s">
        <v>38</v>
      </c>
      <c r="C410">
        <v>2</v>
      </c>
      <c r="D410">
        <v>1</v>
      </c>
      <c r="E410">
        <v>2745</v>
      </c>
      <c r="F410">
        <v>6816</v>
      </c>
      <c r="G410">
        <v>2</v>
      </c>
      <c r="H410">
        <v>1989</v>
      </c>
      <c r="I410">
        <v>1996</v>
      </c>
      <c r="J410" s="1" t="s">
        <v>30</v>
      </c>
      <c r="K410">
        <v>0</v>
      </c>
      <c r="L410" s="1" t="s">
        <v>64</v>
      </c>
      <c r="M410" s="1" t="s">
        <v>24</v>
      </c>
      <c r="N410" s="1" t="s">
        <v>46</v>
      </c>
      <c r="O410">
        <v>7</v>
      </c>
      <c r="P410">
        <v>3</v>
      </c>
      <c r="Q410" s="1" t="s">
        <v>78</v>
      </c>
      <c r="R410">
        <v>2</v>
      </c>
      <c r="S410" s="1" t="s">
        <v>27</v>
      </c>
      <c r="T410">
        <v>22185000</v>
      </c>
      <c r="U410" t="s">
        <v>182</v>
      </c>
      <c r="V410" s="1" t="s">
        <v>168</v>
      </c>
      <c r="W410" s="1" t="s">
        <v>169</v>
      </c>
      <c r="X410" s="1" t="str">
        <f>VLOOKUP(V410,Broker_Directory!A:C,3,FALSE)</f>
        <v>Tier A</v>
      </c>
      <c r="Y410" s="1">
        <f>HLOOKUP(X410, Commission_Rates!A$1:C$2, 2, FALSE)</f>
        <v>0.02</v>
      </c>
      <c r="Z410" s="1">
        <f t="shared" si="18"/>
        <v>0</v>
      </c>
      <c r="AA410" s="1">
        <f t="shared" si="19"/>
        <v>0</v>
      </c>
      <c r="AB410" s="1">
        <f t="shared" si="20"/>
        <v>0</v>
      </c>
    </row>
    <row r="411" spans="1:28" x14ac:dyDescent="0.3">
      <c r="A411" s="1" t="s">
        <v>20</v>
      </c>
      <c r="B411" s="1" t="s">
        <v>50</v>
      </c>
      <c r="C411">
        <v>3</v>
      </c>
      <c r="D411">
        <v>2</v>
      </c>
      <c r="E411">
        <v>3856</v>
      </c>
      <c r="F411">
        <v>9072</v>
      </c>
      <c r="G411">
        <v>2</v>
      </c>
      <c r="H411">
        <v>1961</v>
      </c>
      <c r="I411">
        <v>1965</v>
      </c>
      <c r="J411" s="1" t="s">
        <v>30</v>
      </c>
      <c r="K411">
        <v>3</v>
      </c>
      <c r="L411" s="1" t="s">
        <v>31</v>
      </c>
      <c r="M411" s="1" t="s">
        <v>24</v>
      </c>
      <c r="N411" s="1" t="s">
        <v>46</v>
      </c>
      <c r="O411">
        <v>8</v>
      </c>
      <c r="P411">
        <v>5</v>
      </c>
      <c r="Q411" s="1" t="s">
        <v>113</v>
      </c>
      <c r="R411">
        <v>2</v>
      </c>
      <c r="S411" s="1" t="s">
        <v>27</v>
      </c>
      <c r="T411">
        <v>46577000</v>
      </c>
      <c r="U411" t="s">
        <v>182</v>
      </c>
      <c r="V411" s="1" t="s">
        <v>176</v>
      </c>
      <c r="W411" s="1" t="s">
        <v>177</v>
      </c>
      <c r="X411" s="1" t="str">
        <f>VLOOKUP(V411,Broker_Directory!A:C,3,FALSE)</f>
        <v>Tier C</v>
      </c>
      <c r="Y411" s="1">
        <f>HLOOKUP(X411, Commission_Rates!A$1:C$2, 2, FALSE)</f>
        <v>0.01</v>
      </c>
      <c r="Z411" s="1">
        <f t="shared" si="18"/>
        <v>0</v>
      </c>
      <c r="AA411" s="1">
        <f t="shared" si="19"/>
        <v>0</v>
      </c>
      <c r="AB411" s="1">
        <f t="shared" si="20"/>
        <v>0</v>
      </c>
    </row>
    <row r="412" spans="1:28" x14ac:dyDescent="0.3">
      <c r="A412" s="1" t="s">
        <v>37</v>
      </c>
      <c r="B412" s="1" t="s">
        <v>87</v>
      </c>
      <c r="C412">
        <v>4</v>
      </c>
      <c r="D412">
        <v>3</v>
      </c>
      <c r="E412">
        <v>1517</v>
      </c>
      <c r="F412">
        <v>3660</v>
      </c>
      <c r="G412">
        <v>3</v>
      </c>
      <c r="H412">
        <v>1988</v>
      </c>
      <c r="I412">
        <v>2002</v>
      </c>
      <c r="J412" s="1" t="s">
        <v>22</v>
      </c>
      <c r="K412">
        <v>2</v>
      </c>
      <c r="L412" s="1" t="s">
        <v>23</v>
      </c>
      <c r="M412" s="1" t="s">
        <v>24</v>
      </c>
      <c r="N412" s="1" t="s">
        <v>25</v>
      </c>
      <c r="O412">
        <v>8</v>
      </c>
      <c r="P412">
        <v>0</v>
      </c>
      <c r="Q412" s="1" t="s">
        <v>138</v>
      </c>
      <c r="R412">
        <v>3</v>
      </c>
      <c r="S412" s="1" t="s">
        <v>24</v>
      </c>
      <c r="T412">
        <v>12681000</v>
      </c>
      <c r="U412" t="s">
        <v>183</v>
      </c>
      <c r="V412" s="1" t="s">
        <v>174</v>
      </c>
      <c r="W412" s="1" t="s">
        <v>175</v>
      </c>
      <c r="X412" s="1" t="str">
        <f>VLOOKUP(V412,Broker_Directory!A:C,3,FALSE)</f>
        <v>Tier A</v>
      </c>
      <c r="Y412" s="1">
        <f>HLOOKUP(X412, Commission_Rates!A$1:C$2, 2, FALSE)</f>
        <v>0.02</v>
      </c>
      <c r="Z412" s="1">
        <f t="shared" si="18"/>
        <v>0</v>
      </c>
      <c r="AA412" s="1">
        <f t="shared" si="19"/>
        <v>0</v>
      </c>
      <c r="AB412" s="1">
        <f t="shared" si="20"/>
        <v>0</v>
      </c>
    </row>
    <row r="413" spans="1:28" x14ac:dyDescent="0.3">
      <c r="A413" s="1" t="s">
        <v>37</v>
      </c>
      <c r="B413" s="1" t="s">
        <v>45</v>
      </c>
      <c r="C413">
        <v>3</v>
      </c>
      <c r="D413">
        <v>3</v>
      </c>
      <c r="E413">
        <v>2387</v>
      </c>
      <c r="F413">
        <v>7233</v>
      </c>
      <c r="G413">
        <v>1</v>
      </c>
      <c r="H413">
        <v>2014</v>
      </c>
      <c r="I413">
        <v>0</v>
      </c>
      <c r="J413" s="1" t="s">
        <v>58</v>
      </c>
      <c r="K413">
        <v>3</v>
      </c>
      <c r="L413" s="1" t="s">
        <v>31</v>
      </c>
      <c r="M413" s="1" t="s">
        <v>24</v>
      </c>
      <c r="N413" s="1" t="s">
        <v>46</v>
      </c>
      <c r="O413">
        <v>0</v>
      </c>
      <c r="P413">
        <v>0</v>
      </c>
      <c r="Q413" s="1" t="s">
        <v>122</v>
      </c>
      <c r="R413">
        <v>2</v>
      </c>
      <c r="S413" s="1" t="s">
        <v>27</v>
      </c>
      <c r="T413">
        <v>19411000</v>
      </c>
      <c r="U413" t="s">
        <v>184</v>
      </c>
      <c r="V413" s="1" t="s">
        <v>179</v>
      </c>
      <c r="W413" s="1" t="s">
        <v>180</v>
      </c>
      <c r="X413" s="1" t="str">
        <f>VLOOKUP(V413,Broker_Directory!A:C,3,FALSE)</f>
        <v>Tier B</v>
      </c>
      <c r="Y413" s="1">
        <f>HLOOKUP(X413, Commission_Rates!A$1:C$2, 2, FALSE)</f>
        <v>1.4999999999999999E-2</v>
      </c>
      <c r="Z413" s="1">
        <f t="shared" si="18"/>
        <v>291165</v>
      </c>
      <c r="AA413" s="1">
        <f t="shared" si="19"/>
        <v>582330</v>
      </c>
      <c r="AB413" s="1">
        <f t="shared" si="20"/>
        <v>291165</v>
      </c>
    </row>
    <row r="414" spans="1:28" x14ac:dyDescent="0.3">
      <c r="A414" s="1" t="s">
        <v>33</v>
      </c>
      <c r="B414" s="1" t="s">
        <v>98</v>
      </c>
      <c r="C414">
        <v>4</v>
      </c>
      <c r="D414">
        <v>3</v>
      </c>
      <c r="E414">
        <v>3096</v>
      </c>
      <c r="F414">
        <v>9781</v>
      </c>
      <c r="G414">
        <v>1</v>
      </c>
      <c r="H414">
        <v>1977</v>
      </c>
      <c r="I414">
        <v>1987</v>
      </c>
      <c r="J414" s="1" t="s">
        <v>58</v>
      </c>
      <c r="K414">
        <v>2</v>
      </c>
      <c r="L414" s="1" t="s">
        <v>23</v>
      </c>
      <c r="M414" s="1" t="s">
        <v>27</v>
      </c>
      <c r="N414" s="1" t="s">
        <v>35</v>
      </c>
      <c r="O414">
        <v>0</v>
      </c>
      <c r="P414">
        <v>0</v>
      </c>
      <c r="Q414" s="1" t="s">
        <v>99</v>
      </c>
      <c r="R414">
        <v>0</v>
      </c>
      <c r="S414" s="1" t="s">
        <v>24</v>
      </c>
      <c r="T414">
        <v>26676000</v>
      </c>
      <c r="U414" t="s">
        <v>183</v>
      </c>
      <c r="V414" s="1" t="s">
        <v>171</v>
      </c>
      <c r="W414" s="1" t="s">
        <v>172</v>
      </c>
      <c r="X414" s="1" t="str">
        <f>VLOOKUP(V414,Broker_Directory!A:C,3,FALSE)</f>
        <v>Tier B</v>
      </c>
      <c r="Y414" s="1">
        <f>HLOOKUP(X414, Commission_Rates!A$1:C$2, 2, FALSE)</f>
        <v>1.4999999999999999E-2</v>
      </c>
      <c r="Z414" s="1">
        <f t="shared" si="18"/>
        <v>0</v>
      </c>
      <c r="AA414" s="1">
        <f t="shared" si="19"/>
        <v>0</v>
      </c>
      <c r="AB414" s="1">
        <f t="shared" si="20"/>
        <v>0</v>
      </c>
    </row>
    <row r="415" spans="1:28" x14ac:dyDescent="0.3">
      <c r="A415" s="1" t="s">
        <v>28</v>
      </c>
      <c r="B415" s="1" t="s">
        <v>29</v>
      </c>
      <c r="C415">
        <v>4</v>
      </c>
      <c r="D415">
        <v>4</v>
      </c>
      <c r="E415">
        <v>4287</v>
      </c>
      <c r="F415">
        <v>6817</v>
      </c>
      <c r="G415">
        <v>3</v>
      </c>
      <c r="H415">
        <v>1996</v>
      </c>
      <c r="I415">
        <v>2017</v>
      </c>
      <c r="J415" s="1" t="s">
        <v>22</v>
      </c>
      <c r="K415">
        <v>2</v>
      </c>
      <c r="L415" s="1" t="s">
        <v>23</v>
      </c>
      <c r="M415" s="1" t="s">
        <v>24</v>
      </c>
      <c r="N415" s="1" t="s">
        <v>25</v>
      </c>
      <c r="O415">
        <v>0</v>
      </c>
      <c r="P415">
        <v>1</v>
      </c>
      <c r="Q415" s="1" t="s">
        <v>32</v>
      </c>
      <c r="R415">
        <v>0</v>
      </c>
      <c r="S415" s="1" t="s">
        <v>24</v>
      </c>
      <c r="T415">
        <v>43400000</v>
      </c>
      <c r="U415" t="s">
        <v>183</v>
      </c>
      <c r="V415" s="1" t="s">
        <v>174</v>
      </c>
      <c r="W415" s="1" t="s">
        <v>175</v>
      </c>
      <c r="X415" s="1" t="str">
        <f>VLOOKUP(V415,Broker_Directory!A:C,3,FALSE)</f>
        <v>Tier A</v>
      </c>
      <c r="Y415" s="1">
        <f>HLOOKUP(X415, Commission_Rates!A$1:C$2, 2, FALSE)</f>
        <v>0.02</v>
      </c>
      <c r="Z415" s="1">
        <f t="shared" si="18"/>
        <v>0</v>
      </c>
      <c r="AA415" s="1">
        <f t="shared" si="19"/>
        <v>0</v>
      </c>
      <c r="AB415" s="1">
        <f t="shared" si="20"/>
        <v>0</v>
      </c>
    </row>
    <row r="416" spans="1:28" x14ac:dyDescent="0.3">
      <c r="A416" s="1" t="s">
        <v>20</v>
      </c>
      <c r="B416" s="1" t="s">
        <v>40</v>
      </c>
      <c r="C416">
        <v>4</v>
      </c>
      <c r="D416">
        <v>2</v>
      </c>
      <c r="E416">
        <v>2280</v>
      </c>
      <c r="F416">
        <v>5899</v>
      </c>
      <c r="G416">
        <v>3</v>
      </c>
      <c r="H416">
        <v>2018</v>
      </c>
      <c r="I416">
        <v>2020</v>
      </c>
      <c r="J416" s="1" t="s">
        <v>58</v>
      </c>
      <c r="K416">
        <v>2</v>
      </c>
      <c r="L416" s="1" t="s">
        <v>41</v>
      </c>
      <c r="M416" s="1" t="s">
        <v>24</v>
      </c>
      <c r="N416" s="1" t="s">
        <v>46</v>
      </c>
      <c r="O416">
        <v>6</v>
      </c>
      <c r="P416">
        <v>0</v>
      </c>
      <c r="Q416" s="1" t="s">
        <v>115</v>
      </c>
      <c r="R416">
        <v>1</v>
      </c>
      <c r="S416" s="1" t="s">
        <v>24</v>
      </c>
      <c r="T416">
        <v>27770000</v>
      </c>
      <c r="U416" t="s">
        <v>183</v>
      </c>
      <c r="V416" s="1" t="s">
        <v>171</v>
      </c>
      <c r="W416" s="1" t="s">
        <v>172</v>
      </c>
      <c r="X416" s="1" t="str">
        <f>VLOOKUP(V416,Broker_Directory!A:C,3,FALSE)</f>
        <v>Tier B</v>
      </c>
      <c r="Y416" s="1">
        <f>HLOOKUP(X416, Commission_Rates!A$1:C$2, 2, FALSE)</f>
        <v>1.4999999999999999E-2</v>
      </c>
      <c r="Z416" s="1">
        <f t="shared" si="18"/>
        <v>0</v>
      </c>
      <c r="AA416" s="1">
        <f t="shared" si="19"/>
        <v>0</v>
      </c>
      <c r="AB416" s="1">
        <f t="shared" si="20"/>
        <v>0</v>
      </c>
    </row>
    <row r="417" spans="1:28" x14ac:dyDescent="0.3">
      <c r="A417" s="1" t="s">
        <v>37</v>
      </c>
      <c r="B417" s="1" t="s">
        <v>72</v>
      </c>
      <c r="C417">
        <v>4</v>
      </c>
      <c r="D417">
        <v>1</v>
      </c>
      <c r="E417">
        <v>3982</v>
      </c>
      <c r="F417">
        <v>8826</v>
      </c>
      <c r="G417">
        <v>1</v>
      </c>
      <c r="H417">
        <v>1975</v>
      </c>
      <c r="I417">
        <v>1992</v>
      </c>
      <c r="J417" s="1" t="s">
        <v>22</v>
      </c>
      <c r="K417">
        <v>0</v>
      </c>
      <c r="L417" s="1" t="s">
        <v>64</v>
      </c>
      <c r="M417" s="1" t="s">
        <v>24</v>
      </c>
      <c r="N417" s="1" t="s">
        <v>25</v>
      </c>
      <c r="O417">
        <v>10</v>
      </c>
      <c r="P417">
        <v>5</v>
      </c>
      <c r="Q417" s="1" t="s">
        <v>94</v>
      </c>
      <c r="R417">
        <v>3</v>
      </c>
      <c r="S417" s="1" t="s">
        <v>27</v>
      </c>
      <c r="T417">
        <v>32251000</v>
      </c>
      <c r="U417" t="s">
        <v>183</v>
      </c>
      <c r="V417" s="1" t="s">
        <v>176</v>
      </c>
      <c r="W417" s="1" t="s">
        <v>177</v>
      </c>
      <c r="X417" s="1" t="str">
        <f>VLOOKUP(V417,Broker_Directory!A:C,3,FALSE)</f>
        <v>Tier C</v>
      </c>
      <c r="Y417" s="1">
        <f>HLOOKUP(X417, Commission_Rates!A$1:C$2, 2, FALSE)</f>
        <v>0.01</v>
      </c>
      <c r="Z417" s="1">
        <f t="shared" si="18"/>
        <v>0</v>
      </c>
      <c r="AA417" s="1">
        <f t="shared" si="19"/>
        <v>0</v>
      </c>
      <c r="AB417" s="1">
        <f t="shared" si="20"/>
        <v>0</v>
      </c>
    </row>
    <row r="418" spans="1:28" x14ac:dyDescent="0.3">
      <c r="A418" s="1" t="s">
        <v>33</v>
      </c>
      <c r="B418" s="1" t="s">
        <v>43</v>
      </c>
      <c r="C418">
        <v>5</v>
      </c>
      <c r="D418">
        <v>3</v>
      </c>
      <c r="E418">
        <v>603</v>
      </c>
      <c r="F418">
        <v>8640</v>
      </c>
      <c r="G418">
        <v>2</v>
      </c>
      <c r="H418">
        <v>2012</v>
      </c>
      <c r="I418">
        <v>2019</v>
      </c>
      <c r="J418" s="1" t="s">
        <v>22</v>
      </c>
      <c r="K418">
        <v>1</v>
      </c>
      <c r="L418" s="1" t="s">
        <v>23</v>
      </c>
      <c r="M418" s="1" t="s">
        <v>24</v>
      </c>
      <c r="N418" s="1" t="s">
        <v>46</v>
      </c>
      <c r="O418">
        <v>9</v>
      </c>
      <c r="P418">
        <v>2</v>
      </c>
      <c r="Q418" s="1" t="s">
        <v>83</v>
      </c>
      <c r="R418">
        <v>2</v>
      </c>
      <c r="S418" s="1" t="s">
        <v>27</v>
      </c>
      <c r="T418">
        <v>5560500</v>
      </c>
      <c r="U418" t="s">
        <v>184</v>
      </c>
      <c r="V418" s="1" t="s">
        <v>174</v>
      </c>
      <c r="W418" s="1" t="s">
        <v>175</v>
      </c>
      <c r="X418" s="1" t="str">
        <f>VLOOKUP(V418,Broker_Directory!A:C,3,FALSE)</f>
        <v>Tier A</v>
      </c>
      <c r="Y418" s="1">
        <f>HLOOKUP(X418, Commission_Rates!A$1:C$2, 2, FALSE)</f>
        <v>0.02</v>
      </c>
      <c r="Z418" s="1">
        <f t="shared" si="18"/>
        <v>111210</v>
      </c>
      <c r="AA418" s="1">
        <f t="shared" si="19"/>
        <v>166815</v>
      </c>
      <c r="AB418" s="1">
        <f t="shared" si="20"/>
        <v>55605</v>
      </c>
    </row>
    <row r="419" spans="1:28" x14ac:dyDescent="0.3">
      <c r="A419" s="1" t="s">
        <v>37</v>
      </c>
      <c r="B419" s="1" t="s">
        <v>87</v>
      </c>
      <c r="C419">
        <v>4</v>
      </c>
      <c r="D419">
        <v>3</v>
      </c>
      <c r="E419">
        <v>3972</v>
      </c>
      <c r="F419">
        <v>9736</v>
      </c>
      <c r="G419">
        <v>2</v>
      </c>
      <c r="H419">
        <v>1952</v>
      </c>
      <c r="I419">
        <v>1971</v>
      </c>
      <c r="J419" s="1" t="s">
        <v>30</v>
      </c>
      <c r="K419">
        <v>1</v>
      </c>
      <c r="L419" s="1" t="s">
        <v>41</v>
      </c>
      <c r="M419" s="1" t="s">
        <v>27</v>
      </c>
      <c r="N419" s="1" t="s">
        <v>46</v>
      </c>
      <c r="O419">
        <v>3</v>
      </c>
      <c r="P419">
        <v>4</v>
      </c>
      <c r="Q419" s="1" t="s">
        <v>152</v>
      </c>
      <c r="R419">
        <v>2</v>
      </c>
      <c r="S419" s="1" t="s">
        <v>27</v>
      </c>
      <c r="T419">
        <v>32136000</v>
      </c>
      <c r="U419" t="s">
        <v>184</v>
      </c>
      <c r="V419" s="1" t="s">
        <v>174</v>
      </c>
      <c r="W419" s="1" t="s">
        <v>175</v>
      </c>
      <c r="X419" s="1" t="str">
        <f>VLOOKUP(V419,Broker_Directory!A:C,3,FALSE)</f>
        <v>Tier A</v>
      </c>
      <c r="Y419" s="1">
        <f>HLOOKUP(X419, Commission_Rates!A$1:C$2, 2, FALSE)</f>
        <v>0.02</v>
      </c>
      <c r="Z419" s="1">
        <f t="shared" si="18"/>
        <v>642720</v>
      </c>
      <c r="AA419" s="1">
        <f t="shared" si="19"/>
        <v>964080</v>
      </c>
      <c r="AB419" s="1">
        <f t="shared" si="20"/>
        <v>321360</v>
      </c>
    </row>
    <row r="420" spans="1:28" x14ac:dyDescent="0.3">
      <c r="A420" s="1" t="s">
        <v>28</v>
      </c>
      <c r="B420" s="1" t="s">
        <v>79</v>
      </c>
      <c r="C420">
        <v>4</v>
      </c>
      <c r="D420">
        <v>4</v>
      </c>
      <c r="E420">
        <v>3251</v>
      </c>
      <c r="F420">
        <v>9821</v>
      </c>
      <c r="G420">
        <v>2</v>
      </c>
      <c r="H420">
        <v>1970</v>
      </c>
      <c r="I420">
        <v>2008</v>
      </c>
      <c r="J420" s="1" t="s">
        <v>52</v>
      </c>
      <c r="K420">
        <v>2</v>
      </c>
      <c r="L420" s="1" t="s">
        <v>23</v>
      </c>
      <c r="M420" s="1" t="s">
        <v>27</v>
      </c>
      <c r="N420" s="1" t="s">
        <v>25</v>
      </c>
      <c r="O420">
        <v>2</v>
      </c>
      <c r="P420">
        <v>1</v>
      </c>
      <c r="Q420" s="1" t="s">
        <v>139</v>
      </c>
      <c r="R420">
        <v>3</v>
      </c>
      <c r="S420" s="1" t="s">
        <v>24</v>
      </c>
      <c r="T420">
        <v>33040000</v>
      </c>
      <c r="U420" t="s">
        <v>183</v>
      </c>
      <c r="V420" s="1" t="s">
        <v>179</v>
      </c>
      <c r="W420" s="1" t="s">
        <v>180</v>
      </c>
      <c r="X420" s="1" t="str">
        <f>VLOOKUP(V420,Broker_Directory!A:C,3,FALSE)</f>
        <v>Tier B</v>
      </c>
      <c r="Y420" s="1">
        <f>HLOOKUP(X420, Commission_Rates!A$1:C$2, 2, FALSE)</f>
        <v>1.4999999999999999E-2</v>
      </c>
      <c r="Z420" s="1">
        <f t="shared" si="18"/>
        <v>0</v>
      </c>
      <c r="AA420" s="1">
        <f t="shared" si="19"/>
        <v>0</v>
      </c>
      <c r="AB420" s="1">
        <f t="shared" si="20"/>
        <v>0</v>
      </c>
    </row>
    <row r="421" spans="1:28" x14ac:dyDescent="0.3">
      <c r="A421" s="1" t="s">
        <v>37</v>
      </c>
      <c r="B421" s="1" t="s">
        <v>72</v>
      </c>
      <c r="C421">
        <v>3</v>
      </c>
      <c r="D421">
        <v>2</v>
      </c>
      <c r="E421">
        <v>2015</v>
      </c>
      <c r="F421">
        <v>6626</v>
      </c>
      <c r="G421">
        <v>1</v>
      </c>
      <c r="H421">
        <v>1952</v>
      </c>
      <c r="I421">
        <v>1996</v>
      </c>
      <c r="J421" s="1" t="s">
        <v>30</v>
      </c>
      <c r="K421">
        <v>2</v>
      </c>
      <c r="L421" s="1" t="s">
        <v>31</v>
      </c>
      <c r="M421" s="1" t="s">
        <v>24</v>
      </c>
      <c r="N421" s="1" t="s">
        <v>35</v>
      </c>
      <c r="O421">
        <v>0</v>
      </c>
      <c r="P421">
        <v>0</v>
      </c>
      <c r="Q421" s="1" t="s">
        <v>127</v>
      </c>
      <c r="R421">
        <v>3</v>
      </c>
      <c r="S421" s="1" t="s">
        <v>24</v>
      </c>
      <c r="T421">
        <v>16470000</v>
      </c>
      <c r="U421" t="s">
        <v>182</v>
      </c>
      <c r="V421" s="1" t="s">
        <v>168</v>
      </c>
      <c r="W421" s="1" t="s">
        <v>169</v>
      </c>
      <c r="X421" s="1" t="str">
        <f>VLOOKUP(V421,Broker_Directory!A:C,3,FALSE)</f>
        <v>Tier A</v>
      </c>
      <c r="Y421" s="1">
        <f>HLOOKUP(X421, Commission_Rates!A$1:C$2, 2, FALSE)</f>
        <v>0.02</v>
      </c>
      <c r="Z421" s="1">
        <f t="shared" si="18"/>
        <v>0</v>
      </c>
      <c r="AA421" s="1">
        <f t="shared" si="19"/>
        <v>0</v>
      </c>
      <c r="AB421" s="1">
        <f t="shared" si="20"/>
        <v>0</v>
      </c>
    </row>
    <row r="422" spans="1:28" x14ac:dyDescent="0.3">
      <c r="A422" s="1" t="s">
        <v>33</v>
      </c>
      <c r="B422" s="1" t="s">
        <v>75</v>
      </c>
      <c r="C422">
        <v>1</v>
      </c>
      <c r="D422">
        <v>2</v>
      </c>
      <c r="E422">
        <v>4284</v>
      </c>
      <c r="F422">
        <v>6446</v>
      </c>
      <c r="G422">
        <v>2</v>
      </c>
      <c r="H422">
        <v>1995</v>
      </c>
      <c r="I422">
        <v>1996</v>
      </c>
      <c r="J422" s="1" t="s">
        <v>30</v>
      </c>
      <c r="K422">
        <v>1</v>
      </c>
      <c r="L422" s="1" t="s">
        <v>23</v>
      </c>
      <c r="M422" s="1" t="s">
        <v>24</v>
      </c>
      <c r="N422" s="1" t="s">
        <v>46</v>
      </c>
      <c r="O422">
        <v>7</v>
      </c>
      <c r="P422">
        <v>0</v>
      </c>
      <c r="Q422" s="1" t="s">
        <v>76</v>
      </c>
      <c r="R422">
        <v>0</v>
      </c>
      <c r="S422" s="1" t="s">
        <v>24</v>
      </c>
      <c r="T422">
        <v>36639000</v>
      </c>
      <c r="U422" t="s">
        <v>182</v>
      </c>
      <c r="V422" s="1" t="s">
        <v>179</v>
      </c>
      <c r="W422" s="1" t="s">
        <v>180</v>
      </c>
      <c r="X422" s="1" t="str">
        <f>VLOOKUP(V422,Broker_Directory!A:C,3,FALSE)</f>
        <v>Tier B</v>
      </c>
      <c r="Y422" s="1">
        <f>HLOOKUP(X422, Commission_Rates!A$1:C$2, 2, FALSE)</f>
        <v>1.4999999999999999E-2</v>
      </c>
      <c r="Z422" s="1">
        <f t="shared" si="18"/>
        <v>0</v>
      </c>
      <c r="AA422" s="1">
        <f t="shared" si="19"/>
        <v>0</v>
      </c>
      <c r="AB422" s="1">
        <f t="shared" si="20"/>
        <v>0</v>
      </c>
    </row>
    <row r="423" spans="1:28" x14ac:dyDescent="0.3">
      <c r="A423" s="1" t="s">
        <v>33</v>
      </c>
      <c r="B423" s="1" t="s">
        <v>48</v>
      </c>
      <c r="C423">
        <v>2</v>
      </c>
      <c r="D423">
        <v>1</v>
      </c>
      <c r="E423">
        <v>1982</v>
      </c>
      <c r="F423">
        <v>9494</v>
      </c>
      <c r="G423">
        <v>2</v>
      </c>
      <c r="H423">
        <v>1970</v>
      </c>
      <c r="I423">
        <v>2015</v>
      </c>
      <c r="J423" s="1" t="s">
        <v>30</v>
      </c>
      <c r="K423">
        <v>3</v>
      </c>
      <c r="L423" s="1" t="s">
        <v>41</v>
      </c>
      <c r="M423" s="1" t="s">
        <v>24</v>
      </c>
      <c r="N423" s="1" t="s">
        <v>25</v>
      </c>
      <c r="O423">
        <v>10</v>
      </c>
      <c r="P423">
        <v>2</v>
      </c>
      <c r="Q423" s="1" t="s">
        <v>68</v>
      </c>
      <c r="R423">
        <v>1</v>
      </c>
      <c r="S423" s="1" t="s">
        <v>24</v>
      </c>
      <c r="T423">
        <v>17182000</v>
      </c>
      <c r="U423" t="s">
        <v>182</v>
      </c>
      <c r="V423" s="1" t="s">
        <v>168</v>
      </c>
      <c r="W423" s="1" t="s">
        <v>169</v>
      </c>
      <c r="X423" s="1" t="str">
        <f>VLOOKUP(V423,Broker_Directory!A:C,3,FALSE)</f>
        <v>Tier A</v>
      </c>
      <c r="Y423" s="1">
        <f>HLOOKUP(X423, Commission_Rates!A$1:C$2, 2, FALSE)</f>
        <v>0.02</v>
      </c>
      <c r="Z423" s="1">
        <f t="shared" si="18"/>
        <v>0</v>
      </c>
      <c r="AA423" s="1">
        <f t="shared" si="19"/>
        <v>0</v>
      </c>
      <c r="AB423" s="1">
        <f t="shared" si="20"/>
        <v>0</v>
      </c>
    </row>
    <row r="424" spans="1:28" x14ac:dyDescent="0.3">
      <c r="A424" s="1" t="s">
        <v>28</v>
      </c>
      <c r="B424" s="1" t="s">
        <v>29</v>
      </c>
      <c r="C424">
        <v>4</v>
      </c>
      <c r="D424">
        <v>1</v>
      </c>
      <c r="E424">
        <v>2309</v>
      </c>
      <c r="F424">
        <v>9197</v>
      </c>
      <c r="G424">
        <v>2</v>
      </c>
      <c r="H424">
        <v>1993</v>
      </c>
      <c r="I424">
        <v>2010</v>
      </c>
      <c r="J424" s="1" t="s">
        <v>52</v>
      </c>
      <c r="K424">
        <v>0</v>
      </c>
      <c r="L424" s="1" t="s">
        <v>64</v>
      </c>
      <c r="M424" s="1" t="s">
        <v>27</v>
      </c>
      <c r="N424" s="1" t="s">
        <v>35</v>
      </c>
      <c r="O424">
        <v>6</v>
      </c>
      <c r="P424">
        <v>2</v>
      </c>
      <c r="Q424" s="1" t="s">
        <v>149</v>
      </c>
      <c r="R424">
        <v>1</v>
      </c>
      <c r="S424" s="1" t="s">
        <v>27</v>
      </c>
      <c r="T424">
        <v>23375000</v>
      </c>
      <c r="U424" t="s">
        <v>183</v>
      </c>
      <c r="V424" s="1" t="s">
        <v>179</v>
      </c>
      <c r="W424" s="1" t="s">
        <v>180</v>
      </c>
      <c r="X424" s="1" t="str">
        <f>VLOOKUP(V424,Broker_Directory!A:C,3,FALSE)</f>
        <v>Tier B</v>
      </c>
      <c r="Y424" s="1">
        <f>HLOOKUP(X424, Commission_Rates!A$1:C$2, 2, FALSE)</f>
        <v>1.4999999999999999E-2</v>
      </c>
      <c r="Z424" s="1">
        <f t="shared" si="18"/>
        <v>0</v>
      </c>
      <c r="AA424" s="1">
        <f t="shared" si="19"/>
        <v>0</v>
      </c>
      <c r="AB424" s="1">
        <f t="shared" si="20"/>
        <v>0</v>
      </c>
    </row>
    <row r="425" spans="1:28" x14ac:dyDescent="0.3">
      <c r="A425" s="1" t="s">
        <v>28</v>
      </c>
      <c r="B425" s="1" t="s">
        <v>110</v>
      </c>
      <c r="C425">
        <v>4</v>
      </c>
      <c r="D425">
        <v>4</v>
      </c>
      <c r="E425">
        <v>3653</v>
      </c>
      <c r="F425">
        <v>7461</v>
      </c>
      <c r="G425">
        <v>3</v>
      </c>
      <c r="H425">
        <v>1996</v>
      </c>
      <c r="I425">
        <v>2025</v>
      </c>
      <c r="J425" s="1" t="s">
        <v>58</v>
      </c>
      <c r="K425">
        <v>3</v>
      </c>
      <c r="L425" s="1" t="s">
        <v>31</v>
      </c>
      <c r="M425" s="1" t="s">
        <v>24</v>
      </c>
      <c r="N425" s="1" t="s">
        <v>35</v>
      </c>
      <c r="O425">
        <v>8</v>
      </c>
      <c r="P425">
        <v>0</v>
      </c>
      <c r="Q425" s="1" t="s">
        <v>119</v>
      </c>
      <c r="R425">
        <v>2</v>
      </c>
      <c r="S425" s="1" t="s">
        <v>27</v>
      </c>
      <c r="T425">
        <v>36965000</v>
      </c>
      <c r="U425" t="s">
        <v>184</v>
      </c>
      <c r="V425" s="1" t="s">
        <v>176</v>
      </c>
      <c r="W425" s="1" t="s">
        <v>177</v>
      </c>
      <c r="X425" s="1" t="str">
        <f>VLOOKUP(V425,Broker_Directory!A:C,3,FALSE)</f>
        <v>Tier C</v>
      </c>
      <c r="Y425" s="1">
        <f>HLOOKUP(X425, Commission_Rates!A$1:C$2, 2, FALSE)</f>
        <v>0.01</v>
      </c>
      <c r="Z425" s="1">
        <f t="shared" si="18"/>
        <v>369650</v>
      </c>
      <c r="AA425" s="1">
        <f t="shared" si="19"/>
        <v>1108950</v>
      </c>
      <c r="AB425" s="1">
        <f t="shared" si="20"/>
        <v>739300</v>
      </c>
    </row>
    <row r="426" spans="1:28" x14ac:dyDescent="0.3">
      <c r="A426" s="1" t="s">
        <v>37</v>
      </c>
      <c r="B426" s="1" t="s">
        <v>62</v>
      </c>
      <c r="C426">
        <v>4</v>
      </c>
      <c r="D426">
        <v>1</v>
      </c>
      <c r="E426">
        <v>3521</v>
      </c>
      <c r="F426">
        <v>9790</v>
      </c>
      <c r="G426">
        <v>1</v>
      </c>
      <c r="H426">
        <v>1969</v>
      </c>
      <c r="I426">
        <v>2025</v>
      </c>
      <c r="J426" s="1" t="s">
        <v>58</v>
      </c>
      <c r="K426">
        <v>2</v>
      </c>
      <c r="L426" s="1" t="s">
        <v>41</v>
      </c>
      <c r="M426" s="1" t="s">
        <v>27</v>
      </c>
      <c r="N426" s="1" t="s">
        <v>35</v>
      </c>
      <c r="O426">
        <v>8</v>
      </c>
      <c r="P426">
        <v>2</v>
      </c>
      <c r="Q426" s="1" t="s">
        <v>159</v>
      </c>
      <c r="R426">
        <v>2</v>
      </c>
      <c r="S426" s="1" t="s">
        <v>24</v>
      </c>
      <c r="T426">
        <v>28498000</v>
      </c>
      <c r="U426" t="s">
        <v>182</v>
      </c>
      <c r="V426" s="1" t="s">
        <v>174</v>
      </c>
      <c r="W426" s="1" t="s">
        <v>175</v>
      </c>
      <c r="X426" s="1" t="str">
        <f>VLOOKUP(V426,Broker_Directory!A:C,3,FALSE)</f>
        <v>Tier A</v>
      </c>
      <c r="Y426" s="1">
        <f>HLOOKUP(X426, Commission_Rates!A$1:C$2, 2, FALSE)</f>
        <v>0.02</v>
      </c>
      <c r="Z426" s="1">
        <f t="shared" si="18"/>
        <v>0</v>
      </c>
      <c r="AA426" s="1">
        <f t="shared" si="19"/>
        <v>0</v>
      </c>
      <c r="AB426" s="1">
        <f t="shared" si="20"/>
        <v>0</v>
      </c>
    </row>
    <row r="427" spans="1:28" x14ac:dyDescent="0.3">
      <c r="A427" s="1" t="s">
        <v>53</v>
      </c>
      <c r="B427" s="1" t="s">
        <v>100</v>
      </c>
      <c r="C427">
        <v>5</v>
      </c>
      <c r="D427">
        <v>2</v>
      </c>
      <c r="E427">
        <v>3609</v>
      </c>
      <c r="F427">
        <v>7314</v>
      </c>
      <c r="G427">
        <v>3</v>
      </c>
      <c r="H427">
        <v>1976</v>
      </c>
      <c r="I427">
        <v>2009</v>
      </c>
      <c r="J427" s="1" t="s">
        <v>22</v>
      </c>
      <c r="K427">
        <v>2</v>
      </c>
      <c r="L427" s="1" t="s">
        <v>41</v>
      </c>
      <c r="M427" s="1" t="s">
        <v>24</v>
      </c>
      <c r="N427" s="1" t="s">
        <v>46</v>
      </c>
      <c r="O427">
        <v>1</v>
      </c>
      <c r="P427">
        <v>0</v>
      </c>
      <c r="Q427" s="1" t="s">
        <v>151</v>
      </c>
      <c r="R427">
        <v>3</v>
      </c>
      <c r="S427" s="1" t="s">
        <v>24</v>
      </c>
      <c r="T427">
        <v>32971000</v>
      </c>
      <c r="U427" t="s">
        <v>184</v>
      </c>
      <c r="V427" s="1" t="s">
        <v>174</v>
      </c>
      <c r="W427" s="1" t="s">
        <v>175</v>
      </c>
      <c r="X427" s="1" t="str">
        <f>VLOOKUP(V427,Broker_Directory!A:C,3,FALSE)</f>
        <v>Tier A</v>
      </c>
      <c r="Y427" s="1">
        <f>HLOOKUP(X427, Commission_Rates!A$1:C$2, 2, FALSE)</f>
        <v>0.02</v>
      </c>
      <c r="Z427" s="1">
        <f t="shared" si="18"/>
        <v>659420</v>
      </c>
      <c r="AA427" s="1">
        <f t="shared" si="19"/>
        <v>989130</v>
      </c>
      <c r="AB427" s="1">
        <f t="shared" si="20"/>
        <v>329710</v>
      </c>
    </row>
    <row r="428" spans="1:28" x14ac:dyDescent="0.3">
      <c r="A428" s="1" t="s">
        <v>33</v>
      </c>
      <c r="B428" s="1" t="s">
        <v>43</v>
      </c>
      <c r="C428">
        <v>3</v>
      </c>
      <c r="D428">
        <v>2</v>
      </c>
      <c r="E428">
        <v>1060</v>
      </c>
      <c r="F428">
        <v>9493</v>
      </c>
      <c r="G428">
        <v>3</v>
      </c>
      <c r="H428">
        <v>1989</v>
      </c>
      <c r="I428">
        <v>2021</v>
      </c>
      <c r="J428" s="1" t="s">
        <v>30</v>
      </c>
      <c r="K428">
        <v>1</v>
      </c>
      <c r="L428" s="1" t="s">
        <v>23</v>
      </c>
      <c r="M428" s="1" t="s">
        <v>24</v>
      </c>
      <c r="N428" s="1" t="s">
        <v>35</v>
      </c>
      <c r="O428">
        <v>9</v>
      </c>
      <c r="P428">
        <v>2</v>
      </c>
      <c r="Q428" s="1" t="s">
        <v>130</v>
      </c>
      <c r="R428">
        <v>2</v>
      </c>
      <c r="S428" s="1" t="s">
        <v>27</v>
      </c>
      <c r="T428">
        <v>9335000</v>
      </c>
      <c r="U428" t="s">
        <v>183</v>
      </c>
      <c r="V428" s="1" t="s">
        <v>179</v>
      </c>
      <c r="W428" s="1" t="s">
        <v>180</v>
      </c>
      <c r="X428" s="1" t="str">
        <f>VLOOKUP(V428,Broker_Directory!A:C,3,FALSE)</f>
        <v>Tier B</v>
      </c>
      <c r="Y428" s="1">
        <f>HLOOKUP(X428, Commission_Rates!A$1:C$2, 2, FALSE)</f>
        <v>1.4999999999999999E-2</v>
      </c>
      <c r="Z428" s="1">
        <f t="shared" si="18"/>
        <v>0</v>
      </c>
      <c r="AA428" s="1">
        <f t="shared" si="19"/>
        <v>0</v>
      </c>
      <c r="AB428" s="1">
        <f t="shared" si="20"/>
        <v>0</v>
      </c>
    </row>
    <row r="429" spans="1:28" x14ac:dyDescent="0.3">
      <c r="A429" s="1" t="s">
        <v>33</v>
      </c>
      <c r="B429" s="1" t="s">
        <v>48</v>
      </c>
      <c r="C429">
        <v>1</v>
      </c>
      <c r="D429">
        <v>3</v>
      </c>
      <c r="E429">
        <v>2427</v>
      </c>
      <c r="F429">
        <v>7613</v>
      </c>
      <c r="G429">
        <v>3</v>
      </c>
      <c r="H429">
        <v>1995</v>
      </c>
      <c r="I429">
        <v>2001</v>
      </c>
      <c r="J429" s="1" t="s">
        <v>58</v>
      </c>
      <c r="K429">
        <v>0</v>
      </c>
      <c r="L429" s="1" t="s">
        <v>41</v>
      </c>
      <c r="M429" s="1" t="s">
        <v>27</v>
      </c>
      <c r="N429" s="1" t="s">
        <v>35</v>
      </c>
      <c r="O429">
        <v>0</v>
      </c>
      <c r="P429">
        <v>3</v>
      </c>
      <c r="Q429" s="1" t="s">
        <v>68</v>
      </c>
      <c r="R429">
        <v>1</v>
      </c>
      <c r="S429" s="1" t="s">
        <v>24</v>
      </c>
      <c r="T429">
        <v>20894500</v>
      </c>
      <c r="U429" t="s">
        <v>182</v>
      </c>
      <c r="V429" s="1" t="s">
        <v>176</v>
      </c>
      <c r="W429" s="1" t="s">
        <v>177</v>
      </c>
      <c r="X429" s="1" t="str">
        <f>VLOOKUP(V429,Broker_Directory!A:C,3,FALSE)</f>
        <v>Tier C</v>
      </c>
      <c r="Y429" s="1">
        <f>HLOOKUP(X429, Commission_Rates!A$1:C$2, 2, FALSE)</f>
        <v>0.01</v>
      </c>
      <c r="Z429" s="1">
        <f t="shared" si="18"/>
        <v>0</v>
      </c>
      <c r="AA429" s="1">
        <f t="shared" si="19"/>
        <v>0</v>
      </c>
      <c r="AB429" s="1">
        <f t="shared" si="20"/>
        <v>0</v>
      </c>
    </row>
    <row r="430" spans="1:28" x14ac:dyDescent="0.3">
      <c r="A430" s="1" t="s">
        <v>53</v>
      </c>
      <c r="B430" s="1" t="s">
        <v>89</v>
      </c>
      <c r="C430">
        <v>3</v>
      </c>
      <c r="D430">
        <v>2</v>
      </c>
      <c r="E430">
        <v>3393</v>
      </c>
      <c r="F430">
        <v>7700</v>
      </c>
      <c r="G430">
        <v>3</v>
      </c>
      <c r="H430">
        <v>1981</v>
      </c>
      <c r="I430">
        <v>1986</v>
      </c>
      <c r="J430" s="1" t="s">
        <v>30</v>
      </c>
      <c r="K430">
        <v>1</v>
      </c>
      <c r="L430" s="1" t="s">
        <v>64</v>
      </c>
      <c r="M430" s="1" t="s">
        <v>27</v>
      </c>
      <c r="N430" s="1" t="s">
        <v>25</v>
      </c>
      <c r="O430">
        <v>2</v>
      </c>
      <c r="P430">
        <v>5</v>
      </c>
      <c r="Q430" s="1" t="s">
        <v>157</v>
      </c>
      <c r="R430">
        <v>3</v>
      </c>
      <c r="S430" s="1" t="s">
        <v>24</v>
      </c>
      <c r="T430">
        <v>30977000</v>
      </c>
      <c r="U430" t="s">
        <v>183</v>
      </c>
      <c r="V430" s="1" t="s">
        <v>174</v>
      </c>
      <c r="W430" s="1" t="s">
        <v>175</v>
      </c>
      <c r="X430" s="1" t="str">
        <f>VLOOKUP(V430,Broker_Directory!A:C,3,FALSE)</f>
        <v>Tier A</v>
      </c>
      <c r="Y430" s="1">
        <f>HLOOKUP(X430, Commission_Rates!A$1:C$2, 2, FALSE)</f>
        <v>0.02</v>
      </c>
      <c r="Z430" s="1">
        <f t="shared" si="18"/>
        <v>0</v>
      </c>
      <c r="AA430" s="1">
        <f t="shared" si="19"/>
        <v>0</v>
      </c>
      <c r="AB430" s="1">
        <f t="shared" si="20"/>
        <v>0</v>
      </c>
    </row>
    <row r="431" spans="1:28" x14ac:dyDescent="0.3">
      <c r="A431" s="1" t="s">
        <v>20</v>
      </c>
      <c r="B431" s="1" t="s">
        <v>21</v>
      </c>
      <c r="C431">
        <v>4</v>
      </c>
      <c r="D431">
        <v>2</v>
      </c>
      <c r="E431">
        <v>4201</v>
      </c>
      <c r="F431">
        <v>6010</v>
      </c>
      <c r="G431">
        <v>2</v>
      </c>
      <c r="H431">
        <v>1959</v>
      </c>
      <c r="I431">
        <v>2005</v>
      </c>
      <c r="J431" s="1" t="s">
        <v>22</v>
      </c>
      <c r="K431">
        <v>3</v>
      </c>
      <c r="L431" s="1" t="s">
        <v>64</v>
      </c>
      <c r="M431" s="1" t="s">
        <v>27</v>
      </c>
      <c r="N431" s="1" t="s">
        <v>35</v>
      </c>
      <c r="O431">
        <v>6</v>
      </c>
      <c r="P431">
        <v>3</v>
      </c>
      <c r="Q431" s="1" t="s">
        <v>102</v>
      </c>
      <c r="R431">
        <v>3</v>
      </c>
      <c r="S431" s="1" t="s">
        <v>24</v>
      </c>
      <c r="T431">
        <v>50807000</v>
      </c>
      <c r="U431" t="s">
        <v>183</v>
      </c>
      <c r="V431" s="1" t="s">
        <v>176</v>
      </c>
      <c r="W431" s="1" t="s">
        <v>177</v>
      </c>
      <c r="X431" s="1" t="str">
        <f>VLOOKUP(V431,Broker_Directory!A:C,3,FALSE)</f>
        <v>Tier C</v>
      </c>
      <c r="Y431" s="1">
        <f>HLOOKUP(X431, Commission_Rates!A$1:C$2, 2, FALSE)</f>
        <v>0.01</v>
      </c>
      <c r="Z431" s="1">
        <f t="shared" si="18"/>
        <v>0</v>
      </c>
      <c r="AA431" s="1">
        <f t="shared" si="19"/>
        <v>0</v>
      </c>
      <c r="AB431" s="1">
        <f t="shared" si="20"/>
        <v>0</v>
      </c>
    </row>
    <row r="432" spans="1:28" x14ac:dyDescent="0.3">
      <c r="A432" s="1" t="s">
        <v>28</v>
      </c>
      <c r="B432" s="1" t="s">
        <v>95</v>
      </c>
      <c r="C432">
        <v>2</v>
      </c>
      <c r="D432">
        <v>4</v>
      </c>
      <c r="E432">
        <v>4049</v>
      </c>
      <c r="F432">
        <v>5158</v>
      </c>
      <c r="G432">
        <v>3</v>
      </c>
      <c r="H432">
        <v>2015</v>
      </c>
      <c r="I432">
        <v>2022</v>
      </c>
      <c r="J432" s="1" t="s">
        <v>58</v>
      </c>
      <c r="K432">
        <v>1</v>
      </c>
      <c r="L432" s="1" t="s">
        <v>41</v>
      </c>
      <c r="M432" s="1" t="s">
        <v>27</v>
      </c>
      <c r="N432" s="1" t="s">
        <v>25</v>
      </c>
      <c r="O432">
        <v>2</v>
      </c>
      <c r="P432">
        <v>4</v>
      </c>
      <c r="Q432" s="1" t="s">
        <v>129</v>
      </c>
      <c r="R432">
        <v>0</v>
      </c>
      <c r="S432" s="1" t="s">
        <v>27</v>
      </c>
      <c r="T432">
        <v>40845000</v>
      </c>
      <c r="U432" t="s">
        <v>184</v>
      </c>
      <c r="V432" s="1" t="s">
        <v>176</v>
      </c>
      <c r="W432" s="1" t="s">
        <v>177</v>
      </c>
      <c r="X432" s="1" t="str">
        <f>VLOOKUP(V432,Broker_Directory!A:C,3,FALSE)</f>
        <v>Tier C</v>
      </c>
      <c r="Y432" s="1">
        <f>HLOOKUP(X432, Commission_Rates!A$1:C$2, 2, FALSE)</f>
        <v>0.01</v>
      </c>
      <c r="Z432" s="1">
        <f t="shared" si="18"/>
        <v>408450</v>
      </c>
      <c r="AA432" s="1">
        <f t="shared" si="19"/>
        <v>1225350</v>
      </c>
      <c r="AB432" s="1">
        <f t="shared" si="20"/>
        <v>816900</v>
      </c>
    </row>
    <row r="433" spans="1:28" x14ac:dyDescent="0.3">
      <c r="A433" s="1" t="s">
        <v>20</v>
      </c>
      <c r="B433" s="1" t="s">
        <v>21</v>
      </c>
      <c r="C433">
        <v>3</v>
      </c>
      <c r="D433">
        <v>3</v>
      </c>
      <c r="E433">
        <v>629</v>
      </c>
      <c r="F433">
        <v>9244</v>
      </c>
      <c r="G433">
        <v>1</v>
      </c>
      <c r="H433">
        <v>1965</v>
      </c>
      <c r="I433">
        <v>1987</v>
      </c>
      <c r="J433" s="1" t="s">
        <v>30</v>
      </c>
      <c r="K433">
        <v>2</v>
      </c>
      <c r="L433" s="1" t="s">
        <v>64</v>
      </c>
      <c r="M433" s="1" t="s">
        <v>27</v>
      </c>
      <c r="N433" s="1" t="s">
        <v>46</v>
      </c>
      <c r="O433">
        <v>0</v>
      </c>
      <c r="P433">
        <v>1</v>
      </c>
      <c r="Q433" s="1" t="s">
        <v>56</v>
      </c>
      <c r="R433">
        <v>3</v>
      </c>
      <c r="S433" s="1" t="s">
        <v>24</v>
      </c>
      <c r="T433">
        <v>7903000</v>
      </c>
      <c r="U433" t="s">
        <v>182</v>
      </c>
      <c r="V433" s="1" t="s">
        <v>168</v>
      </c>
      <c r="W433" s="1" t="s">
        <v>169</v>
      </c>
      <c r="X433" s="1" t="str">
        <f>VLOOKUP(V433,Broker_Directory!A:C,3,FALSE)</f>
        <v>Tier A</v>
      </c>
      <c r="Y433" s="1">
        <f>HLOOKUP(X433, Commission_Rates!A$1:C$2, 2, FALSE)</f>
        <v>0.02</v>
      </c>
      <c r="Z433" s="1">
        <f t="shared" si="18"/>
        <v>0</v>
      </c>
      <c r="AA433" s="1">
        <f t="shared" si="19"/>
        <v>0</v>
      </c>
      <c r="AB433" s="1">
        <f t="shared" si="20"/>
        <v>0</v>
      </c>
    </row>
    <row r="434" spans="1:28" x14ac:dyDescent="0.3">
      <c r="A434" s="1" t="s">
        <v>53</v>
      </c>
      <c r="B434" s="1" t="s">
        <v>89</v>
      </c>
      <c r="C434">
        <v>2</v>
      </c>
      <c r="D434">
        <v>2</v>
      </c>
      <c r="E434">
        <v>4304</v>
      </c>
      <c r="F434">
        <v>4371</v>
      </c>
      <c r="G434">
        <v>1</v>
      </c>
      <c r="H434">
        <v>2020</v>
      </c>
      <c r="I434">
        <v>2021</v>
      </c>
      <c r="J434" s="1" t="s">
        <v>58</v>
      </c>
      <c r="K434">
        <v>0</v>
      </c>
      <c r="L434" s="1" t="s">
        <v>41</v>
      </c>
      <c r="M434" s="1" t="s">
        <v>27</v>
      </c>
      <c r="N434" s="1" t="s">
        <v>35</v>
      </c>
      <c r="O434">
        <v>4</v>
      </c>
      <c r="P434">
        <v>4</v>
      </c>
      <c r="Q434" s="1" t="s">
        <v>157</v>
      </c>
      <c r="R434">
        <v>2</v>
      </c>
      <c r="S434" s="1" t="s">
        <v>27</v>
      </c>
      <c r="T434">
        <v>38946000</v>
      </c>
      <c r="U434" t="s">
        <v>182</v>
      </c>
      <c r="V434" s="1" t="s">
        <v>171</v>
      </c>
      <c r="W434" s="1" t="s">
        <v>172</v>
      </c>
      <c r="X434" s="1" t="str">
        <f>VLOOKUP(V434,Broker_Directory!A:C,3,FALSE)</f>
        <v>Tier B</v>
      </c>
      <c r="Y434" s="1">
        <f>HLOOKUP(X434, Commission_Rates!A$1:C$2, 2, FALSE)</f>
        <v>1.4999999999999999E-2</v>
      </c>
      <c r="Z434" s="1">
        <f t="shared" si="18"/>
        <v>0</v>
      </c>
      <c r="AA434" s="1">
        <f t="shared" si="19"/>
        <v>0</v>
      </c>
      <c r="AB434" s="1">
        <f t="shared" si="20"/>
        <v>0</v>
      </c>
    </row>
    <row r="435" spans="1:28" x14ac:dyDescent="0.3">
      <c r="A435" s="1" t="s">
        <v>37</v>
      </c>
      <c r="B435" s="1" t="s">
        <v>45</v>
      </c>
      <c r="C435">
        <v>2</v>
      </c>
      <c r="D435">
        <v>2</v>
      </c>
      <c r="E435">
        <v>4435</v>
      </c>
      <c r="F435">
        <v>9698</v>
      </c>
      <c r="G435">
        <v>2</v>
      </c>
      <c r="H435">
        <v>2007</v>
      </c>
      <c r="I435">
        <v>2020</v>
      </c>
      <c r="J435" s="1" t="s">
        <v>52</v>
      </c>
      <c r="K435">
        <v>2</v>
      </c>
      <c r="L435" s="1" t="s">
        <v>23</v>
      </c>
      <c r="M435" s="1" t="s">
        <v>27</v>
      </c>
      <c r="N435" s="1" t="s">
        <v>46</v>
      </c>
      <c r="O435">
        <v>3</v>
      </c>
      <c r="P435">
        <v>3</v>
      </c>
      <c r="Q435" s="1" t="s">
        <v>77</v>
      </c>
      <c r="R435">
        <v>0</v>
      </c>
      <c r="S435" s="1" t="s">
        <v>27</v>
      </c>
      <c r="T435">
        <v>35680000</v>
      </c>
      <c r="U435" t="s">
        <v>184</v>
      </c>
      <c r="V435" s="1" t="s">
        <v>179</v>
      </c>
      <c r="W435" s="1" t="s">
        <v>180</v>
      </c>
      <c r="X435" s="1" t="str">
        <f>VLOOKUP(V435,Broker_Directory!A:C,3,FALSE)</f>
        <v>Tier B</v>
      </c>
      <c r="Y435" s="1">
        <f>HLOOKUP(X435, Commission_Rates!A$1:C$2, 2, FALSE)</f>
        <v>1.4999999999999999E-2</v>
      </c>
      <c r="Z435" s="1">
        <f t="shared" si="18"/>
        <v>535200</v>
      </c>
      <c r="AA435" s="1">
        <f t="shared" si="19"/>
        <v>1070400</v>
      </c>
      <c r="AB435" s="1">
        <f t="shared" si="20"/>
        <v>535200</v>
      </c>
    </row>
    <row r="436" spans="1:28" x14ac:dyDescent="0.3">
      <c r="A436" s="1" t="s">
        <v>53</v>
      </c>
      <c r="B436" s="1" t="s">
        <v>105</v>
      </c>
      <c r="C436">
        <v>2</v>
      </c>
      <c r="D436">
        <v>1</v>
      </c>
      <c r="E436">
        <v>4985</v>
      </c>
      <c r="F436">
        <v>7565</v>
      </c>
      <c r="G436">
        <v>3</v>
      </c>
      <c r="H436">
        <v>1965</v>
      </c>
      <c r="I436">
        <v>2005</v>
      </c>
      <c r="J436" s="1" t="s">
        <v>58</v>
      </c>
      <c r="K436">
        <v>1</v>
      </c>
      <c r="L436" s="1" t="s">
        <v>23</v>
      </c>
      <c r="M436" s="1" t="s">
        <v>24</v>
      </c>
      <c r="N436" s="1" t="s">
        <v>46</v>
      </c>
      <c r="O436">
        <v>8</v>
      </c>
      <c r="P436">
        <v>0</v>
      </c>
      <c r="Q436" s="1" t="s">
        <v>108</v>
      </c>
      <c r="R436">
        <v>1</v>
      </c>
      <c r="S436" s="1" t="s">
        <v>24</v>
      </c>
      <c r="T436">
        <v>45145000</v>
      </c>
      <c r="U436" t="s">
        <v>183</v>
      </c>
      <c r="V436" s="1" t="s">
        <v>171</v>
      </c>
      <c r="W436" s="1" t="s">
        <v>172</v>
      </c>
      <c r="X436" s="1" t="str">
        <f>VLOOKUP(V436,Broker_Directory!A:C,3,FALSE)</f>
        <v>Tier B</v>
      </c>
      <c r="Y436" s="1">
        <f>HLOOKUP(X436, Commission_Rates!A$1:C$2, 2, FALSE)</f>
        <v>1.4999999999999999E-2</v>
      </c>
      <c r="Z436" s="1">
        <f t="shared" si="18"/>
        <v>0</v>
      </c>
      <c r="AA436" s="1">
        <f t="shared" si="19"/>
        <v>0</v>
      </c>
      <c r="AB436" s="1">
        <f t="shared" si="20"/>
        <v>0</v>
      </c>
    </row>
    <row r="437" spans="1:28" x14ac:dyDescent="0.3">
      <c r="A437" s="1" t="s">
        <v>53</v>
      </c>
      <c r="B437" s="1" t="s">
        <v>66</v>
      </c>
      <c r="C437">
        <v>2</v>
      </c>
      <c r="D437">
        <v>4</v>
      </c>
      <c r="E437">
        <v>993</v>
      </c>
      <c r="F437">
        <v>9784</v>
      </c>
      <c r="G437">
        <v>3</v>
      </c>
      <c r="H437">
        <v>1991</v>
      </c>
      <c r="I437">
        <v>2015</v>
      </c>
      <c r="J437" s="1" t="s">
        <v>58</v>
      </c>
      <c r="K437">
        <v>3</v>
      </c>
      <c r="L437" s="1" t="s">
        <v>23</v>
      </c>
      <c r="M437" s="1" t="s">
        <v>27</v>
      </c>
      <c r="N437" s="1" t="s">
        <v>46</v>
      </c>
      <c r="O437">
        <v>2</v>
      </c>
      <c r="P437">
        <v>3</v>
      </c>
      <c r="Q437" s="1" t="s">
        <v>142</v>
      </c>
      <c r="R437">
        <v>2</v>
      </c>
      <c r="S437" s="1" t="s">
        <v>27</v>
      </c>
      <c r="T437">
        <v>9247000</v>
      </c>
      <c r="U437" t="s">
        <v>182</v>
      </c>
      <c r="V437" s="1" t="s">
        <v>168</v>
      </c>
      <c r="W437" s="1" t="s">
        <v>169</v>
      </c>
      <c r="X437" s="1" t="str">
        <f>VLOOKUP(V437,Broker_Directory!A:C,3,FALSE)</f>
        <v>Tier A</v>
      </c>
      <c r="Y437" s="1">
        <f>HLOOKUP(X437, Commission_Rates!A$1:C$2, 2, FALSE)</f>
        <v>0.02</v>
      </c>
      <c r="Z437" s="1">
        <f t="shared" si="18"/>
        <v>0</v>
      </c>
      <c r="AA437" s="1">
        <f t="shared" si="19"/>
        <v>0</v>
      </c>
      <c r="AB437" s="1">
        <f t="shared" si="20"/>
        <v>0</v>
      </c>
    </row>
    <row r="438" spans="1:28" x14ac:dyDescent="0.3">
      <c r="A438" s="1" t="s">
        <v>53</v>
      </c>
      <c r="B438" s="1" t="s">
        <v>105</v>
      </c>
      <c r="C438">
        <v>1</v>
      </c>
      <c r="D438">
        <v>1</v>
      </c>
      <c r="E438">
        <v>4738</v>
      </c>
      <c r="F438">
        <v>6165</v>
      </c>
      <c r="G438">
        <v>2</v>
      </c>
      <c r="H438">
        <v>1968</v>
      </c>
      <c r="I438">
        <v>1978</v>
      </c>
      <c r="J438" s="1" t="s">
        <v>30</v>
      </c>
      <c r="K438">
        <v>0</v>
      </c>
      <c r="L438" s="1" t="s">
        <v>31</v>
      </c>
      <c r="M438" s="1" t="s">
        <v>27</v>
      </c>
      <c r="N438" s="1" t="s">
        <v>46</v>
      </c>
      <c r="O438">
        <v>10</v>
      </c>
      <c r="P438">
        <v>1</v>
      </c>
      <c r="Q438" s="1" t="s">
        <v>108</v>
      </c>
      <c r="R438">
        <v>2</v>
      </c>
      <c r="S438" s="1" t="s">
        <v>24</v>
      </c>
      <c r="T438">
        <v>42842000</v>
      </c>
      <c r="U438" t="s">
        <v>182</v>
      </c>
      <c r="V438" s="1" t="s">
        <v>179</v>
      </c>
      <c r="W438" s="1" t="s">
        <v>180</v>
      </c>
      <c r="X438" s="1" t="str">
        <f>VLOOKUP(V438,Broker_Directory!A:C,3,FALSE)</f>
        <v>Tier B</v>
      </c>
      <c r="Y438" s="1">
        <f>HLOOKUP(X438, Commission_Rates!A$1:C$2, 2, FALSE)</f>
        <v>1.4999999999999999E-2</v>
      </c>
      <c r="Z438" s="1">
        <f t="shared" si="18"/>
        <v>0</v>
      </c>
      <c r="AA438" s="1">
        <f t="shared" si="19"/>
        <v>0</v>
      </c>
      <c r="AB438" s="1">
        <f t="shared" si="20"/>
        <v>0</v>
      </c>
    </row>
    <row r="439" spans="1:28" x14ac:dyDescent="0.3">
      <c r="A439" s="1" t="s">
        <v>20</v>
      </c>
      <c r="B439" s="1" t="s">
        <v>21</v>
      </c>
      <c r="C439">
        <v>3</v>
      </c>
      <c r="D439">
        <v>4</v>
      </c>
      <c r="E439">
        <v>1108</v>
      </c>
      <c r="F439">
        <v>6401</v>
      </c>
      <c r="G439">
        <v>1</v>
      </c>
      <c r="H439">
        <v>2002</v>
      </c>
      <c r="I439">
        <v>2011</v>
      </c>
      <c r="J439" s="1" t="s">
        <v>30</v>
      </c>
      <c r="K439">
        <v>3</v>
      </c>
      <c r="L439" s="1" t="s">
        <v>23</v>
      </c>
      <c r="M439" s="1" t="s">
        <v>24</v>
      </c>
      <c r="N439" s="1" t="s">
        <v>25</v>
      </c>
      <c r="O439">
        <v>3</v>
      </c>
      <c r="P439">
        <v>4</v>
      </c>
      <c r="Q439" s="1" t="s">
        <v>56</v>
      </c>
      <c r="R439">
        <v>3</v>
      </c>
      <c r="S439" s="1" t="s">
        <v>27</v>
      </c>
      <c r="T439">
        <v>13731000</v>
      </c>
      <c r="U439" t="s">
        <v>182</v>
      </c>
      <c r="V439" s="1" t="s">
        <v>174</v>
      </c>
      <c r="W439" s="1" t="s">
        <v>175</v>
      </c>
      <c r="X439" s="1" t="str">
        <f>VLOOKUP(V439,Broker_Directory!A:C,3,FALSE)</f>
        <v>Tier A</v>
      </c>
      <c r="Y439" s="1">
        <f>HLOOKUP(X439, Commission_Rates!A$1:C$2, 2, FALSE)</f>
        <v>0.02</v>
      </c>
      <c r="Z439" s="1">
        <f t="shared" si="18"/>
        <v>0</v>
      </c>
      <c r="AA439" s="1">
        <f t="shared" si="19"/>
        <v>0</v>
      </c>
      <c r="AB439" s="1">
        <f t="shared" si="20"/>
        <v>0</v>
      </c>
    </row>
    <row r="440" spans="1:28" x14ac:dyDescent="0.3">
      <c r="A440" s="1" t="s">
        <v>20</v>
      </c>
      <c r="B440" s="1" t="s">
        <v>69</v>
      </c>
      <c r="C440">
        <v>1</v>
      </c>
      <c r="D440">
        <v>3</v>
      </c>
      <c r="E440">
        <v>4107</v>
      </c>
      <c r="F440">
        <v>8688</v>
      </c>
      <c r="G440">
        <v>2</v>
      </c>
      <c r="H440">
        <v>1958</v>
      </c>
      <c r="I440">
        <v>2018</v>
      </c>
      <c r="J440" s="1" t="s">
        <v>58</v>
      </c>
      <c r="K440">
        <v>3</v>
      </c>
      <c r="L440" s="1" t="s">
        <v>31</v>
      </c>
      <c r="M440" s="1" t="s">
        <v>24</v>
      </c>
      <c r="N440" s="1" t="s">
        <v>46</v>
      </c>
      <c r="O440">
        <v>8</v>
      </c>
      <c r="P440">
        <v>4</v>
      </c>
      <c r="Q440" s="1" t="s">
        <v>74</v>
      </c>
      <c r="R440">
        <v>1</v>
      </c>
      <c r="S440" s="1" t="s">
        <v>24</v>
      </c>
      <c r="T440">
        <v>49554000</v>
      </c>
      <c r="U440" t="s">
        <v>184</v>
      </c>
      <c r="V440" s="1" t="s">
        <v>179</v>
      </c>
      <c r="W440" s="1" t="s">
        <v>180</v>
      </c>
      <c r="X440" s="1" t="str">
        <f>VLOOKUP(V440,Broker_Directory!A:C,3,FALSE)</f>
        <v>Tier B</v>
      </c>
      <c r="Y440" s="1">
        <f>HLOOKUP(X440, Commission_Rates!A$1:C$2, 2, FALSE)</f>
        <v>1.4999999999999999E-2</v>
      </c>
      <c r="Z440" s="1">
        <f t="shared" si="18"/>
        <v>743310</v>
      </c>
      <c r="AA440" s="1">
        <f t="shared" si="19"/>
        <v>1486620</v>
      </c>
      <c r="AB440" s="1">
        <f t="shared" si="20"/>
        <v>743310</v>
      </c>
    </row>
    <row r="441" spans="1:28" x14ac:dyDescent="0.3">
      <c r="A441" s="1" t="s">
        <v>53</v>
      </c>
      <c r="B441" s="1" t="s">
        <v>100</v>
      </c>
      <c r="C441">
        <v>4</v>
      </c>
      <c r="D441">
        <v>4</v>
      </c>
      <c r="E441">
        <v>987</v>
      </c>
      <c r="F441">
        <v>9236</v>
      </c>
      <c r="G441">
        <v>1</v>
      </c>
      <c r="H441">
        <v>1968</v>
      </c>
      <c r="I441">
        <v>1990</v>
      </c>
      <c r="J441" s="1" t="s">
        <v>52</v>
      </c>
      <c r="K441">
        <v>1</v>
      </c>
      <c r="L441" s="1" t="s">
        <v>41</v>
      </c>
      <c r="M441" s="1" t="s">
        <v>27</v>
      </c>
      <c r="N441" s="1" t="s">
        <v>25</v>
      </c>
      <c r="O441">
        <v>0</v>
      </c>
      <c r="P441">
        <v>3</v>
      </c>
      <c r="Q441" s="1" t="s">
        <v>151</v>
      </c>
      <c r="R441">
        <v>1</v>
      </c>
      <c r="S441" s="1" t="s">
        <v>24</v>
      </c>
      <c r="T441">
        <v>9363000</v>
      </c>
      <c r="U441" t="s">
        <v>182</v>
      </c>
      <c r="V441" s="1" t="s">
        <v>179</v>
      </c>
      <c r="W441" s="1" t="s">
        <v>180</v>
      </c>
      <c r="X441" s="1" t="str">
        <f>VLOOKUP(V441,Broker_Directory!A:C,3,FALSE)</f>
        <v>Tier B</v>
      </c>
      <c r="Y441" s="1">
        <f>HLOOKUP(X441, Commission_Rates!A$1:C$2, 2, FALSE)</f>
        <v>1.4999999999999999E-2</v>
      </c>
      <c r="Z441" s="1">
        <f t="shared" si="18"/>
        <v>0</v>
      </c>
      <c r="AA441" s="1">
        <f t="shared" si="19"/>
        <v>0</v>
      </c>
      <c r="AB441" s="1">
        <f t="shared" si="20"/>
        <v>0</v>
      </c>
    </row>
    <row r="442" spans="1:28" x14ac:dyDescent="0.3">
      <c r="A442" s="1" t="s">
        <v>20</v>
      </c>
      <c r="B442" s="1" t="s">
        <v>50</v>
      </c>
      <c r="C442">
        <v>3</v>
      </c>
      <c r="D442">
        <v>3</v>
      </c>
      <c r="E442">
        <v>3414</v>
      </c>
      <c r="F442">
        <v>6342</v>
      </c>
      <c r="G442">
        <v>3</v>
      </c>
      <c r="H442">
        <v>1977</v>
      </c>
      <c r="I442">
        <v>2013</v>
      </c>
      <c r="J442" s="1" t="s">
        <v>30</v>
      </c>
      <c r="K442">
        <v>0</v>
      </c>
      <c r="L442" s="1" t="s">
        <v>31</v>
      </c>
      <c r="M442" s="1" t="s">
        <v>24</v>
      </c>
      <c r="N442" s="1" t="s">
        <v>46</v>
      </c>
      <c r="O442">
        <v>1</v>
      </c>
      <c r="P442">
        <v>3</v>
      </c>
      <c r="Q442" s="1" t="s">
        <v>113</v>
      </c>
      <c r="R442">
        <v>1</v>
      </c>
      <c r="S442" s="1" t="s">
        <v>27</v>
      </c>
      <c r="T442">
        <v>41308000</v>
      </c>
      <c r="U442" t="s">
        <v>184</v>
      </c>
      <c r="V442" s="1" t="s">
        <v>179</v>
      </c>
      <c r="W442" s="1" t="s">
        <v>180</v>
      </c>
      <c r="X442" s="1" t="str">
        <f>VLOOKUP(V442,Broker_Directory!A:C,3,FALSE)</f>
        <v>Tier B</v>
      </c>
      <c r="Y442" s="1">
        <f>HLOOKUP(X442, Commission_Rates!A$1:C$2, 2, FALSE)</f>
        <v>1.4999999999999999E-2</v>
      </c>
      <c r="Z442" s="1">
        <f t="shared" si="18"/>
        <v>619620</v>
      </c>
      <c r="AA442" s="1">
        <f t="shared" si="19"/>
        <v>1239240</v>
      </c>
      <c r="AB442" s="1">
        <f t="shared" si="20"/>
        <v>619620</v>
      </c>
    </row>
    <row r="443" spans="1:28" x14ac:dyDescent="0.3">
      <c r="A443" s="1" t="s">
        <v>37</v>
      </c>
      <c r="B443" s="1" t="s">
        <v>62</v>
      </c>
      <c r="C443">
        <v>5</v>
      </c>
      <c r="D443">
        <v>3</v>
      </c>
      <c r="E443">
        <v>3106</v>
      </c>
      <c r="F443">
        <v>8359</v>
      </c>
      <c r="G443">
        <v>2</v>
      </c>
      <c r="H443">
        <v>2007</v>
      </c>
      <c r="I443">
        <v>2014</v>
      </c>
      <c r="J443" s="1" t="s">
        <v>52</v>
      </c>
      <c r="K443">
        <v>2</v>
      </c>
      <c r="L443" s="1" t="s">
        <v>64</v>
      </c>
      <c r="M443" s="1" t="s">
        <v>24</v>
      </c>
      <c r="N443" s="1" t="s">
        <v>46</v>
      </c>
      <c r="O443">
        <v>9</v>
      </c>
      <c r="P443">
        <v>2</v>
      </c>
      <c r="Q443" s="1" t="s">
        <v>137</v>
      </c>
      <c r="R443">
        <v>1</v>
      </c>
      <c r="S443" s="1" t="s">
        <v>24</v>
      </c>
      <c r="T443">
        <v>25318000</v>
      </c>
      <c r="U443" t="s">
        <v>184</v>
      </c>
      <c r="V443" s="1" t="s">
        <v>171</v>
      </c>
      <c r="W443" s="1" t="s">
        <v>172</v>
      </c>
      <c r="X443" s="1" t="str">
        <f>VLOOKUP(V443,Broker_Directory!A:C,3,FALSE)</f>
        <v>Tier B</v>
      </c>
      <c r="Y443" s="1">
        <f>HLOOKUP(X443, Commission_Rates!A$1:C$2, 2, FALSE)</f>
        <v>1.4999999999999999E-2</v>
      </c>
      <c r="Z443" s="1">
        <f t="shared" si="18"/>
        <v>379770</v>
      </c>
      <c r="AA443" s="1">
        <f t="shared" si="19"/>
        <v>759540</v>
      </c>
      <c r="AB443" s="1">
        <f t="shared" si="20"/>
        <v>379770</v>
      </c>
    </row>
    <row r="444" spans="1:28" x14ac:dyDescent="0.3">
      <c r="A444" s="1" t="s">
        <v>33</v>
      </c>
      <c r="B444" s="1" t="s">
        <v>98</v>
      </c>
      <c r="C444">
        <v>1</v>
      </c>
      <c r="D444">
        <v>1</v>
      </c>
      <c r="E444">
        <v>1721</v>
      </c>
      <c r="F444">
        <v>8540</v>
      </c>
      <c r="G444">
        <v>3</v>
      </c>
      <c r="H444">
        <v>2012</v>
      </c>
      <c r="I444">
        <v>2023</v>
      </c>
      <c r="J444" s="1" t="s">
        <v>22</v>
      </c>
      <c r="K444">
        <v>0</v>
      </c>
      <c r="L444" s="1" t="s">
        <v>23</v>
      </c>
      <c r="M444" s="1" t="s">
        <v>24</v>
      </c>
      <c r="N444" s="1" t="s">
        <v>35</v>
      </c>
      <c r="O444">
        <v>7</v>
      </c>
      <c r="P444">
        <v>5</v>
      </c>
      <c r="Q444" s="1" t="s">
        <v>145</v>
      </c>
      <c r="R444">
        <v>2</v>
      </c>
      <c r="S444" s="1" t="s">
        <v>27</v>
      </c>
      <c r="T444">
        <v>14823500</v>
      </c>
      <c r="U444" t="s">
        <v>184</v>
      </c>
      <c r="V444" s="1" t="s">
        <v>171</v>
      </c>
      <c r="W444" s="1" t="s">
        <v>172</v>
      </c>
      <c r="X444" s="1" t="str">
        <f>VLOOKUP(V444,Broker_Directory!A:C,3,FALSE)</f>
        <v>Tier B</v>
      </c>
      <c r="Y444" s="1">
        <f>HLOOKUP(X444, Commission_Rates!A$1:C$2, 2, FALSE)</f>
        <v>1.4999999999999999E-2</v>
      </c>
      <c r="Z444" s="1">
        <f t="shared" si="18"/>
        <v>222352.5</v>
      </c>
      <c r="AA444" s="1">
        <f t="shared" si="19"/>
        <v>444705</v>
      </c>
      <c r="AB444" s="1">
        <f t="shared" si="20"/>
        <v>222352.5</v>
      </c>
    </row>
    <row r="445" spans="1:28" x14ac:dyDescent="0.3">
      <c r="A445" s="1" t="s">
        <v>33</v>
      </c>
      <c r="B445" s="1" t="s">
        <v>34</v>
      </c>
      <c r="C445">
        <v>4</v>
      </c>
      <c r="D445">
        <v>2</v>
      </c>
      <c r="E445">
        <v>369</v>
      </c>
      <c r="F445">
        <v>2463</v>
      </c>
      <c r="G445">
        <v>2</v>
      </c>
      <c r="H445">
        <v>1997</v>
      </c>
      <c r="I445">
        <v>2025</v>
      </c>
      <c r="J445" s="1" t="s">
        <v>52</v>
      </c>
      <c r="K445">
        <v>3</v>
      </c>
      <c r="L445" s="1" t="s">
        <v>23</v>
      </c>
      <c r="M445" s="1" t="s">
        <v>24</v>
      </c>
      <c r="N445" s="1" t="s">
        <v>35</v>
      </c>
      <c r="O445">
        <v>0</v>
      </c>
      <c r="P445">
        <v>2</v>
      </c>
      <c r="Q445" s="1" t="s">
        <v>147</v>
      </c>
      <c r="R445">
        <v>1</v>
      </c>
      <c r="S445" s="1" t="s">
        <v>24</v>
      </c>
      <c r="T445">
        <v>3526500</v>
      </c>
      <c r="U445" t="s">
        <v>182</v>
      </c>
      <c r="V445" s="1" t="s">
        <v>168</v>
      </c>
      <c r="W445" s="1" t="s">
        <v>169</v>
      </c>
      <c r="X445" s="1" t="str">
        <f>VLOOKUP(V445,Broker_Directory!A:C,3,FALSE)</f>
        <v>Tier A</v>
      </c>
      <c r="Y445" s="1">
        <f>HLOOKUP(X445, Commission_Rates!A$1:C$2, 2, FALSE)</f>
        <v>0.02</v>
      </c>
      <c r="Z445" s="1">
        <f t="shared" si="18"/>
        <v>0</v>
      </c>
      <c r="AA445" s="1">
        <f t="shared" si="19"/>
        <v>0</v>
      </c>
      <c r="AB445" s="1">
        <f t="shared" si="20"/>
        <v>0</v>
      </c>
    </row>
    <row r="446" spans="1:28" x14ac:dyDescent="0.3">
      <c r="A446" s="1" t="s">
        <v>33</v>
      </c>
      <c r="B446" s="1" t="s">
        <v>34</v>
      </c>
      <c r="C446">
        <v>2</v>
      </c>
      <c r="D446">
        <v>2</v>
      </c>
      <c r="E446">
        <v>4345</v>
      </c>
      <c r="F446">
        <v>7368</v>
      </c>
      <c r="G446">
        <v>1</v>
      </c>
      <c r="H446">
        <v>1985</v>
      </c>
      <c r="I446">
        <v>2015</v>
      </c>
      <c r="J446" s="1" t="s">
        <v>52</v>
      </c>
      <c r="K446">
        <v>0</v>
      </c>
      <c r="L446" s="1" t="s">
        <v>31</v>
      </c>
      <c r="M446" s="1" t="s">
        <v>27</v>
      </c>
      <c r="N446" s="1" t="s">
        <v>25</v>
      </c>
      <c r="O446">
        <v>4</v>
      </c>
      <c r="P446">
        <v>4</v>
      </c>
      <c r="Q446" s="1" t="s">
        <v>85</v>
      </c>
      <c r="R446">
        <v>1</v>
      </c>
      <c r="S446" s="1" t="s">
        <v>24</v>
      </c>
      <c r="T446">
        <v>37252500</v>
      </c>
      <c r="U446" t="s">
        <v>183</v>
      </c>
      <c r="V446" s="1" t="s">
        <v>174</v>
      </c>
      <c r="W446" s="1" t="s">
        <v>175</v>
      </c>
      <c r="X446" s="1" t="str">
        <f>VLOOKUP(V446,Broker_Directory!A:C,3,FALSE)</f>
        <v>Tier A</v>
      </c>
      <c r="Y446" s="1">
        <f>HLOOKUP(X446, Commission_Rates!A$1:C$2, 2, FALSE)</f>
        <v>0.02</v>
      </c>
      <c r="Z446" s="1">
        <f t="shared" si="18"/>
        <v>0</v>
      </c>
      <c r="AA446" s="1">
        <f t="shared" si="19"/>
        <v>0</v>
      </c>
      <c r="AB446" s="1">
        <f t="shared" si="20"/>
        <v>0</v>
      </c>
    </row>
    <row r="447" spans="1:28" x14ac:dyDescent="0.3">
      <c r="A447" s="1" t="s">
        <v>33</v>
      </c>
      <c r="B447" s="1" t="s">
        <v>43</v>
      </c>
      <c r="C447">
        <v>5</v>
      </c>
      <c r="D447">
        <v>2</v>
      </c>
      <c r="E447">
        <v>835</v>
      </c>
      <c r="F447">
        <v>2986</v>
      </c>
      <c r="G447">
        <v>3</v>
      </c>
      <c r="H447">
        <v>1958</v>
      </c>
      <c r="I447">
        <v>1973</v>
      </c>
      <c r="J447" s="1" t="s">
        <v>30</v>
      </c>
      <c r="K447">
        <v>1</v>
      </c>
      <c r="L447" s="1" t="s">
        <v>64</v>
      </c>
      <c r="M447" s="1" t="s">
        <v>24</v>
      </c>
      <c r="N447" s="1" t="s">
        <v>35</v>
      </c>
      <c r="O447">
        <v>0</v>
      </c>
      <c r="P447">
        <v>5</v>
      </c>
      <c r="Q447" s="1" t="s">
        <v>71</v>
      </c>
      <c r="R447">
        <v>3</v>
      </c>
      <c r="S447" s="1" t="s">
        <v>24</v>
      </c>
      <c r="T447">
        <v>7587500</v>
      </c>
      <c r="U447" t="s">
        <v>184</v>
      </c>
      <c r="V447" s="1" t="s">
        <v>176</v>
      </c>
      <c r="W447" s="1" t="s">
        <v>177</v>
      </c>
      <c r="X447" s="1" t="str">
        <f>VLOOKUP(V447,Broker_Directory!A:C,3,FALSE)</f>
        <v>Tier C</v>
      </c>
      <c r="Y447" s="1">
        <f>HLOOKUP(X447, Commission_Rates!A$1:C$2, 2, FALSE)</f>
        <v>0.01</v>
      </c>
      <c r="Z447" s="1">
        <f t="shared" si="18"/>
        <v>75875</v>
      </c>
      <c r="AA447" s="1">
        <f t="shared" si="19"/>
        <v>227625</v>
      </c>
      <c r="AB447" s="1">
        <f t="shared" si="20"/>
        <v>151750</v>
      </c>
    </row>
    <row r="448" spans="1:28" x14ac:dyDescent="0.3">
      <c r="A448" s="1" t="s">
        <v>37</v>
      </c>
      <c r="B448" s="1" t="s">
        <v>87</v>
      </c>
      <c r="C448">
        <v>3</v>
      </c>
      <c r="D448">
        <v>4</v>
      </c>
      <c r="E448">
        <v>3633</v>
      </c>
      <c r="F448">
        <v>5927</v>
      </c>
      <c r="G448">
        <v>1</v>
      </c>
      <c r="H448">
        <v>2016</v>
      </c>
      <c r="I448">
        <v>2022</v>
      </c>
      <c r="J448" s="1" t="s">
        <v>22</v>
      </c>
      <c r="K448">
        <v>2</v>
      </c>
      <c r="L448" s="1" t="s">
        <v>23</v>
      </c>
      <c r="M448" s="1" t="s">
        <v>24</v>
      </c>
      <c r="N448" s="1" t="s">
        <v>25</v>
      </c>
      <c r="O448">
        <v>4</v>
      </c>
      <c r="P448">
        <v>3</v>
      </c>
      <c r="Q448" s="1" t="s">
        <v>138</v>
      </c>
      <c r="R448">
        <v>2</v>
      </c>
      <c r="S448" s="1" t="s">
        <v>24</v>
      </c>
      <c r="T448">
        <v>29534000</v>
      </c>
      <c r="U448" t="s">
        <v>184</v>
      </c>
      <c r="V448" s="1" t="s">
        <v>171</v>
      </c>
      <c r="W448" s="1" t="s">
        <v>172</v>
      </c>
      <c r="X448" s="1" t="str">
        <f>VLOOKUP(V448,Broker_Directory!A:C,3,FALSE)</f>
        <v>Tier B</v>
      </c>
      <c r="Y448" s="1">
        <f>HLOOKUP(X448, Commission_Rates!A$1:C$2, 2, FALSE)</f>
        <v>1.4999999999999999E-2</v>
      </c>
      <c r="Z448" s="1">
        <f t="shared" si="18"/>
        <v>443010</v>
      </c>
      <c r="AA448" s="1">
        <f t="shared" si="19"/>
        <v>886020</v>
      </c>
      <c r="AB448" s="1">
        <f t="shared" si="20"/>
        <v>443010</v>
      </c>
    </row>
    <row r="449" spans="1:28" x14ac:dyDescent="0.3">
      <c r="A449" s="1" t="s">
        <v>37</v>
      </c>
      <c r="B449" s="1" t="s">
        <v>62</v>
      </c>
      <c r="C449">
        <v>3</v>
      </c>
      <c r="D449">
        <v>1</v>
      </c>
      <c r="E449">
        <v>4984</v>
      </c>
      <c r="F449">
        <v>5241</v>
      </c>
      <c r="G449">
        <v>3</v>
      </c>
      <c r="H449">
        <v>1978</v>
      </c>
      <c r="I449">
        <v>2021</v>
      </c>
      <c r="J449" s="1" t="s">
        <v>22</v>
      </c>
      <c r="K449">
        <v>0</v>
      </c>
      <c r="L449" s="1" t="s">
        <v>31</v>
      </c>
      <c r="M449" s="1" t="s">
        <v>24</v>
      </c>
      <c r="N449" s="1" t="s">
        <v>25</v>
      </c>
      <c r="O449">
        <v>5</v>
      </c>
      <c r="P449">
        <v>2</v>
      </c>
      <c r="Q449" s="1" t="s">
        <v>137</v>
      </c>
      <c r="R449">
        <v>0</v>
      </c>
      <c r="S449" s="1" t="s">
        <v>24</v>
      </c>
      <c r="T449">
        <v>40262000</v>
      </c>
      <c r="U449" t="s">
        <v>183</v>
      </c>
      <c r="V449" s="1" t="s">
        <v>174</v>
      </c>
      <c r="W449" s="1" t="s">
        <v>175</v>
      </c>
      <c r="X449" s="1" t="str">
        <f>VLOOKUP(V449,Broker_Directory!A:C,3,FALSE)</f>
        <v>Tier A</v>
      </c>
      <c r="Y449" s="1">
        <f>HLOOKUP(X449, Commission_Rates!A$1:C$2, 2, FALSE)</f>
        <v>0.02</v>
      </c>
      <c r="Z449" s="1">
        <f t="shared" si="18"/>
        <v>0</v>
      </c>
      <c r="AA449" s="1">
        <f t="shared" si="19"/>
        <v>0</v>
      </c>
      <c r="AB449" s="1">
        <f t="shared" si="20"/>
        <v>0</v>
      </c>
    </row>
    <row r="450" spans="1:28" x14ac:dyDescent="0.3">
      <c r="A450" s="1" t="s">
        <v>37</v>
      </c>
      <c r="B450" s="1" t="s">
        <v>72</v>
      </c>
      <c r="C450">
        <v>1</v>
      </c>
      <c r="D450">
        <v>3</v>
      </c>
      <c r="E450">
        <v>2351</v>
      </c>
      <c r="F450">
        <v>4425</v>
      </c>
      <c r="G450">
        <v>1</v>
      </c>
      <c r="H450">
        <v>2010</v>
      </c>
      <c r="I450">
        <v>2016</v>
      </c>
      <c r="J450" s="1" t="s">
        <v>30</v>
      </c>
      <c r="K450">
        <v>0</v>
      </c>
      <c r="L450" s="1" t="s">
        <v>64</v>
      </c>
      <c r="M450" s="1" t="s">
        <v>24</v>
      </c>
      <c r="N450" s="1" t="s">
        <v>25</v>
      </c>
      <c r="O450">
        <v>9</v>
      </c>
      <c r="P450">
        <v>4</v>
      </c>
      <c r="Q450" s="1" t="s">
        <v>94</v>
      </c>
      <c r="R450">
        <v>0</v>
      </c>
      <c r="S450" s="1" t="s">
        <v>27</v>
      </c>
      <c r="T450">
        <v>19068000</v>
      </c>
      <c r="U450" t="s">
        <v>182</v>
      </c>
      <c r="V450" s="1" t="s">
        <v>179</v>
      </c>
      <c r="W450" s="1" t="s">
        <v>180</v>
      </c>
      <c r="X450" s="1" t="str">
        <f>VLOOKUP(V450,Broker_Directory!A:C,3,FALSE)</f>
        <v>Tier B</v>
      </c>
      <c r="Y450" s="1">
        <f>HLOOKUP(X450, Commission_Rates!A$1:C$2, 2, FALSE)</f>
        <v>1.4999999999999999E-2</v>
      </c>
      <c r="Z450" s="1">
        <f t="shared" ref="Z450:Z513" si="21">IF(U450="Sold",T450*Y450,0)</f>
        <v>0</v>
      </c>
      <c r="AA450" s="1">
        <f t="shared" ref="AA450:AA513" si="22">IF(U450="Sold", T450 * 0.03, 0)</f>
        <v>0</v>
      </c>
      <c r="AB450" s="1">
        <f t="shared" ref="AB450:AB513" si="23">AA450 - Z450</f>
        <v>0</v>
      </c>
    </row>
    <row r="451" spans="1:28" x14ac:dyDescent="0.3">
      <c r="A451" s="1" t="s">
        <v>33</v>
      </c>
      <c r="B451" s="1" t="s">
        <v>48</v>
      </c>
      <c r="C451">
        <v>1</v>
      </c>
      <c r="D451">
        <v>1</v>
      </c>
      <c r="E451">
        <v>573</v>
      </c>
      <c r="F451">
        <v>6806</v>
      </c>
      <c r="G451">
        <v>2</v>
      </c>
      <c r="H451">
        <v>1958</v>
      </c>
      <c r="I451">
        <v>1973</v>
      </c>
      <c r="J451" s="1" t="s">
        <v>58</v>
      </c>
      <c r="K451">
        <v>3</v>
      </c>
      <c r="L451" s="1" t="s">
        <v>23</v>
      </c>
      <c r="M451" s="1" t="s">
        <v>27</v>
      </c>
      <c r="N451" s="1" t="s">
        <v>35</v>
      </c>
      <c r="O451">
        <v>10</v>
      </c>
      <c r="P451">
        <v>3</v>
      </c>
      <c r="Q451" s="1" t="s">
        <v>49</v>
      </c>
      <c r="R451">
        <v>0</v>
      </c>
      <c r="S451" s="1" t="s">
        <v>24</v>
      </c>
      <c r="T451">
        <v>5040500</v>
      </c>
      <c r="U451" t="s">
        <v>184</v>
      </c>
      <c r="V451" s="1" t="s">
        <v>179</v>
      </c>
      <c r="W451" s="1" t="s">
        <v>180</v>
      </c>
      <c r="X451" s="1" t="str">
        <f>VLOOKUP(V451,Broker_Directory!A:C,3,FALSE)</f>
        <v>Tier B</v>
      </c>
      <c r="Y451" s="1">
        <f>HLOOKUP(X451, Commission_Rates!A$1:C$2, 2, FALSE)</f>
        <v>1.4999999999999999E-2</v>
      </c>
      <c r="Z451" s="1">
        <f t="shared" si="21"/>
        <v>75607.5</v>
      </c>
      <c r="AA451" s="1">
        <f t="shared" si="22"/>
        <v>151215</v>
      </c>
      <c r="AB451" s="1">
        <f t="shared" si="23"/>
        <v>75607.5</v>
      </c>
    </row>
    <row r="452" spans="1:28" x14ac:dyDescent="0.3">
      <c r="A452" s="1" t="s">
        <v>33</v>
      </c>
      <c r="B452" s="1" t="s">
        <v>48</v>
      </c>
      <c r="C452">
        <v>3</v>
      </c>
      <c r="D452">
        <v>4</v>
      </c>
      <c r="E452">
        <v>3590</v>
      </c>
      <c r="F452">
        <v>4425</v>
      </c>
      <c r="G452">
        <v>3</v>
      </c>
      <c r="H452">
        <v>2002</v>
      </c>
      <c r="I452">
        <v>2008</v>
      </c>
      <c r="J452" s="1" t="s">
        <v>58</v>
      </c>
      <c r="K452">
        <v>3</v>
      </c>
      <c r="L452" s="1" t="s">
        <v>41</v>
      </c>
      <c r="M452" s="1" t="s">
        <v>27</v>
      </c>
      <c r="N452" s="1" t="s">
        <v>46</v>
      </c>
      <c r="O452">
        <v>9</v>
      </c>
      <c r="P452">
        <v>4</v>
      </c>
      <c r="Q452" s="1" t="s">
        <v>49</v>
      </c>
      <c r="R452">
        <v>2</v>
      </c>
      <c r="S452" s="1" t="s">
        <v>24</v>
      </c>
      <c r="T452">
        <v>30925000</v>
      </c>
      <c r="U452" t="s">
        <v>184</v>
      </c>
      <c r="V452" s="1" t="s">
        <v>168</v>
      </c>
      <c r="W452" s="1" t="s">
        <v>169</v>
      </c>
      <c r="X452" s="1" t="str">
        <f>VLOOKUP(V452,Broker_Directory!A:C,3,FALSE)</f>
        <v>Tier A</v>
      </c>
      <c r="Y452" s="1">
        <f>HLOOKUP(X452, Commission_Rates!A$1:C$2, 2, FALSE)</f>
        <v>0.02</v>
      </c>
      <c r="Z452" s="1">
        <f t="shared" si="21"/>
        <v>618500</v>
      </c>
      <c r="AA452" s="1">
        <f t="shared" si="22"/>
        <v>927750</v>
      </c>
      <c r="AB452" s="1">
        <f t="shared" si="23"/>
        <v>309250</v>
      </c>
    </row>
    <row r="453" spans="1:28" x14ac:dyDescent="0.3">
      <c r="A453" s="1" t="s">
        <v>37</v>
      </c>
      <c r="B453" s="1" t="s">
        <v>45</v>
      </c>
      <c r="C453">
        <v>3</v>
      </c>
      <c r="D453">
        <v>2</v>
      </c>
      <c r="E453">
        <v>1184</v>
      </c>
      <c r="F453">
        <v>2916</v>
      </c>
      <c r="G453">
        <v>1</v>
      </c>
      <c r="H453">
        <v>1958</v>
      </c>
      <c r="I453">
        <v>1981</v>
      </c>
      <c r="J453" s="1" t="s">
        <v>52</v>
      </c>
      <c r="K453">
        <v>2</v>
      </c>
      <c r="L453" s="1" t="s">
        <v>64</v>
      </c>
      <c r="M453" s="1" t="s">
        <v>27</v>
      </c>
      <c r="N453" s="1" t="s">
        <v>46</v>
      </c>
      <c r="O453">
        <v>9</v>
      </c>
      <c r="P453">
        <v>3</v>
      </c>
      <c r="Q453" s="1" t="s">
        <v>124</v>
      </c>
      <c r="R453">
        <v>1</v>
      </c>
      <c r="S453" s="1" t="s">
        <v>24</v>
      </c>
      <c r="T453">
        <v>9767000</v>
      </c>
      <c r="U453" t="s">
        <v>182</v>
      </c>
      <c r="V453" s="1" t="s">
        <v>176</v>
      </c>
      <c r="W453" s="1" t="s">
        <v>177</v>
      </c>
      <c r="X453" s="1" t="str">
        <f>VLOOKUP(V453,Broker_Directory!A:C,3,FALSE)</f>
        <v>Tier C</v>
      </c>
      <c r="Y453" s="1">
        <f>HLOOKUP(X453, Commission_Rates!A$1:C$2, 2, FALSE)</f>
        <v>0.01</v>
      </c>
      <c r="Z453" s="1">
        <f t="shared" si="21"/>
        <v>0</v>
      </c>
      <c r="AA453" s="1">
        <f t="shared" si="22"/>
        <v>0</v>
      </c>
      <c r="AB453" s="1">
        <f t="shared" si="23"/>
        <v>0</v>
      </c>
    </row>
    <row r="454" spans="1:28" x14ac:dyDescent="0.3">
      <c r="A454" s="1" t="s">
        <v>20</v>
      </c>
      <c r="B454" s="1" t="s">
        <v>21</v>
      </c>
      <c r="C454">
        <v>2</v>
      </c>
      <c r="D454">
        <v>3</v>
      </c>
      <c r="E454">
        <v>3870</v>
      </c>
      <c r="F454">
        <v>8123</v>
      </c>
      <c r="G454">
        <v>3</v>
      </c>
      <c r="H454">
        <v>1995</v>
      </c>
      <c r="I454">
        <v>2013</v>
      </c>
      <c r="J454" s="1" t="s">
        <v>52</v>
      </c>
      <c r="K454">
        <v>1</v>
      </c>
      <c r="L454" s="1" t="s">
        <v>41</v>
      </c>
      <c r="M454" s="1" t="s">
        <v>27</v>
      </c>
      <c r="N454" s="1" t="s">
        <v>35</v>
      </c>
      <c r="O454">
        <v>5</v>
      </c>
      <c r="P454">
        <v>2</v>
      </c>
      <c r="Q454" s="1" t="s">
        <v>114</v>
      </c>
      <c r="R454">
        <v>0</v>
      </c>
      <c r="S454" s="1" t="s">
        <v>24</v>
      </c>
      <c r="T454">
        <v>46740000</v>
      </c>
      <c r="U454" t="s">
        <v>183</v>
      </c>
      <c r="V454" s="1" t="s">
        <v>168</v>
      </c>
      <c r="W454" s="1" t="s">
        <v>169</v>
      </c>
      <c r="X454" s="1" t="str">
        <f>VLOOKUP(V454,Broker_Directory!A:C,3,FALSE)</f>
        <v>Tier A</v>
      </c>
      <c r="Y454" s="1">
        <f>HLOOKUP(X454, Commission_Rates!A$1:C$2, 2, FALSE)</f>
        <v>0.02</v>
      </c>
      <c r="Z454" s="1">
        <f t="shared" si="21"/>
        <v>0</v>
      </c>
      <c r="AA454" s="1">
        <f t="shared" si="22"/>
        <v>0</v>
      </c>
      <c r="AB454" s="1">
        <f t="shared" si="23"/>
        <v>0</v>
      </c>
    </row>
    <row r="455" spans="1:28" x14ac:dyDescent="0.3">
      <c r="A455" s="1" t="s">
        <v>20</v>
      </c>
      <c r="B455" s="1" t="s">
        <v>40</v>
      </c>
      <c r="C455">
        <v>5</v>
      </c>
      <c r="D455">
        <v>1</v>
      </c>
      <c r="E455">
        <v>3757</v>
      </c>
      <c r="F455">
        <v>6623</v>
      </c>
      <c r="G455">
        <v>1</v>
      </c>
      <c r="H455">
        <v>1975</v>
      </c>
      <c r="I455">
        <v>2014</v>
      </c>
      <c r="J455" s="1" t="s">
        <v>52</v>
      </c>
      <c r="K455">
        <v>0</v>
      </c>
      <c r="L455" s="1" t="s">
        <v>64</v>
      </c>
      <c r="M455" s="1" t="s">
        <v>24</v>
      </c>
      <c r="N455" s="1" t="s">
        <v>35</v>
      </c>
      <c r="O455">
        <v>7</v>
      </c>
      <c r="P455">
        <v>5</v>
      </c>
      <c r="Q455" s="1" t="s">
        <v>153</v>
      </c>
      <c r="R455">
        <v>2</v>
      </c>
      <c r="S455" s="1" t="s">
        <v>27</v>
      </c>
      <c r="T455">
        <v>45439000</v>
      </c>
      <c r="U455" t="s">
        <v>182</v>
      </c>
      <c r="V455" s="1" t="s">
        <v>179</v>
      </c>
      <c r="W455" s="1" t="s">
        <v>180</v>
      </c>
      <c r="X455" s="1" t="str">
        <f>VLOOKUP(V455,Broker_Directory!A:C,3,FALSE)</f>
        <v>Tier B</v>
      </c>
      <c r="Y455" s="1">
        <f>HLOOKUP(X455, Commission_Rates!A$1:C$2, 2, FALSE)</f>
        <v>1.4999999999999999E-2</v>
      </c>
      <c r="Z455" s="1">
        <f t="shared" si="21"/>
        <v>0</v>
      </c>
      <c r="AA455" s="1">
        <f t="shared" si="22"/>
        <v>0</v>
      </c>
      <c r="AB455" s="1">
        <f t="shared" si="23"/>
        <v>0</v>
      </c>
    </row>
    <row r="456" spans="1:28" x14ac:dyDescent="0.3">
      <c r="A456" s="1" t="s">
        <v>33</v>
      </c>
      <c r="B456" s="1" t="s">
        <v>34</v>
      </c>
      <c r="C456">
        <v>4</v>
      </c>
      <c r="D456">
        <v>3</v>
      </c>
      <c r="E456">
        <v>1629</v>
      </c>
      <c r="F456">
        <v>3396</v>
      </c>
      <c r="G456">
        <v>2</v>
      </c>
      <c r="H456">
        <v>1955</v>
      </c>
      <c r="I456">
        <v>2017</v>
      </c>
      <c r="J456" s="1" t="s">
        <v>52</v>
      </c>
      <c r="K456">
        <v>0</v>
      </c>
      <c r="L456" s="1" t="s">
        <v>31</v>
      </c>
      <c r="M456" s="1" t="s">
        <v>24</v>
      </c>
      <c r="N456" s="1" t="s">
        <v>46</v>
      </c>
      <c r="O456">
        <v>9</v>
      </c>
      <c r="P456">
        <v>1</v>
      </c>
      <c r="Q456" s="1" t="s">
        <v>132</v>
      </c>
      <c r="R456">
        <v>3</v>
      </c>
      <c r="S456" s="1" t="s">
        <v>27</v>
      </c>
      <c r="T456">
        <v>14246500</v>
      </c>
      <c r="U456" t="s">
        <v>183</v>
      </c>
      <c r="V456" s="1" t="s">
        <v>168</v>
      </c>
      <c r="W456" s="1" t="s">
        <v>169</v>
      </c>
      <c r="X456" s="1" t="str">
        <f>VLOOKUP(V456,Broker_Directory!A:C,3,FALSE)</f>
        <v>Tier A</v>
      </c>
      <c r="Y456" s="1">
        <f>HLOOKUP(X456, Commission_Rates!A$1:C$2, 2, FALSE)</f>
        <v>0.02</v>
      </c>
      <c r="Z456" s="1">
        <f t="shared" si="21"/>
        <v>0</v>
      </c>
      <c r="AA456" s="1">
        <f t="shared" si="22"/>
        <v>0</v>
      </c>
      <c r="AB456" s="1">
        <f t="shared" si="23"/>
        <v>0</v>
      </c>
    </row>
    <row r="457" spans="1:28" x14ac:dyDescent="0.3">
      <c r="A457" s="1" t="s">
        <v>37</v>
      </c>
      <c r="B457" s="1" t="s">
        <v>62</v>
      </c>
      <c r="C457">
        <v>4</v>
      </c>
      <c r="D457">
        <v>2</v>
      </c>
      <c r="E457">
        <v>355</v>
      </c>
      <c r="F457">
        <v>6349</v>
      </c>
      <c r="G457">
        <v>1</v>
      </c>
      <c r="H457">
        <v>1959</v>
      </c>
      <c r="I457">
        <v>2003</v>
      </c>
      <c r="J457" s="1" t="s">
        <v>58</v>
      </c>
      <c r="K457">
        <v>0</v>
      </c>
      <c r="L457" s="1" t="s">
        <v>31</v>
      </c>
      <c r="M457" s="1" t="s">
        <v>27</v>
      </c>
      <c r="N457" s="1" t="s">
        <v>46</v>
      </c>
      <c r="O457">
        <v>3</v>
      </c>
      <c r="P457">
        <v>5</v>
      </c>
      <c r="Q457" s="1" t="s">
        <v>159</v>
      </c>
      <c r="R457">
        <v>0</v>
      </c>
      <c r="S457" s="1" t="s">
        <v>24</v>
      </c>
      <c r="T457">
        <v>3170000</v>
      </c>
      <c r="U457" t="s">
        <v>183</v>
      </c>
      <c r="V457" s="1" t="s">
        <v>174</v>
      </c>
      <c r="W457" s="1" t="s">
        <v>175</v>
      </c>
      <c r="X457" s="1" t="str">
        <f>VLOOKUP(V457,Broker_Directory!A:C,3,FALSE)</f>
        <v>Tier A</v>
      </c>
      <c r="Y457" s="1">
        <f>HLOOKUP(X457, Commission_Rates!A$1:C$2, 2, FALSE)</f>
        <v>0.02</v>
      </c>
      <c r="Z457" s="1">
        <f t="shared" si="21"/>
        <v>0</v>
      </c>
      <c r="AA457" s="1">
        <f t="shared" si="22"/>
        <v>0</v>
      </c>
      <c r="AB457" s="1">
        <f t="shared" si="23"/>
        <v>0</v>
      </c>
    </row>
    <row r="458" spans="1:28" x14ac:dyDescent="0.3">
      <c r="A458" s="1" t="s">
        <v>28</v>
      </c>
      <c r="B458" s="1" t="s">
        <v>110</v>
      </c>
      <c r="C458">
        <v>3</v>
      </c>
      <c r="D458">
        <v>2</v>
      </c>
      <c r="E458">
        <v>2093</v>
      </c>
      <c r="F458">
        <v>9396</v>
      </c>
      <c r="G458">
        <v>2</v>
      </c>
      <c r="H458">
        <v>1972</v>
      </c>
      <c r="I458">
        <v>1992</v>
      </c>
      <c r="J458" s="1" t="s">
        <v>52</v>
      </c>
      <c r="K458">
        <v>1</v>
      </c>
      <c r="L458" s="1" t="s">
        <v>31</v>
      </c>
      <c r="M458" s="1" t="s">
        <v>24</v>
      </c>
      <c r="N458" s="1" t="s">
        <v>25</v>
      </c>
      <c r="O458">
        <v>4</v>
      </c>
      <c r="P458">
        <v>0</v>
      </c>
      <c r="Q458" s="1" t="s">
        <v>119</v>
      </c>
      <c r="R458">
        <v>1</v>
      </c>
      <c r="S458" s="1" t="s">
        <v>27</v>
      </c>
      <c r="T458">
        <v>21295000</v>
      </c>
      <c r="U458" t="s">
        <v>182</v>
      </c>
      <c r="V458" s="1" t="s">
        <v>168</v>
      </c>
      <c r="W458" s="1" t="s">
        <v>169</v>
      </c>
      <c r="X458" s="1" t="str">
        <f>VLOOKUP(V458,Broker_Directory!A:C,3,FALSE)</f>
        <v>Tier A</v>
      </c>
      <c r="Y458" s="1">
        <f>HLOOKUP(X458, Commission_Rates!A$1:C$2, 2, FALSE)</f>
        <v>0.02</v>
      </c>
      <c r="Z458" s="1">
        <f t="shared" si="21"/>
        <v>0</v>
      </c>
      <c r="AA458" s="1">
        <f t="shared" si="22"/>
        <v>0</v>
      </c>
      <c r="AB458" s="1">
        <f t="shared" si="23"/>
        <v>0</v>
      </c>
    </row>
    <row r="459" spans="1:28" x14ac:dyDescent="0.3">
      <c r="A459" s="1" t="s">
        <v>20</v>
      </c>
      <c r="B459" s="1" t="s">
        <v>69</v>
      </c>
      <c r="C459">
        <v>2</v>
      </c>
      <c r="D459">
        <v>3</v>
      </c>
      <c r="E459">
        <v>4037</v>
      </c>
      <c r="F459">
        <v>6054</v>
      </c>
      <c r="G459">
        <v>2</v>
      </c>
      <c r="H459">
        <v>1997</v>
      </c>
      <c r="I459">
        <v>2017</v>
      </c>
      <c r="J459" s="1" t="s">
        <v>52</v>
      </c>
      <c r="K459">
        <v>3</v>
      </c>
      <c r="L459" s="1" t="s">
        <v>23</v>
      </c>
      <c r="M459" s="1" t="s">
        <v>24</v>
      </c>
      <c r="N459" s="1" t="s">
        <v>25</v>
      </c>
      <c r="O459">
        <v>2</v>
      </c>
      <c r="P459">
        <v>1</v>
      </c>
      <c r="Q459" s="1" t="s">
        <v>70</v>
      </c>
      <c r="R459">
        <v>3</v>
      </c>
      <c r="S459" s="1" t="s">
        <v>27</v>
      </c>
      <c r="T459">
        <v>48819000</v>
      </c>
      <c r="U459" t="s">
        <v>182</v>
      </c>
      <c r="V459" s="1" t="s">
        <v>168</v>
      </c>
      <c r="W459" s="1" t="s">
        <v>169</v>
      </c>
      <c r="X459" s="1" t="str">
        <f>VLOOKUP(V459,Broker_Directory!A:C,3,FALSE)</f>
        <v>Tier A</v>
      </c>
      <c r="Y459" s="1">
        <f>HLOOKUP(X459, Commission_Rates!A$1:C$2, 2, FALSE)</f>
        <v>0.02</v>
      </c>
      <c r="Z459" s="1">
        <f t="shared" si="21"/>
        <v>0</v>
      </c>
      <c r="AA459" s="1">
        <f t="shared" si="22"/>
        <v>0</v>
      </c>
      <c r="AB459" s="1">
        <f t="shared" si="23"/>
        <v>0</v>
      </c>
    </row>
    <row r="460" spans="1:28" x14ac:dyDescent="0.3">
      <c r="A460" s="1" t="s">
        <v>53</v>
      </c>
      <c r="B460" s="1" t="s">
        <v>100</v>
      </c>
      <c r="C460">
        <v>4</v>
      </c>
      <c r="D460">
        <v>2</v>
      </c>
      <c r="E460">
        <v>678</v>
      </c>
      <c r="F460">
        <v>3826</v>
      </c>
      <c r="G460">
        <v>3</v>
      </c>
      <c r="H460">
        <v>1987</v>
      </c>
      <c r="I460">
        <v>1995</v>
      </c>
      <c r="J460" s="1" t="s">
        <v>30</v>
      </c>
      <c r="K460">
        <v>1</v>
      </c>
      <c r="L460" s="1" t="s">
        <v>23</v>
      </c>
      <c r="M460" s="1" t="s">
        <v>27</v>
      </c>
      <c r="N460" s="1" t="s">
        <v>25</v>
      </c>
      <c r="O460">
        <v>8</v>
      </c>
      <c r="P460">
        <v>4</v>
      </c>
      <c r="Q460" s="1" t="s">
        <v>104</v>
      </c>
      <c r="R460">
        <v>1</v>
      </c>
      <c r="S460" s="1" t="s">
        <v>24</v>
      </c>
      <c r="T460">
        <v>6562000</v>
      </c>
      <c r="U460" t="s">
        <v>183</v>
      </c>
      <c r="V460" s="1" t="s">
        <v>179</v>
      </c>
      <c r="W460" s="1" t="s">
        <v>180</v>
      </c>
      <c r="X460" s="1" t="str">
        <f>VLOOKUP(V460,Broker_Directory!A:C,3,FALSE)</f>
        <v>Tier B</v>
      </c>
      <c r="Y460" s="1">
        <f>HLOOKUP(X460, Commission_Rates!A$1:C$2, 2, FALSE)</f>
        <v>1.4999999999999999E-2</v>
      </c>
      <c r="Z460" s="1">
        <f t="shared" si="21"/>
        <v>0</v>
      </c>
      <c r="AA460" s="1">
        <f t="shared" si="22"/>
        <v>0</v>
      </c>
      <c r="AB460" s="1">
        <f t="shared" si="23"/>
        <v>0</v>
      </c>
    </row>
    <row r="461" spans="1:28" x14ac:dyDescent="0.3">
      <c r="A461" s="1" t="s">
        <v>37</v>
      </c>
      <c r="B461" s="1" t="s">
        <v>45</v>
      </c>
      <c r="C461">
        <v>1</v>
      </c>
      <c r="D461">
        <v>2</v>
      </c>
      <c r="E461">
        <v>4466</v>
      </c>
      <c r="F461">
        <v>7695</v>
      </c>
      <c r="G461">
        <v>3</v>
      </c>
      <c r="H461">
        <v>2015</v>
      </c>
      <c r="I461">
        <v>2019</v>
      </c>
      <c r="J461" s="1" t="s">
        <v>22</v>
      </c>
      <c r="K461">
        <v>3</v>
      </c>
      <c r="L461" s="1" t="s">
        <v>31</v>
      </c>
      <c r="M461" s="1" t="s">
        <v>27</v>
      </c>
      <c r="N461" s="1" t="s">
        <v>35</v>
      </c>
      <c r="O461">
        <v>5</v>
      </c>
      <c r="P461">
        <v>4</v>
      </c>
      <c r="Q461" s="1" t="s">
        <v>122</v>
      </c>
      <c r="R461">
        <v>3</v>
      </c>
      <c r="S461" s="1" t="s">
        <v>27</v>
      </c>
      <c r="T461">
        <v>35943000</v>
      </c>
      <c r="U461" t="s">
        <v>183</v>
      </c>
      <c r="V461" s="1" t="s">
        <v>168</v>
      </c>
      <c r="W461" s="1" t="s">
        <v>169</v>
      </c>
      <c r="X461" s="1" t="str">
        <f>VLOOKUP(V461,Broker_Directory!A:C,3,FALSE)</f>
        <v>Tier A</v>
      </c>
      <c r="Y461" s="1">
        <f>HLOOKUP(X461, Commission_Rates!A$1:C$2, 2, FALSE)</f>
        <v>0.02</v>
      </c>
      <c r="Z461" s="1">
        <f t="shared" si="21"/>
        <v>0</v>
      </c>
      <c r="AA461" s="1">
        <f t="shared" si="22"/>
        <v>0</v>
      </c>
      <c r="AB461" s="1">
        <f t="shared" si="23"/>
        <v>0</v>
      </c>
    </row>
    <row r="462" spans="1:28" x14ac:dyDescent="0.3">
      <c r="A462" s="1" t="s">
        <v>53</v>
      </c>
      <c r="B462" s="1" t="s">
        <v>100</v>
      </c>
      <c r="C462">
        <v>4</v>
      </c>
      <c r="D462">
        <v>1</v>
      </c>
      <c r="E462">
        <v>1997</v>
      </c>
      <c r="F462">
        <v>3845</v>
      </c>
      <c r="G462">
        <v>1</v>
      </c>
      <c r="H462">
        <v>2007</v>
      </c>
      <c r="I462">
        <v>2013</v>
      </c>
      <c r="J462" s="1" t="s">
        <v>22</v>
      </c>
      <c r="K462">
        <v>1</v>
      </c>
      <c r="L462" s="1" t="s">
        <v>64</v>
      </c>
      <c r="M462" s="1" t="s">
        <v>27</v>
      </c>
      <c r="N462" s="1" t="s">
        <v>46</v>
      </c>
      <c r="O462">
        <v>9</v>
      </c>
      <c r="P462">
        <v>1</v>
      </c>
      <c r="Q462" s="1" t="s">
        <v>151</v>
      </c>
      <c r="R462">
        <v>2</v>
      </c>
      <c r="S462" s="1" t="s">
        <v>24</v>
      </c>
      <c r="T462">
        <v>18303000</v>
      </c>
      <c r="U462" t="s">
        <v>184</v>
      </c>
      <c r="V462" s="1" t="s">
        <v>168</v>
      </c>
      <c r="W462" s="1" t="s">
        <v>169</v>
      </c>
      <c r="X462" s="1" t="str">
        <f>VLOOKUP(V462,Broker_Directory!A:C,3,FALSE)</f>
        <v>Tier A</v>
      </c>
      <c r="Y462" s="1">
        <f>HLOOKUP(X462, Commission_Rates!A$1:C$2, 2, FALSE)</f>
        <v>0.02</v>
      </c>
      <c r="Z462" s="1">
        <f t="shared" si="21"/>
        <v>366060</v>
      </c>
      <c r="AA462" s="1">
        <f t="shared" si="22"/>
        <v>549090</v>
      </c>
      <c r="AB462" s="1">
        <f t="shared" si="23"/>
        <v>183030</v>
      </c>
    </row>
    <row r="463" spans="1:28" x14ac:dyDescent="0.3">
      <c r="A463" s="1" t="s">
        <v>28</v>
      </c>
      <c r="B463" s="1" t="s">
        <v>60</v>
      </c>
      <c r="C463">
        <v>3</v>
      </c>
      <c r="D463">
        <v>4</v>
      </c>
      <c r="E463">
        <v>4550</v>
      </c>
      <c r="F463">
        <v>7480</v>
      </c>
      <c r="G463">
        <v>1</v>
      </c>
      <c r="H463">
        <v>2024</v>
      </c>
      <c r="I463">
        <v>0</v>
      </c>
      <c r="J463" s="1" t="s">
        <v>22</v>
      </c>
      <c r="K463">
        <v>2</v>
      </c>
      <c r="L463" s="1" t="s">
        <v>41</v>
      </c>
      <c r="M463" s="1" t="s">
        <v>27</v>
      </c>
      <c r="N463" s="1" t="s">
        <v>46</v>
      </c>
      <c r="O463">
        <v>6</v>
      </c>
      <c r="P463">
        <v>3</v>
      </c>
      <c r="Q463" s="1" t="s">
        <v>61</v>
      </c>
      <c r="R463">
        <v>3</v>
      </c>
      <c r="S463" s="1" t="s">
        <v>27</v>
      </c>
      <c r="T463">
        <v>45835000</v>
      </c>
      <c r="U463" t="s">
        <v>182</v>
      </c>
      <c r="V463" s="1" t="s">
        <v>171</v>
      </c>
      <c r="W463" s="1" t="s">
        <v>172</v>
      </c>
      <c r="X463" s="1" t="str">
        <f>VLOOKUP(V463,Broker_Directory!A:C,3,FALSE)</f>
        <v>Tier B</v>
      </c>
      <c r="Y463" s="1">
        <f>HLOOKUP(X463, Commission_Rates!A$1:C$2, 2, FALSE)</f>
        <v>1.4999999999999999E-2</v>
      </c>
      <c r="Z463" s="1">
        <f t="shared" si="21"/>
        <v>0</v>
      </c>
      <c r="AA463" s="1">
        <f t="shared" si="22"/>
        <v>0</v>
      </c>
      <c r="AB463" s="1">
        <f t="shared" si="23"/>
        <v>0</v>
      </c>
    </row>
    <row r="464" spans="1:28" x14ac:dyDescent="0.3">
      <c r="A464" s="1" t="s">
        <v>53</v>
      </c>
      <c r="B464" s="1" t="s">
        <v>54</v>
      </c>
      <c r="C464">
        <v>1</v>
      </c>
      <c r="D464">
        <v>2</v>
      </c>
      <c r="E464">
        <v>3918</v>
      </c>
      <c r="F464">
        <v>5883</v>
      </c>
      <c r="G464">
        <v>2</v>
      </c>
      <c r="H464">
        <v>1959</v>
      </c>
      <c r="I464">
        <v>2003</v>
      </c>
      <c r="J464" s="1" t="s">
        <v>58</v>
      </c>
      <c r="K464">
        <v>2</v>
      </c>
      <c r="L464" s="1" t="s">
        <v>23</v>
      </c>
      <c r="M464" s="1" t="s">
        <v>27</v>
      </c>
      <c r="N464" s="1" t="s">
        <v>25</v>
      </c>
      <c r="O464">
        <v>1</v>
      </c>
      <c r="P464">
        <v>0</v>
      </c>
      <c r="Q464" s="1" t="s">
        <v>156</v>
      </c>
      <c r="R464">
        <v>2</v>
      </c>
      <c r="S464" s="1" t="s">
        <v>24</v>
      </c>
      <c r="T464">
        <v>35567000</v>
      </c>
      <c r="U464" t="s">
        <v>183</v>
      </c>
      <c r="V464" s="1" t="s">
        <v>168</v>
      </c>
      <c r="W464" s="1" t="s">
        <v>169</v>
      </c>
      <c r="X464" s="1" t="str">
        <f>VLOOKUP(V464,Broker_Directory!A:C,3,FALSE)</f>
        <v>Tier A</v>
      </c>
      <c r="Y464" s="1">
        <f>HLOOKUP(X464, Commission_Rates!A$1:C$2, 2, FALSE)</f>
        <v>0.02</v>
      </c>
      <c r="Z464" s="1">
        <f t="shared" si="21"/>
        <v>0</v>
      </c>
      <c r="AA464" s="1">
        <f t="shared" si="22"/>
        <v>0</v>
      </c>
      <c r="AB464" s="1">
        <f t="shared" si="23"/>
        <v>0</v>
      </c>
    </row>
    <row r="465" spans="1:28" x14ac:dyDescent="0.3">
      <c r="A465" s="1" t="s">
        <v>33</v>
      </c>
      <c r="B465" s="1" t="s">
        <v>75</v>
      </c>
      <c r="C465">
        <v>3</v>
      </c>
      <c r="D465">
        <v>2</v>
      </c>
      <c r="E465">
        <v>2997</v>
      </c>
      <c r="F465">
        <v>5095</v>
      </c>
      <c r="G465">
        <v>2</v>
      </c>
      <c r="H465">
        <v>1985</v>
      </c>
      <c r="I465">
        <v>1996</v>
      </c>
      <c r="J465" s="1" t="s">
        <v>52</v>
      </c>
      <c r="K465">
        <v>2</v>
      </c>
      <c r="L465" s="1" t="s">
        <v>23</v>
      </c>
      <c r="M465" s="1" t="s">
        <v>27</v>
      </c>
      <c r="N465" s="1" t="s">
        <v>46</v>
      </c>
      <c r="O465">
        <v>5</v>
      </c>
      <c r="P465">
        <v>3</v>
      </c>
      <c r="Q465" s="1" t="s">
        <v>140</v>
      </c>
      <c r="R465">
        <v>0</v>
      </c>
      <c r="S465" s="1" t="s">
        <v>27</v>
      </c>
      <c r="T465">
        <v>25724500</v>
      </c>
      <c r="U465" t="s">
        <v>184</v>
      </c>
      <c r="V465" s="1" t="s">
        <v>168</v>
      </c>
      <c r="W465" s="1" t="s">
        <v>169</v>
      </c>
      <c r="X465" s="1" t="str">
        <f>VLOOKUP(V465,Broker_Directory!A:C,3,FALSE)</f>
        <v>Tier A</v>
      </c>
      <c r="Y465" s="1">
        <f>HLOOKUP(X465, Commission_Rates!A$1:C$2, 2, FALSE)</f>
        <v>0.02</v>
      </c>
      <c r="Z465" s="1">
        <f t="shared" si="21"/>
        <v>514490</v>
      </c>
      <c r="AA465" s="1">
        <f t="shared" si="22"/>
        <v>771735</v>
      </c>
      <c r="AB465" s="1">
        <f t="shared" si="23"/>
        <v>257245</v>
      </c>
    </row>
    <row r="466" spans="1:28" x14ac:dyDescent="0.3">
      <c r="A466" s="1" t="s">
        <v>33</v>
      </c>
      <c r="B466" s="1" t="s">
        <v>75</v>
      </c>
      <c r="C466">
        <v>4</v>
      </c>
      <c r="D466">
        <v>2</v>
      </c>
      <c r="E466">
        <v>2158</v>
      </c>
      <c r="F466">
        <v>8133</v>
      </c>
      <c r="G466">
        <v>3</v>
      </c>
      <c r="H466">
        <v>1976</v>
      </c>
      <c r="I466">
        <v>2005</v>
      </c>
      <c r="J466" s="1" t="s">
        <v>52</v>
      </c>
      <c r="K466">
        <v>3</v>
      </c>
      <c r="L466" s="1" t="s">
        <v>41</v>
      </c>
      <c r="M466" s="1" t="s">
        <v>27</v>
      </c>
      <c r="N466" s="1" t="s">
        <v>25</v>
      </c>
      <c r="O466">
        <v>5</v>
      </c>
      <c r="P466">
        <v>1</v>
      </c>
      <c r="Q466" s="1" t="s">
        <v>140</v>
      </c>
      <c r="R466">
        <v>3</v>
      </c>
      <c r="S466" s="1" t="s">
        <v>24</v>
      </c>
      <c r="T466">
        <v>18833000</v>
      </c>
      <c r="U466" t="s">
        <v>184</v>
      </c>
      <c r="V466" s="1" t="s">
        <v>174</v>
      </c>
      <c r="W466" s="1" t="s">
        <v>175</v>
      </c>
      <c r="X466" s="1" t="str">
        <f>VLOOKUP(V466,Broker_Directory!A:C,3,FALSE)</f>
        <v>Tier A</v>
      </c>
      <c r="Y466" s="1">
        <f>HLOOKUP(X466, Commission_Rates!A$1:C$2, 2, FALSE)</f>
        <v>0.02</v>
      </c>
      <c r="Z466" s="1">
        <f t="shared" si="21"/>
        <v>376660</v>
      </c>
      <c r="AA466" s="1">
        <f t="shared" si="22"/>
        <v>564990</v>
      </c>
      <c r="AB466" s="1">
        <f t="shared" si="23"/>
        <v>188330</v>
      </c>
    </row>
    <row r="467" spans="1:28" x14ac:dyDescent="0.3">
      <c r="A467" s="1" t="s">
        <v>37</v>
      </c>
      <c r="B467" s="1" t="s">
        <v>72</v>
      </c>
      <c r="C467">
        <v>5</v>
      </c>
      <c r="D467">
        <v>1</v>
      </c>
      <c r="E467">
        <v>3369</v>
      </c>
      <c r="F467">
        <v>4557</v>
      </c>
      <c r="G467">
        <v>3</v>
      </c>
      <c r="H467">
        <v>1966</v>
      </c>
      <c r="I467">
        <v>1984</v>
      </c>
      <c r="J467" s="1" t="s">
        <v>58</v>
      </c>
      <c r="K467">
        <v>3</v>
      </c>
      <c r="L467" s="1" t="s">
        <v>64</v>
      </c>
      <c r="M467" s="1" t="s">
        <v>27</v>
      </c>
      <c r="N467" s="1" t="s">
        <v>25</v>
      </c>
      <c r="O467">
        <v>6</v>
      </c>
      <c r="P467">
        <v>3</v>
      </c>
      <c r="Q467" s="1" t="s">
        <v>94</v>
      </c>
      <c r="R467">
        <v>2</v>
      </c>
      <c r="S467" s="1" t="s">
        <v>27</v>
      </c>
      <c r="T467">
        <v>27397000</v>
      </c>
      <c r="U467" t="s">
        <v>182</v>
      </c>
      <c r="V467" s="1" t="s">
        <v>171</v>
      </c>
      <c r="W467" s="1" t="s">
        <v>172</v>
      </c>
      <c r="X467" s="1" t="str">
        <f>VLOOKUP(V467,Broker_Directory!A:C,3,FALSE)</f>
        <v>Tier B</v>
      </c>
      <c r="Y467" s="1">
        <f>HLOOKUP(X467, Commission_Rates!A$1:C$2, 2, FALSE)</f>
        <v>1.4999999999999999E-2</v>
      </c>
      <c r="Z467" s="1">
        <f t="shared" si="21"/>
        <v>0</v>
      </c>
      <c r="AA467" s="1">
        <f t="shared" si="22"/>
        <v>0</v>
      </c>
      <c r="AB467" s="1">
        <f t="shared" si="23"/>
        <v>0</v>
      </c>
    </row>
    <row r="468" spans="1:28" x14ac:dyDescent="0.3">
      <c r="A468" s="1" t="s">
        <v>33</v>
      </c>
      <c r="B468" s="1" t="s">
        <v>48</v>
      </c>
      <c r="C468">
        <v>5</v>
      </c>
      <c r="D468">
        <v>1</v>
      </c>
      <c r="E468">
        <v>1439</v>
      </c>
      <c r="F468">
        <v>4007</v>
      </c>
      <c r="G468">
        <v>2</v>
      </c>
      <c r="H468">
        <v>2022</v>
      </c>
      <c r="I468">
        <v>2025</v>
      </c>
      <c r="J468" s="1" t="s">
        <v>22</v>
      </c>
      <c r="K468">
        <v>3</v>
      </c>
      <c r="L468" s="1" t="s">
        <v>31</v>
      </c>
      <c r="M468" s="1" t="s">
        <v>27</v>
      </c>
      <c r="N468" s="1" t="s">
        <v>25</v>
      </c>
      <c r="O468">
        <v>8</v>
      </c>
      <c r="P468">
        <v>3</v>
      </c>
      <c r="Q468" s="1" t="s">
        <v>84</v>
      </c>
      <c r="R468">
        <v>3</v>
      </c>
      <c r="S468" s="1" t="s">
        <v>24</v>
      </c>
      <c r="T468">
        <v>12721500</v>
      </c>
      <c r="U468" t="s">
        <v>184</v>
      </c>
      <c r="V468" s="1" t="s">
        <v>179</v>
      </c>
      <c r="W468" s="1" t="s">
        <v>180</v>
      </c>
      <c r="X468" s="1" t="str">
        <f>VLOOKUP(V468,Broker_Directory!A:C,3,FALSE)</f>
        <v>Tier B</v>
      </c>
      <c r="Y468" s="1">
        <f>HLOOKUP(X468, Commission_Rates!A$1:C$2, 2, FALSE)</f>
        <v>1.4999999999999999E-2</v>
      </c>
      <c r="Z468" s="1">
        <f t="shared" si="21"/>
        <v>190822.5</v>
      </c>
      <c r="AA468" s="1">
        <f t="shared" si="22"/>
        <v>381645</v>
      </c>
      <c r="AB468" s="1">
        <f t="shared" si="23"/>
        <v>190822.5</v>
      </c>
    </row>
    <row r="469" spans="1:28" x14ac:dyDescent="0.3">
      <c r="A469" s="1" t="s">
        <v>53</v>
      </c>
      <c r="B469" s="1" t="s">
        <v>100</v>
      </c>
      <c r="C469">
        <v>4</v>
      </c>
      <c r="D469">
        <v>3</v>
      </c>
      <c r="E469">
        <v>1063</v>
      </c>
      <c r="F469">
        <v>3921</v>
      </c>
      <c r="G469">
        <v>1</v>
      </c>
      <c r="H469">
        <v>2020</v>
      </c>
      <c r="I469">
        <v>2020</v>
      </c>
      <c r="J469" s="1" t="s">
        <v>58</v>
      </c>
      <c r="K469">
        <v>3</v>
      </c>
      <c r="L469" s="1" t="s">
        <v>23</v>
      </c>
      <c r="M469" s="1" t="s">
        <v>24</v>
      </c>
      <c r="N469" s="1" t="s">
        <v>25</v>
      </c>
      <c r="O469">
        <v>1</v>
      </c>
      <c r="P469">
        <v>3</v>
      </c>
      <c r="Q469" s="1" t="s">
        <v>151</v>
      </c>
      <c r="R469">
        <v>1</v>
      </c>
      <c r="S469" s="1" t="s">
        <v>24</v>
      </c>
      <c r="T469">
        <v>10042000</v>
      </c>
      <c r="U469" t="s">
        <v>182</v>
      </c>
      <c r="V469" s="1" t="s">
        <v>171</v>
      </c>
      <c r="W469" s="1" t="s">
        <v>172</v>
      </c>
      <c r="X469" s="1" t="str">
        <f>VLOOKUP(V469,Broker_Directory!A:C,3,FALSE)</f>
        <v>Tier B</v>
      </c>
      <c r="Y469" s="1">
        <f>HLOOKUP(X469, Commission_Rates!A$1:C$2, 2, FALSE)</f>
        <v>1.4999999999999999E-2</v>
      </c>
      <c r="Z469" s="1">
        <f t="shared" si="21"/>
        <v>0</v>
      </c>
      <c r="AA469" s="1">
        <f t="shared" si="22"/>
        <v>0</v>
      </c>
      <c r="AB469" s="1">
        <f t="shared" si="23"/>
        <v>0</v>
      </c>
    </row>
    <row r="470" spans="1:28" x14ac:dyDescent="0.3">
      <c r="A470" s="1" t="s">
        <v>53</v>
      </c>
      <c r="B470" s="1" t="s">
        <v>100</v>
      </c>
      <c r="C470">
        <v>1</v>
      </c>
      <c r="D470">
        <v>4</v>
      </c>
      <c r="E470">
        <v>770</v>
      </c>
      <c r="F470">
        <v>6859</v>
      </c>
      <c r="G470">
        <v>3</v>
      </c>
      <c r="H470">
        <v>1951</v>
      </c>
      <c r="I470">
        <v>1971</v>
      </c>
      <c r="J470" s="1" t="s">
        <v>30</v>
      </c>
      <c r="K470">
        <v>3</v>
      </c>
      <c r="L470" s="1" t="s">
        <v>41</v>
      </c>
      <c r="M470" s="1" t="s">
        <v>24</v>
      </c>
      <c r="N470" s="1" t="s">
        <v>25</v>
      </c>
      <c r="O470">
        <v>2</v>
      </c>
      <c r="P470">
        <v>4</v>
      </c>
      <c r="Q470" s="1" t="s">
        <v>104</v>
      </c>
      <c r="R470">
        <v>3</v>
      </c>
      <c r="S470" s="1" t="s">
        <v>24</v>
      </c>
      <c r="T470">
        <v>7355000</v>
      </c>
      <c r="U470" t="s">
        <v>182</v>
      </c>
      <c r="V470" s="1" t="s">
        <v>168</v>
      </c>
      <c r="W470" s="1" t="s">
        <v>169</v>
      </c>
      <c r="X470" s="1" t="str">
        <f>VLOOKUP(V470,Broker_Directory!A:C,3,FALSE)</f>
        <v>Tier A</v>
      </c>
      <c r="Y470" s="1">
        <f>HLOOKUP(X470, Commission_Rates!A$1:C$2, 2, FALSE)</f>
        <v>0.02</v>
      </c>
      <c r="Z470" s="1">
        <f t="shared" si="21"/>
        <v>0</v>
      </c>
      <c r="AA470" s="1">
        <f t="shared" si="22"/>
        <v>0</v>
      </c>
      <c r="AB470" s="1">
        <f t="shared" si="23"/>
        <v>0</v>
      </c>
    </row>
    <row r="471" spans="1:28" x14ac:dyDescent="0.3">
      <c r="A471" s="1" t="s">
        <v>37</v>
      </c>
      <c r="B471" s="1" t="s">
        <v>62</v>
      </c>
      <c r="C471">
        <v>2</v>
      </c>
      <c r="D471">
        <v>2</v>
      </c>
      <c r="E471">
        <v>2837</v>
      </c>
      <c r="F471">
        <v>6427</v>
      </c>
      <c r="G471">
        <v>3</v>
      </c>
      <c r="H471">
        <v>2010</v>
      </c>
      <c r="I471">
        <v>2014</v>
      </c>
      <c r="J471" s="1" t="s">
        <v>30</v>
      </c>
      <c r="K471">
        <v>1</v>
      </c>
      <c r="L471" s="1" t="s">
        <v>41</v>
      </c>
      <c r="M471" s="1" t="s">
        <v>27</v>
      </c>
      <c r="N471" s="1" t="s">
        <v>25</v>
      </c>
      <c r="O471">
        <v>0</v>
      </c>
      <c r="P471">
        <v>1</v>
      </c>
      <c r="Q471" s="1" t="s">
        <v>97</v>
      </c>
      <c r="R471">
        <v>0</v>
      </c>
      <c r="S471" s="1" t="s">
        <v>27</v>
      </c>
      <c r="T471">
        <v>22991000</v>
      </c>
      <c r="U471" t="s">
        <v>183</v>
      </c>
      <c r="V471" s="1" t="s">
        <v>174</v>
      </c>
      <c r="W471" s="1" t="s">
        <v>175</v>
      </c>
      <c r="X471" s="1" t="str">
        <f>VLOOKUP(V471,Broker_Directory!A:C,3,FALSE)</f>
        <v>Tier A</v>
      </c>
      <c r="Y471" s="1">
        <f>HLOOKUP(X471, Commission_Rates!A$1:C$2, 2, FALSE)</f>
        <v>0.02</v>
      </c>
      <c r="Z471" s="1">
        <f t="shared" si="21"/>
        <v>0</v>
      </c>
      <c r="AA471" s="1">
        <f t="shared" si="22"/>
        <v>0</v>
      </c>
      <c r="AB471" s="1">
        <f t="shared" si="23"/>
        <v>0</v>
      </c>
    </row>
    <row r="472" spans="1:28" x14ac:dyDescent="0.3">
      <c r="A472" s="1" t="s">
        <v>33</v>
      </c>
      <c r="B472" s="1" t="s">
        <v>75</v>
      </c>
      <c r="C472">
        <v>5</v>
      </c>
      <c r="D472">
        <v>3</v>
      </c>
      <c r="E472">
        <v>4963</v>
      </c>
      <c r="F472">
        <v>9034</v>
      </c>
      <c r="G472">
        <v>2</v>
      </c>
      <c r="H472">
        <v>2009</v>
      </c>
      <c r="I472">
        <v>2009</v>
      </c>
      <c r="J472" s="1" t="s">
        <v>58</v>
      </c>
      <c r="K472">
        <v>2</v>
      </c>
      <c r="L472" s="1" t="s">
        <v>41</v>
      </c>
      <c r="M472" s="1" t="s">
        <v>27</v>
      </c>
      <c r="N472" s="1" t="s">
        <v>35</v>
      </c>
      <c r="O472">
        <v>4</v>
      </c>
      <c r="P472">
        <v>3</v>
      </c>
      <c r="Q472" s="1" t="s">
        <v>135</v>
      </c>
      <c r="R472">
        <v>3</v>
      </c>
      <c r="S472" s="1" t="s">
        <v>24</v>
      </c>
      <c r="T472">
        <v>42660500</v>
      </c>
      <c r="U472" t="s">
        <v>182</v>
      </c>
      <c r="V472" s="1" t="s">
        <v>174</v>
      </c>
      <c r="W472" s="1" t="s">
        <v>175</v>
      </c>
      <c r="X472" s="1" t="str">
        <f>VLOOKUP(V472,Broker_Directory!A:C,3,FALSE)</f>
        <v>Tier A</v>
      </c>
      <c r="Y472" s="1">
        <f>HLOOKUP(X472, Commission_Rates!A$1:C$2, 2, FALSE)</f>
        <v>0.02</v>
      </c>
      <c r="Z472" s="1">
        <f t="shared" si="21"/>
        <v>0</v>
      </c>
      <c r="AA472" s="1">
        <f t="shared" si="22"/>
        <v>0</v>
      </c>
      <c r="AB472" s="1">
        <f t="shared" si="23"/>
        <v>0</v>
      </c>
    </row>
    <row r="473" spans="1:28" x14ac:dyDescent="0.3">
      <c r="A473" s="1" t="s">
        <v>28</v>
      </c>
      <c r="B473" s="1" t="s">
        <v>95</v>
      </c>
      <c r="C473">
        <v>4</v>
      </c>
      <c r="D473">
        <v>4</v>
      </c>
      <c r="E473">
        <v>3451</v>
      </c>
      <c r="F473">
        <v>8900</v>
      </c>
      <c r="G473">
        <v>1</v>
      </c>
      <c r="H473">
        <v>2022</v>
      </c>
      <c r="I473">
        <v>0</v>
      </c>
      <c r="J473" s="1" t="s">
        <v>22</v>
      </c>
      <c r="K473">
        <v>0</v>
      </c>
      <c r="L473" s="1" t="s">
        <v>31</v>
      </c>
      <c r="M473" s="1" t="s">
        <v>24</v>
      </c>
      <c r="N473" s="1" t="s">
        <v>46</v>
      </c>
      <c r="O473">
        <v>10</v>
      </c>
      <c r="P473">
        <v>4</v>
      </c>
      <c r="Q473" s="1" t="s">
        <v>129</v>
      </c>
      <c r="R473">
        <v>0</v>
      </c>
      <c r="S473" s="1" t="s">
        <v>24</v>
      </c>
      <c r="T473">
        <v>34925000</v>
      </c>
      <c r="U473" t="s">
        <v>183</v>
      </c>
      <c r="V473" s="1" t="s">
        <v>168</v>
      </c>
      <c r="W473" s="1" t="s">
        <v>169</v>
      </c>
      <c r="X473" s="1" t="str">
        <f>VLOOKUP(V473,Broker_Directory!A:C,3,FALSE)</f>
        <v>Tier A</v>
      </c>
      <c r="Y473" s="1">
        <f>HLOOKUP(X473, Commission_Rates!A$1:C$2, 2, FALSE)</f>
        <v>0.02</v>
      </c>
      <c r="Z473" s="1">
        <f t="shared" si="21"/>
        <v>0</v>
      </c>
      <c r="AA473" s="1">
        <f t="shared" si="22"/>
        <v>0</v>
      </c>
      <c r="AB473" s="1">
        <f t="shared" si="23"/>
        <v>0</v>
      </c>
    </row>
    <row r="474" spans="1:28" x14ac:dyDescent="0.3">
      <c r="A474" s="1" t="s">
        <v>37</v>
      </c>
      <c r="B474" s="1" t="s">
        <v>72</v>
      </c>
      <c r="C474">
        <v>5</v>
      </c>
      <c r="D474">
        <v>1</v>
      </c>
      <c r="E474">
        <v>3320</v>
      </c>
      <c r="F474">
        <v>3996</v>
      </c>
      <c r="G474">
        <v>1</v>
      </c>
      <c r="H474">
        <v>2014</v>
      </c>
      <c r="I474">
        <v>2025</v>
      </c>
      <c r="J474" s="1" t="s">
        <v>30</v>
      </c>
      <c r="K474">
        <v>3</v>
      </c>
      <c r="L474" s="1" t="s">
        <v>41</v>
      </c>
      <c r="M474" s="1" t="s">
        <v>24</v>
      </c>
      <c r="N474" s="1" t="s">
        <v>46</v>
      </c>
      <c r="O474">
        <v>3</v>
      </c>
      <c r="P474">
        <v>4</v>
      </c>
      <c r="Q474" s="1" t="s">
        <v>107</v>
      </c>
      <c r="R474">
        <v>3</v>
      </c>
      <c r="S474" s="1" t="s">
        <v>24</v>
      </c>
      <c r="T474">
        <v>26980000</v>
      </c>
      <c r="U474" t="s">
        <v>182</v>
      </c>
      <c r="V474" s="1" t="s">
        <v>176</v>
      </c>
      <c r="W474" s="1" t="s">
        <v>177</v>
      </c>
      <c r="X474" s="1" t="str">
        <f>VLOOKUP(V474,Broker_Directory!A:C,3,FALSE)</f>
        <v>Tier C</v>
      </c>
      <c r="Y474" s="1">
        <f>HLOOKUP(X474, Commission_Rates!A$1:C$2, 2, FALSE)</f>
        <v>0.01</v>
      </c>
      <c r="Z474" s="1">
        <f t="shared" si="21"/>
        <v>0</v>
      </c>
      <c r="AA474" s="1">
        <f t="shared" si="22"/>
        <v>0</v>
      </c>
      <c r="AB474" s="1">
        <f t="shared" si="23"/>
        <v>0</v>
      </c>
    </row>
    <row r="475" spans="1:28" x14ac:dyDescent="0.3">
      <c r="A475" s="1" t="s">
        <v>20</v>
      </c>
      <c r="B475" s="1" t="s">
        <v>50</v>
      </c>
      <c r="C475">
        <v>4</v>
      </c>
      <c r="D475">
        <v>3</v>
      </c>
      <c r="E475">
        <v>3571</v>
      </c>
      <c r="F475">
        <v>5213</v>
      </c>
      <c r="G475">
        <v>2</v>
      </c>
      <c r="H475">
        <v>1954</v>
      </c>
      <c r="I475">
        <v>1954</v>
      </c>
      <c r="J475" s="1" t="s">
        <v>30</v>
      </c>
      <c r="K475">
        <v>0</v>
      </c>
      <c r="L475" s="1" t="s">
        <v>31</v>
      </c>
      <c r="M475" s="1" t="s">
        <v>27</v>
      </c>
      <c r="N475" s="1" t="s">
        <v>35</v>
      </c>
      <c r="O475">
        <v>7</v>
      </c>
      <c r="P475">
        <v>3</v>
      </c>
      <c r="Q475" s="1" t="s">
        <v>128</v>
      </c>
      <c r="R475">
        <v>0</v>
      </c>
      <c r="S475" s="1" t="s">
        <v>24</v>
      </c>
      <c r="T475">
        <v>43232000</v>
      </c>
      <c r="U475" t="s">
        <v>184</v>
      </c>
      <c r="V475" s="1" t="s">
        <v>168</v>
      </c>
      <c r="W475" s="1" t="s">
        <v>169</v>
      </c>
      <c r="X475" s="1" t="str">
        <f>VLOOKUP(V475,Broker_Directory!A:C,3,FALSE)</f>
        <v>Tier A</v>
      </c>
      <c r="Y475" s="1">
        <f>HLOOKUP(X475, Commission_Rates!A$1:C$2, 2, FALSE)</f>
        <v>0.02</v>
      </c>
      <c r="Z475" s="1">
        <f t="shared" si="21"/>
        <v>864640</v>
      </c>
      <c r="AA475" s="1">
        <f t="shared" si="22"/>
        <v>1296960</v>
      </c>
      <c r="AB475" s="1">
        <f t="shared" si="23"/>
        <v>432320</v>
      </c>
    </row>
    <row r="476" spans="1:28" x14ac:dyDescent="0.3">
      <c r="A476" s="1" t="s">
        <v>33</v>
      </c>
      <c r="B476" s="1" t="s">
        <v>75</v>
      </c>
      <c r="C476">
        <v>4</v>
      </c>
      <c r="D476">
        <v>2</v>
      </c>
      <c r="E476">
        <v>4156</v>
      </c>
      <c r="F476">
        <v>6492</v>
      </c>
      <c r="G476">
        <v>1</v>
      </c>
      <c r="H476">
        <v>1971</v>
      </c>
      <c r="I476">
        <v>2023</v>
      </c>
      <c r="J476" s="1" t="s">
        <v>58</v>
      </c>
      <c r="K476">
        <v>0</v>
      </c>
      <c r="L476" s="1" t="s">
        <v>31</v>
      </c>
      <c r="M476" s="1" t="s">
        <v>27</v>
      </c>
      <c r="N476" s="1" t="s">
        <v>25</v>
      </c>
      <c r="O476">
        <v>8</v>
      </c>
      <c r="P476">
        <v>5</v>
      </c>
      <c r="Q476" s="1" t="s">
        <v>140</v>
      </c>
      <c r="R476">
        <v>1</v>
      </c>
      <c r="S476" s="1" t="s">
        <v>24</v>
      </c>
      <c r="T476">
        <v>35746000</v>
      </c>
      <c r="U476" t="s">
        <v>183</v>
      </c>
      <c r="V476" s="1" t="s">
        <v>179</v>
      </c>
      <c r="W476" s="1" t="s">
        <v>180</v>
      </c>
      <c r="X476" s="1" t="str">
        <f>VLOOKUP(V476,Broker_Directory!A:C,3,FALSE)</f>
        <v>Tier B</v>
      </c>
      <c r="Y476" s="1">
        <f>HLOOKUP(X476, Commission_Rates!A$1:C$2, 2, FALSE)</f>
        <v>1.4999999999999999E-2</v>
      </c>
      <c r="Z476" s="1">
        <f t="shared" si="21"/>
        <v>0</v>
      </c>
      <c r="AA476" s="1">
        <f t="shared" si="22"/>
        <v>0</v>
      </c>
      <c r="AB476" s="1">
        <f t="shared" si="23"/>
        <v>0</v>
      </c>
    </row>
    <row r="477" spans="1:28" x14ac:dyDescent="0.3">
      <c r="A477" s="1" t="s">
        <v>20</v>
      </c>
      <c r="B477" s="1" t="s">
        <v>69</v>
      </c>
      <c r="C477">
        <v>2</v>
      </c>
      <c r="D477">
        <v>4</v>
      </c>
      <c r="E477">
        <v>3233</v>
      </c>
      <c r="F477">
        <v>4740</v>
      </c>
      <c r="G477">
        <v>1</v>
      </c>
      <c r="H477">
        <v>1954</v>
      </c>
      <c r="I477">
        <v>2021</v>
      </c>
      <c r="J477" s="1" t="s">
        <v>52</v>
      </c>
      <c r="K477">
        <v>3</v>
      </c>
      <c r="L477" s="1" t="s">
        <v>23</v>
      </c>
      <c r="M477" s="1" t="s">
        <v>24</v>
      </c>
      <c r="N477" s="1" t="s">
        <v>46</v>
      </c>
      <c r="O477">
        <v>4</v>
      </c>
      <c r="P477">
        <v>3</v>
      </c>
      <c r="Q477" s="1" t="s">
        <v>74</v>
      </c>
      <c r="R477">
        <v>0</v>
      </c>
      <c r="S477" s="1" t="s">
        <v>24</v>
      </c>
      <c r="T477">
        <v>39111000</v>
      </c>
      <c r="U477" t="s">
        <v>182</v>
      </c>
      <c r="V477" s="1" t="s">
        <v>179</v>
      </c>
      <c r="W477" s="1" t="s">
        <v>180</v>
      </c>
      <c r="X477" s="1" t="str">
        <f>VLOOKUP(V477,Broker_Directory!A:C,3,FALSE)</f>
        <v>Tier B</v>
      </c>
      <c r="Y477" s="1">
        <f>HLOOKUP(X477, Commission_Rates!A$1:C$2, 2, FALSE)</f>
        <v>1.4999999999999999E-2</v>
      </c>
      <c r="Z477" s="1">
        <f t="shared" si="21"/>
        <v>0</v>
      </c>
      <c r="AA477" s="1">
        <f t="shared" si="22"/>
        <v>0</v>
      </c>
      <c r="AB477" s="1">
        <f t="shared" si="23"/>
        <v>0</v>
      </c>
    </row>
    <row r="478" spans="1:28" x14ac:dyDescent="0.3">
      <c r="A478" s="1" t="s">
        <v>37</v>
      </c>
      <c r="B478" s="1" t="s">
        <v>62</v>
      </c>
      <c r="C478">
        <v>2</v>
      </c>
      <c r="D478">
        <v>3</v>
      </c>
      <c r="E478">
        <v>2254</v>
      </c>
      <c r="F478">
        <v>3942</v>
      </c>
      <c r="G478">
        <v>1</v>
      </c>
      <c r="H478">
        <v>1952</v>
      </c>
      <c r="I478">
        <v>2004</v>
      </c>
      <c r="J478" s="1" t="s">
        <v>58</v>
      </c>
      <c r="K478">
        <v>0</v>
      </c>
      <c r="L478" s="1" t="s">
        <v>64</v>
      </c>
      <c r="M478" s="1" t="s">
        <v>24</v>
      </c>
      <c r="N478" s="1" t="s">
        <v>35</v>
      </c>
      <c r="O478">
        <v>10</v>
      </c>
      <c r="P478">
        <v>0</v>
      </c>
      <c r="Q478" s="1" t="s">
        <v>63</v>
      </c>
      <c r="R478">
        <v>0</v>
      </c>
      <c r="S478" s="1" t="s">
        <v>24</v>
      </c>
      <c r="T478">
        <v>18317000</v>
      </c>
      <c r="U478" t="s">
        <v>183</v>
      </c>
      <c r="V478" s="1" t="s">
        <v>179</v>
      </c>
      <c r="W478" s="1" t="s">
        <v>180</v>
      </c>
      <c r="X478" s="1" t="str">
        <f>VLOOKUP(V478,Broker_Directory!A:C,3,FALSE)</f>
        <v>Tier B</v>
      </c>
      <c r="Y478" s="1">
        <f>HLOOKUP(X478, Commission_Rates!A$1:C$2, 2, FALSE)</f>
        <v>1.4999999999999999E-2</v>
      </c>
      <c r="Z478" s="1">
        <f t="shared" si="21"/>
        <v>0</v>
      </c>
      <c r="AA478" s="1">
        <f t="shared" si="22"/>
        <v>0</v>
      </c>
      <c r="AB478" s="1">
        <f t="shared" si="23"/>
        <v>0</v>
      </c>
    </row>
    <row r="479" spans="1:28" x14ac:dyDescent="0.3">
      <c r="A479" s="1" t="s">
        <v>28</v>
      </c>
      <c r="B479" s="1" t="s">
        <v>60</v>
      </c>
      <c r="C479">
        <v>4</v>
      </c>
      <c r="D479">
        <v>1</v>
      </c>
      <c r="E479">
        <v>2979</v>
      </c>
      <c r="F479">
        <v>5672</v>
      </c>
      <c r="G479">
        <v>3</v>
      </c>
      <c r="H479">
        <v>1974</v>
      </c>
      <c r="I479">
        <v>2012</v>
      </c>
      <c r="J479" s="1" t="s">
        <v>52</v>
      </c>
      <c r="K479">
        <v>3</v>
      </c>
      <c r="L479" s="1" t="s">
        <v>41</v>
      </c>
      <c r="M479" s="1" t="s">
        <v>24</v>
      </c>
      <c r="N479" s="1" t="s">
        <v>25</v>
      </c>
      <c r="O479">
        <v>3</v>
      </c>
      <c r="P479">
        <v>0</v>
      </c>
      <c r="Q479" s="1" t="s">
        <v>61</v>
      </c>
      <c r="R479">
        <v>2</v>
      </c>
      <c r="S479" s="1" t="s">
        <v>24</v>
      </c>
      <c r="T479">
        <v>30260000</v>
      </c>
      <c r="U479" t="s">
        <v>182</v>
      </c>
      <c r="V479" s="1" t="s">
        <v>179</v>
      </c>
      <c r="W479" s="1" t="s">
        <v>180</v>
      </c>
      <c r="X479" s="1" t="str">
        <f>VLOOKUP(V479,Broker_Directory!A:C,3,FALSE)</f>
        <v>Tier B</v>
      </c>
      <c r="Y479" s="1">
        <f>HLOOKUP(X479, Commission_Rates!A$1:C$2, 2, FALSE)</f>
        <v>1.4999999999999999E-2</v>
      </c>
      <c r="Z479" s="1">
        <f t="shared" si="21"/>
        <v>0</v>
      </c>
      <c r="AA479" s="1">
        <f t="shared" si="22"/>
        <v>0</v>
      </c>
      <c r="AB479" s="1">
        <f t="shared" si="23"/>
        <v>0</v>
      </c>
    </row>
    <row r="480" spans="1:28" x14ac:dyDescent="0.3">
      <c r="A480" s="1" t="s">
        <v>20</v>
      </c>
      <c r="B480" s="1" t="s">
        <v>50</v>
      </c>
      <c r="C480">
        <v>3</v>
      </c>
      <c r="D480">
        <v>1</v>
      </c>
      <c r="E480">
        <v>3488</v>
      </c>
      <c r="F480">
        <v>5280</v>
      </c>
      <c r="G480">
        <v>2</v>
      </c>
      <c r="H480">
        <v>1978</v>
      </c>
      <c r="I480">
        <v>1981</v>
      </c>
      <c r="J480" s="1" t="s">
        <v>30</v>
      </c>
      <c r="K480">
        <v>2</v>
      </c>
      <c r="L480" s="1" t="s">
        <v>23</v>
      </c>
      <c r="M480" s="1" t="s">
        <v>24</v>
      </c>
      <c r="N480" s="1" t="s">
        <v>25</v>
      </c>
      <c r="O480">
        <v>6</v>
      </c>
      <c r="P480">
        <v>2</v>
      </c>
      <c r="Q480" s="1" t="s">
        <v>128</v>
      </c>
      <c r="R480">
        <v>0</v>
      </c>
      <c r="S480" s="1" t="s">
        <v>24</v>
      </c>
      <c r="T480">
        <v>42226000</v>
      </c>
      <c r="U480" t="s">
        <v>182</v>
      </c>
      <c r="V480" s="1" t="s">
        <v>168</v>
      </c>
      <c r="W480" s="1" t="s">
        <v>169</v>
      </c>
      <c r="X480" s="1" t="str">
        <f>VLOOKUP(V480,Broker_Directory!A:C,3,FALSE)</f>
        <v>Tier A</v>
      </c>
      <c r="Y480" s="1">
        <f>HLOOKUP(X480, Commission_Rates!A$1:C$2, 2, FALSE)</f>
        <v>0.02</v>
      </c>
      <c r="Z480" s="1">
        <f t="shared" si="21"/>
        <v>0</v>
      </c>
      <c r="AA480" s="1">
        <f t="shared" si="22"/>
        <v>0</v>
      </c>
      <c r="AB480" s="1">
        <f t="shared" si="23"/>
        <v>0</v>
      </c>
    </row>
    <row r="481" spans="1:28" x14ac:dyDescent="0.3">
      <c r="A481" s="1" t="s">
        <v>53</v>
      </c>
      <c r="B481" s="1" t="s">
        <v>105</v>
      </c>
      <c r="C481">
        <v>5</v>
      </c>
      <c r="D481">
        <v>3</v>
      </c>
      <c r="E481">
        <v>3483</v>
      </c>
      <c r="F481">
        <v>9086</v>
      </c>
      <c r="G481">
        <v>3</v>
      </c>
      <c r="H481">
        <v>1967</v>
      </c>
      <c r="I481">
        <v>1987</v>
      </c>
      <c r="J481" s="1" t="s">
        <v>52</v>
      </c>
      <c r="K481">
        <v>2</v>
      </c>
      <c r="L481" s="1" t="s">
        <v>41</v>
      </c>
      <c r="M481" s="1" t="s">
        <v>24</v>
      </c>
      <c r="N481" s="1" t="s">
        <v>46</v>
      </c>
      <c r="O481">
        <v>0</v>
      </c>
      <c r="P481">
        <v>4</v>
      </c>
      <c r="Q481" s="1" t="s">
        <v>106</v>
      </c>
      <c r="R481">
        <v>3</v>
      </c>
      <c r="S481" s="1" t="s">
        <v>24</v>
      </c>
      <c r="T481">
        <v>31867000</v>
      </c>
      <c r="U481" t="s">
        <v>183</v>
      </c>
      <c r="V481" s="1" t="s">
        <v>171</v>
      </c>
      <c r="W481" s="1" t="s">
        <v>172</v>
      </c>
      <c r="X481" s="1" t="str">
        <f>VLOOKUP(V481,Broker_Directory!A:C,3,FALSE)</f>
        <v>Tier B</v>
      </c>
      <c r="Y481" s="1">
        <f>HLOOKUP(X481, Commission_Rates!A$1:C$2, 2, FALSE)</f>
        <v>1.4999999999999999E-2</v>
      </c>
      <c r="Z481" s="1">
        <f t="shared" si="21"/>
        <v>0</v>
      </c>
      <c r="AA481" s="1">
        <f t="shared" si="22"/>
        <v>0</v>
      </c>
      <c r="AB481" s="1">
        <f t="shared" si="23"/>
        <v>0</v>
      </c>
    </row>
    <row r="482" spans="1:28" x14ac:dyDescent="0.3">
      <c r="A482" s="1" t="s">
        <v>33</v>
      </c>
      <c r="B482" s="1" t="s">
        <v>43</v>
      </c>
      <c r="C482">
        <v>1</v>
      </c>
      <c r="D482">
        <v>2</v>
      </c>
      <c r="E482">
        <v>473</v>
      </c>
      <c r="F482">
        <v>2555</v>
      </c>
      <c r="G482">
        <v>2</v>
      </c>
      <c r="H482">
        <v>1980</v>
      </c>
      <c r="I482">
        <v>2006</v>
      </c>
      <c r="J482" s="1" t="s">
        <v>52</v>
      </c>
      <c r="K482">
        <v>0</v>
      </c>
      <c r="L482" s="1" t="s">
        <v>23</v>
      </c>
      <c r="M482" s="1" t="s">
        <v>24</v>
      </c>
      <c r="N482" s="1" t="s">
        <v>46</v>
      </c>
      <c r="O482">
        <v>7</v>
      </c>
      <c r="P482">
        <v>2</v>
      </c>
      <c r="Q482" s="1" t="s">
        <v>130</v>
      </c>
      <c r="R482">
        <v>1</v>
      </c>
      <c r="S482" s="1" t="s">
        <v>27</v>
      </c>
      <c r="T482">
        <v>4210500</v>
      </c>
      <c r="U482" t="s">
        <v>184</v>
      </c>
      <c r="V482" s="1" t="s">
        <v>174</v>
      </c>
      <c r="W482" s="1" t="s">
        <v>175</v>
      </c>
      <c r="X482" s="1" t="str">
        <f>VLOOKUP(V482,Broker_Directory!A:C,3,FALSE)</f>
        <v>Tier A</v>
      </c>
      <c r="Y482" s="1">
        <f>HLOOKUP(X482, Commission_Rates!A$1:C$2, 2, FALSE)</f>
        <v>0.02</v>
      </c>
      <c r="Z482" s="1">
        <f t="shared" si="21"/>
        <v>84210</v>
      </c>
      <c r="AA482" s="1">
        <f t="shared" si="22"/>
        <v>126315</v>
      </c>
      <c r="AB482" s="1">
        <f t="shared" si="23"/>
        <v>42105</v>
      </c>
    </row>
    <row r="483" spans="1:28" x14ac:dyDescent="0.3">
      <c r="A483" s="1" t="s">
        <v>28</v>
      </c>
      <c r="B483" s="1" t="s">
        <v>60</v>
      </c>
      <c r="C483">
        <v>2</v>
      </c>
      <c r="D483">
        <v>4</v>
      </c>
      <c r="E483">
        <v>2992</v>
      </c>
      <c r="F483">
        <v>4141</v>
      </c>
      <c r="G483">
        <v>2</v>
      </c>
      <c r="H483">
        <v>1990</v>
      </c>
      <c r="I483">
        <v>1991</v>
      </c>
      <c r="J483" s="1" t="s">
        <v>22</v>
      </c>
      <c r="K483">
        <v>2</v>
      </c>
      <c r="L483" s="1" t="s">
        <v>23</v>
      </c>
      <c r="M483" s="1" t="s">
        <v>24</v>
      </c>
      <c r="N483" s="1" t="s">
        <v>35</v>
      </c>
      <c r="O483">
        <v>5</v>
      </c>
      <c r="P483">
        <v>2</v>
      </c>
      <c r="Q483" s="1" t="s">
        <v>121</v>
      </c>
      <c r="R483">
        <v>1</v>
      </c>
      <c r="S483" s="1" t="s">
        <v>24</v>
      </c>
      <c r="T483">
        <v>30270000</v>
      </c>
      <c r="U483" t="s">
        <v>184</v>
      </c>
      <c r="V483" s="1" t="s">
        <v>179</v>
      </c>
      <c r="W483" s="1" t="s">
        <v>180</v>
      </c>
      <c r="X483" s="1" t="str">
        <f>VLOOKUP(V483,Broker_Directory!A:C,3,FALSE)</f>
        <v>Tier B</v>
      </c>
      <c r="Y483" s="1">
        <f>HLOOKUP(X483, Commission_Rates!A$1:C$2, 2, FALSE)</f>
        <v>1.4999999999999999E-2</v>
      </c>
      <c r="Z483" s="1">
        <f t="shared" si="21"/>
        <v>454050</v>
      </c>
      <c r="AA483" s="1">
        <f t="shared" si="22"/>
        <v>908100</v>
      </c>
      <c r="AB483" s="1">
        <f t="shared" si="23"/>
        <v>454050</v>
      </c>
    </row>
    <row r="484" spans="1:28" x14ac:dyDescent="0.3">
      <c r="A484" s="1" t="s">
        <v>28</v>
      </c>
      <c r="B484" s="1" t="s">
        <v>110</v>
      </c>
      <c r="C484">
        <v>5</v>
      </c>
      <c r="D484">
        <v>4</v>
      </c>
      <c r="E484">
        <v>4571</v>
      </c>
      <c r="F484">
        <v>7255</v>
      </c>
      <c r="G484">
        <v>1</v>
      </c>
      <c r="H484">
        <v>2006</v>
      </c>
      <c r="I484">
        <v>2025</v>
      </c>
      <c r="J484" s="1" t="s">
        <v>58</v>
      </c>
      <c r="K484">
        <v>0</v>
      </c>
      <c r="L484" s="1" t="s">
        <v>41</v>
      </c>
      <c r="M484" s="1" t="s">
        <v>24</v>
      </c>
      <c r="N484" s="1" t="s">
        <v>25</v>
      </c>
      <c r="O484">
        <v>0</v>
      </c>
      <c r="P484">
        <v>5</v>
      </c>
      <c r="Q484" s="1" t="s">
        <v>117</v>
      </c>
      <c r="R484">
        <v>1</v>
      </c>
      <c r="S484" s="1" t="s">
        <v>24</v>
      </c>
      <c r="T484">
        <v>46265000</v>
      </c>
      <c r="U484" t="s">
        <v>183</v>
      </c>
      <c r="V484" s="1" t="s">
        <v>174</v>
      </c>
      <c r="W484" s="1" t="s">
        <v>175</v>
      </c>
      <c r="X484" s="1" t="str">
        <f>VLOOKUP(V484,Broker_Directory!A:C,3,FALSE)</f>
        <v>Tier A</v>
      </c>
      <c r="Y484" s="1">
        <f>HLOOKUP(X484, Commission_Rates!A$1:C$2, 2, FALSE)</f>
        <v>0.02</v>
      </c>
      <c r="Z484" s="1">
        <f t="shared" si="21"/>
        <v>0</v>
      </c>
      <c r="AA484" s="1">
        <f t="shared" si="22"/>
        <v>0</v>
      </c>
      <c r="AB484" s="1">
        <f t="shared" si="23"/>
        <v>0</v>
      </c>
    </row>
    <row r="485" spans="1:28" x14ac:dyDescent="0.3">
      <c r="A485" s="1" t="s">
        <v>20</v>
      </c>
      <c r="B485" s="1" t="s">
        <v>40</v>
      </c>
      <c r="C485">
        <v>5</v>
      </c>
      <c r="D485">
        <v>2</v>
      </c>
      <c r="E485">
        <v>2235</v>
      </c>
      <c r="F485">
        <v>6441</v>
      </c>
      <c r="G485">
        <v>1</v>
      </c>
      <c r="H485">
        <v>2004</v>
      </c>
      <c r="I485">
        <v>2017</v>
      </c>
      <c r="J485" s="1" t="s">
        <v>30</v>
      </c>
      <c r="K485">
        <v>1</v>
      </c>
      <c r="L485" s="1" t="s">
        <v>31</v>
      </c>
      <c r="M485" s="1" t="s">
        <v>24</v>
      </c>
      <c r="N485" s="1" t="s">
        <v>46</v>
      </c>
      <c r="O485">
        <v>2</v>
      </c>
      <c r="P485">
        <v>4</v>
      </c>
      <c r="Q485" s="1" t="s">
        <v>143</v>
      </c>
      <c r="R485">
        <v>2</v>
      </c>
      <c r="S485" s="1" t="s">
        <v>27</v>
      </c>
      <c r="T485">
        <v>27205000</v>
      </c>
      <c r="U485" t="s">
        <v>183</v>
      </c>
      <c r="V485" s="1" t="s">
        <v>179</v>
      </c>
      <c r="W485" s="1" t="s">
        <v>180</v>
      </c>
      <c r="X485" s="1" t="str">
        <f>VLOOKUP(V485,Broker_Directory!A:C,3,FALSE)</f>
        <v>Tier B</v>
      </c>
      <c r="Y485" s="1">
        <f>HLOOKUP(X485, Commission_Rates!A$1:C$2, 2, FALSE)</f>
        <v>1.4999999999999999E-2</v>
      </c>
      <c r="Z485" s="1">
        <f t="shared" si="21"/>
        <v>0</v>
      </c>
      <c r="AA485" s="1">
        <f t="shared" si="22"/>
        <v>0</v>
      </c>
      <c r="AB485" s="1">
        <f t="shared" si="23"/>
        <v>0</v>
      </c>
    </row>
    <row r="486" spans="1:28" x14ac:dyDescent="0.3">
      <c r="A486" s="1" t="s">
        <v>33</v>
      </c>
      <c r="B486" s="1" t="s">
        <v>98</v>
      </c>
      <c r="C486">
        <v>2</v>
      </c>
      <c r="D486">
        <v>3</v>
      </c>
      <c r="E486">
        <v>4241</v>
      </c>
      <c r="F486">
        <v>4946</v>
      </c>
      <c r="G486">
        <v>2</v>
      </c>
      <c r="H486">
        <v>2000</v>
      </c>
      <c r="I486">
        <v>2011</v>
      </c>
      <c r="J486" s="1" t="s">
        <v>52</v>
      </c>
      <c r="K486">
        <v>3</v>
      </c>
      <c r="L486" s="1" t="s">
        <v>41</v>
      </c>
      <c r="M486" s="1" t="s">
        <v>27</v>
      </c>
      <c r="N486" s="1" t="s">
        <v>35</v>
      </c>
      <c r="O486">
        <v>9</v>
      </c>
      <c r="P486">
        <v>5</v>
      </c>
      <c r="Q486" s="1" t="s">
        <v>99</v>
      </c>
      <c r="R486">
        <v>1</v>
      </c>
      <c r="S486" s="1" t="s">
        <v>27</v>
      </c>
      <c r="T486">
        <v>36293500</v>
      </c>
      <c r="U486" t="s">
        <v>183</v>
      </c>
      <c r="V486" s="1" t="s">
        <v>174</v>
      </c>
      <c r="W486" s="1" t="s">
        <v>175</v>
      </c>
      <c r="X486" s="1" t="str">
        <f>VLOOKUP(V486,Broker_Directory!A:C,3,FALSE)</f>
        <v>Tier A</v>
      </c>
      <c r="Y486" s="1">
        <f>HLOOKUP(X486, Commission_Rates!A$1:C$2, 2, FALSE)</f>
        <v>0.02</v>
      </c>
      <c r="Z486" s="1">
        <f t="shared" si="21"/>
        <v>0</v>
      </c>
      <c r="AA486" s="1">
        <f t="shared" si="22"/>
        <v>0</v>
      </c>
      <c r="AB486" s="1">
        <f t="shared" si="23"/>
        <v>0</v>
      </c>
    </row>
    <row r="487" spans="1:28" x14ac:dyDescent="0.3">
      <c r="A487" s="1" t="s">
        <v>20</v>
      </c>
      <c r="B487" s="1" t="s">
        <v>50</v>
      </c>
      <c r="C487">
        <v>4</v>
      </c>
      <c r="D487">
        <v>1</v>
      </c>
      <c r="E487">
        <v>2759</v>
      </c>
      <c r="F487">
        <v>7684</v>
      </c>
      <c r="G487">
        <v>3</v>
      </c>
      <c r="H487">
        <v>1969</v>
      </c>
      <c r="I487">
        <v>2003</v>
      </c>
      <c r="J487" s="1" t="s">
        <v>52</v>
      </c>
      <c r="K487">
        <v>2</v>
      </c>
      <c r="L487" s="1" t="s">
        <v>41</v>
      </c>
      <c r="M487" s="1" t="s">
        <v>27</v>
      </c>
      <c r="N487" s="1" t="s">
        <v>46</v>
      </c>
      <c r="O487">
        <v>7</v>
      </c>
      <c r="P487">
        <v>2</v>
      </c>
      <c r="Q487" s="1" t="s">
        <v>128</v>
      </c>
      <c r="R487">
        <v>3</v>
      </c>
      <c r="S487" s="1" t="s">
        <v>24</v>
      </c>
      <c r="T487">
        <v>33493000</v>
      </c>
      <c r="U487" t="s">
        <v>184</v>
      </c>
      <c r="V487" s="1" t="s">
        <v>179</v>
      </c>
      <c r="W487" s="1" t="s">
        <v>180</v>
      </c>
      <c r="X487" s="1" t="str">
        <f>VLOOKUP(V487,Broker_Directory!A:C,3,FALSE)</f>
        <v>Tier B</v>
      </c>
      <c r="Y487" s="1">
        <f>HLOOKUP(X487, Commission_Rates!A$1:C$2, 2, FALSE)</f>
        <v>1.4999999999999999E-2</v>
      </c>
      <c r="Z487" s="1">
        <f t="shared" si="21"/>
        <v>502395</v>
      </c>
      <c r="AA487" s="1">
        <f t="shared" si="22"/>
        <v>1004790</v>
      </c>
      <c r="AB487" s="1">
        <f t="shared" si="23"/>
        <v>502395</v>
      </c>
    </row>
    <row r="488" spans="1:28" x14ac:dyDescent="0.3">
      <c r="A488" s="1" t="s">
        <v>53</v>
      </c>
      <c r="B488" s="1" t="s">
        <v>66</v>
      </c>
      <c r="C488">
        <v>4</v>
      </c>
      <c r="D488">
        <v>2</v>
      </c>
      <c r="E488">
        <v>1567</v>
      </c>
      <c r="F488">
        <v>4723</v>
      </c>
      <c r="G488">
        <v>1</v>
      </c>
      <c r="H488">
        <v>1951</v>
      </c>
      <c r="I488">
        <v>2014</v>
      </c>
      <c r="J488" s="1" t="s">
        <v>30</v>
      </c>
      <c r="K488">
        <v>3</v>
      </c>
      <c r="L488" s="1" t="s">
        <v>41</v>
      </c>
      <c r="M488" s="1" t="s">
        <v>27</v>
      </c>
      <c r="N488" s="1" t="s">
        <v>46</v>
      </c>
      <c r="O488">
        <v>5</v>
      </c>
      <c r="P488">
        <v>3</v>
      </c>
      <c r="Q488" s="1" t="s">
        <v>91</v>
      </c>
      <c r="R488">
        <v>2</v>
      </c>
      <c r="S488" s="1" t="s">
        <v>24</v>
      </c>
      <c r="T488">
        <v>14463000</v>
      </c>
      <c r="U488" t="s">
        <v>182</v>
      </c>
      <c r="V488" s="1" t="s">
        <v>176</v>
      </c>
      <c r="W488" s="1" t="s">
        <v>177</v>
      </c>
      <c r="X488" s="1" t="str">
        <f>VLOOKUP(V488,Broker_Directory!A:C,3,FALSE)</f>
        <v>Tier C</v>
      </c>
      <c r="Y488" s="1">
        <f>HLOOKUP(X488, Commission_Rates!A$1:C$2, 2, FALSE)</f>
        <v>0.01</v>
      </c>
      <c r="Z488" s="1">
        <f t="shared" si="21"/>
        <v>0</v>
      </c>
      <c r="AA488" s="1">
        <f t="shared" si="22"/>
        <v>0</v>
      </c>
      <c r="AB488" s="1">
        <f t="shared" si="23"/>
        <v>0</v>
      </c>
    </row>
    <row r="489" spans="1:28" x14ac:dyDescent="0.3">
      <c r="A489" s="1" t="s">
        <v>37</v>
      </c>
      <c r="B489" s="1" t="s">
        <v>87</v>
      </c>
      <c r="C489">
        <v>1</v>
      </c>
      <c r="D489">
        <v>4</v>
      </c>
      <c r="E489">
        <v>4933</v>
      </c>
      <c r="F489">
        <v>6313</v>
      </c>
      <c r="G489">
        <v>1</v>
      </c>
      <c r="H489">
        <v>2005</v>
      </c>
      <c r="I489">
        <v>2012</v>
      </c>
      <c r="J489" s="1" t="s">
        <v>30</v>
      </c>
      <c r="K489">
        <v>3</v>
      </c>
      <c r="L489" s="1" t="s">
        <v>64</v>
      </c>
      <c r="M489" s="1" t="s">
        <v>24</v>
      </c>
      <c r="N489" s="1" t="s">
        <v>35</v>
      </c>
      <c r="O489">
        <v>6</v>
      </c>
      <c r="P489">
        <v>3</v>
      </c>
      <c r="Q489" s="1" t="s">
        <v>152</v>
      </c>
      <c r="R489">
        <v>1</v>
      </c>
      <c r="S489" s="1" t="s">
        <v>27</v>
      </c>
      <c r="T489">
        <v>39694000</v>
      </c>
      <c r="U489" t="s">
        <v>182</v>
      </c>
      <c r="V489" s="1" t="s">
        <v>168</v>
      </c>
      <c r="W489" s="1" t="s">
        <v>169</v>
      </c>
      <c r="X489" s="1" t="str">
        <f>VLOOKUP(V489,Broker_Directory!A:C,3,FALSE)</f>
        <v>Tier A</v>
      </c>
      <c r="Y489" s="1">
        <f>HLOOKUP(X489, Commission_Rates!A$1:C$2, 2, FALSE)</f>
        <v>0.02</v>
      </c>
      <c r="Z489" s="1">
        <f t="shared" si="21"/>
        <v>0</v>
      </c>
      <c r="AA489" s="1">
        <f t="shared" si="22"/>
        <v>0</v>
      </c>
      <c r="AB489" s="1">
        <f t="shared" si="23"/>
        <v>0</v>
      </c>
    </row>
    <row r="490" spans="1:28" x14ac:dyDescent="0.3">
      <c r="A490" s="1" t="s">
        <v>20</v>
      </c>
      <c r="B490" s="1" t="s">
        <v>69</v>
      </c>
      <c r="C490">
        <v>1</v>
      </c>
      <c r="D490">
        <v>2</v>
      </c>
      <c r="E490">
        <v>2440</v>
      </c>
      <c r="F490">
        <v>7449</v>
      </c>
      <c r="G490">
        <v>2</v>
      </c>
      <c r="H490">
        <v>1968</v>
      </c>
      <c r="I490">
        <v>1983</v>
      </c>
      <c r="J490" s="1" t="s">
        <v>52</v>
      </c>
      <c r="K490">
        <v>1</v>
      </c>
      <c r="L490" s="1" t="s">
        <v>23</v>
      </c>
      <c r="M490" s="1" t="s">
        <v>24</v>
      </c>
      <c r="N490" s="1" t="s">
        <v>25</v>
      </c>
      <c r="O490">
        <v>10</v>
      </c>
      <c r="P490">
        <v>5</v>
      </c>
      <c r="Q490" s="1" t="s">
        <v>120</v>
      </c>
      <c r="R490">
        <v>3</v>
      </c>
      <c r="S490" s="1" t="s">
        <v>24</v>
      </c>
      <c r="T490">
        <v>29625000</v>
      </c>
      <c r="U490" t="s">
        <v>182</v>
      </c>
      <c r="V490" s="1" t="s">
        <v>176</v>
      </c>
      <c r="W490" s="1" t="s">
        <v>177</v>
      </c>
      <c r="X490" s="1" t="str">
        <f>VLOOKUP(V490,Broker_Directory!A:C,3,FALSE)</f>
        <v>Tier C</v>
      </c>
      <c r="Y490" s="1">
        <f>HLOOKUP(X490, Commission_Rates!A$1:C$2, 2, FALSE)</f>
        <v>0.01</v>
      </c>
      <c r="Z490" s="1">
        <f t="shared" si="21"/>
        <v>0</v>
      </c>
      <c r="AA490" s="1">
        <f t="shared" si="22"/>
        <v>0</v>
      </c>
      <c r="AB490" s="1">
        <f t="shared" si="23"/>
        <v>0</v>
      </c>
    </row>
    <row r="491" spans="1:28" x14ac:dyDescent="0.3">
      <c r="A491" s="1" t="s">
        <v>33</v>
      </c>
      <c r="B491" s="1" t="s">
        <v>75</v>
      </c>
      <c r="C491">
        <v>4</v>
      </c>
      <c r="D491">
        <v>2</v>
      </c>
      <c r="E491">
        <v>3796</v>
      </c>
      <c r="F491">
        <v>5917</v>
      </c>
      <c r="G491">
        <v>3</v>
      </c>
      <c r="H491">
        <v>1988</v>
      </c>
      <c r="I491">
        <v>2019</v>
      </c>
      <c r="J491" s="1" t="s">
        <v>22</v>
      </c>
      <c r="K491">
        <v>2</v>
      </c>
      <c r="L491" s="1" t="s">
        <v>41</v>
      </c>
      <c r="M491" s="1" t="s">
        <v>24</v>
      </c>
      <c r="N491" s="1" t="s">
        <v>25</v>
      </c>
      <c r="O491">
        <v>10</v>
      </c>
      <c r="P491">
        <v>4</v>
      </c>
      <c r="Q491" s="1" t="s">
        <v>161</v>
      </c>
      <c r="R491">
        <v>1</v>
      </c>
      <c r="S491" s="1" t="s">
        <v>27</v>
      </c>
      <c r="T491">
        <v>32701000</v>
      </c>
      <c r="U491" t="s">
        <v>182</v>
      </c>
      <c r="V491" s="1" t="s">
        <v>174</v>
      </c>
      <c r="W491" s="1" t="s">
        <v>175</v>
      </c>
      <c r="X491" s="1" t="str">
        <f>VLOOKUP(V491,Broker_Directory!A:C,3,FALSE)</f>
        <v>Tier A</v>
      </c>
      <c r="Y491" s="1">
        <f>HLOOKUP(X491, Commission_Rates!A$1:C$2, 2, FALSE)</f>
        <v>0.02</v>
      </c>
      <c r="Z491" s="1">
        <f t="shared" si="21"/>
        <v>0</v>
      </c>
      <c r="AA491" s="1">
        <f t="shared" si="22"/>
        <v>0</v>
      </c>
      <c r="AB491" s="1">
        <f t="shared" si="23"/>
        <v>0</v>
      </c>
    </row>
    <row r="492" spans="1:28" x14ac:dyDescent="0.3">
      <c r="A492" s="1" t="s">
        <v>28</v>
      </c>
      <c r="B492" s="1" t="s">
        <v>29</v>
      </c>
      <c r="C492">
        <v>3</v>
      </c>
      <c r="D492">
        <v>1</v>
      </c>
      <c r="E492">
        <v>1679</v>
      </c>
      <c r="F492">
        <v>9785</v>
      </c>
      <c r="G492">
        <v>1</v>
      </c>
      <c r="H492">
        <v>1962</v>
      </c>
      <c r="I492">
        <v>1969</v>
      </c>
      <c r="J492" s="1" t="s">
        <v>22</v>
      </c>
      <c r="K492">
        <v>3</v>
      </c>
      <c r="L492" s="1" t="s">
        <v>64</v>
      </c>
      <c r="M492" s="1" t="s">
        <v>27</v>
      </c>
      <c r="N492" s="1" t="s">
        <v>25</v>
      </c>
      <c r="O492">
        <v>2</v>
      </c>
      <c r="P492">
        <v>2</v>
      </c>
      <c r="Q492" s="1" t="s">
        <v>149</v>
      </c>
      <c r="R492">
        <v>1</v>
      </c>
      <c r="S492" s="1" t="s">
        <v>24</v>
      </c>
      <c r="T492">
        <v>17130000</v>
      </c>
      <c r="U492" t="s">
        <v>183</v>
      </c>
      <c r="V492" s="1" t="s">
        <v>179</v>
      </c>
      <c r="W492" s="1" t="s">
        <v>180</v>
      </c>
      <c r="X492" s="1" t="str">
        <f>VLOOKUP(V492,Broker_Directory!A:C,3,FALSE)</f>
        <v>Tier B</v>
      </c>
      <c r="Y492" s="1">
        <f>HLOOKUP(X492, Commission_Rates!A$1:C$2, 2, FALSE)</f>
        <v>1.4999999999999999E-2</v>
      </c>
      <c r="Z492" s="1">
        <f t="shared" si="21"/>
        <v>0</v>
      </c>
      <c r="AA492" s="1">
        <f t="shared" si="22"/>
        <v>0</v>
      </c>
      <c r="AB492" s="1">
        <f t="shared" si="23"/>
        <v>0</v>
      </c>
    </row>
    <row r="493" spans="1:28" x14ac:dyDescent="0.3">
      <c r="A493" s="1" t="s">
        <v>37</v>
      </c>
      <c r="B493" s="1" t="s">
        <v>62</v>
      </c>
      <c r="C493">
        <v>5</v>
      </c>
      <c r="D493">
        <v>1</v>
      </c>
      <c r="E493">
        <v>3991</v>
      </c>
      <c r="F493">
        <v>8686</v>
      </c>
      <c r="G493">
        <v>1</v>
      </c>
      <c r="H493">
        <v>1973</v>
      </c>
      <c r="I493">
        <v>1984</v>
      </c>
      <c r="J493" s="1" t="s">
        <v>58</v>
      </c>
      <c r="K493">
        <v>1</v>
      </c>
      <c r="L493" s="1" t="s">
        <v>31</v>
      </c>
      <c r="M493" s="1" t="s">
        <v>27</v>
      </c>
      <c r="N493" s="1" t="s">
        <v>46</v>
      </c>
      <c r="O493">
        <v>7</v>
      </c>
      <c r="P493">
        <v>5</v>
      </c>
      <c r="Q493" s="1" t="s">
        <v>137</v>
      </c>
      <c r="R493">
        <v>1</v>
      </c>
      <c r="S493" s="1" t="s">
        <v>24</v>
      </c>
      <c r="T493">
        <v>32293000</v>
      </c>
      <c r="U493" t="s">
        <v>184</v>
      </c>
      <c r="V493" s="1" t="s">
        <v>171</v>
      </c>
      <c r="W493" s="1" t="s">
        <v>172</v>
      </c>
      <c r="X493" s="1" t="str">
        <f>VLOOKUP(V493,Broker_Directory!A:C,3,FALSE)</f>
        <v>Tier B</v>
      </c>
      <c r="Y493" s="1">
        <f>HLOOKUP(X493, Commission_Rates!A$1:C$2, 2, FALSE)</f>
        <v>1.4999999999999999E-2</v>
      </c>
      <c r="Z493" s="1">
        <f t="shared" si="21"/>
        <v>484395</v>
      </c>
      <c r="AA493" s="1">
        <f t="shared" si="22"/>
        <v>968790</v>
      </c>
      <c r="AB493" s="1">
        <f t="shared" si="23"/>
        <v>484395</v>
      </c>
    </row>
    <row r="494" spans="1:28" x14ac:dyDescent="0.3">
      <c r="A494" s="1" t="s">
        <v>53</v>
      </c>
      <c r="B494" s="1" t="s">
        <v>105</v>
      </c>
      <c r="C494">
        <v>4</v>
      </c>
      <c r="D494">
        <v>1</v>
      </c>
      <c r="E494">
        <v>2567</v>
      </c>
      <c r="F494">
        <v>3143</v>
      </c>
      <c r="G494">
        <v>2</v>
      </c>
      <c r="H494">
        <v>1953</v>
      </c>
      <c r="I494">
        <v>1982</v>
      </c>
      <c r="J494" s="1" t="s">
        <v>22</v>
      </c>
      <c r="K494">
        <v>3</v>
      </c>
      <c r="L494" s="1" t="s">
        <v>23</v>
      </c>
      <c r="M494" s="1" t="s">
        <v>24</v>
      </c>
      <c r="N494" s="1" t="s">
        <v>25</v>
      </c>
      <c r="O494">
        <v>4</v>
      </c>
      <c r="P494">
        <v>0</v>
      </c>
      <c r="Q494" s="1" t="s">
        <v>108</v>
      </c>
      <c r="R494">
        <v>0</v>
      </c>
      <c r="S494" s="1" t="s">
        <v>24</v>
      </c>
      <c r="T494">
        <v>23523000</v>
      </c>
      <c r="U494" t="s">
        <v>183</v>
      </c>
      <c r="V494" s="1" t="s">
        <v>168</v>
      </c>
      <c r="W494" s="1" t="s">
        <v>169</v>
      </c>
      <c r="X494" s="1" t="str">
        <f>VLOOKUP(V494,Broker_Directory!A:C,3,FALSE)</f>
        <v>Tier A</v>
      </c>
      <c r="Y494" s="1">
        <f>HLOOKUP(X494, Commission_Rates!A$1:C$2, 2, FALSE)</f>
        <v>0.02</v>
      </c>
      <c r="Z494" s="1">
        <f t="shared" si="21"/>
        <v>0</v>
      </c>
      <c r="AA494" s="1">
        <f t="shared" si="22"/>
        <v>0</v>
      </c>
      <c r="AB494" s="1">
        <f t="shared" si="23"/>
        <v>0</v>
      </c>
    </row>
    <row r="495" spans="1:28" x14ac:dyDescent="0.3">
      <c r="A495" s="1" t="s">
        <v>33</v>
      </c>
      <c r="B495" s="1" t="s">
        <v>48</v>
      </c>
      <c r="C495">
        <v>4</v>
      </c>
      <c r="D495">
        <v>3</v>
      </c>
      <c r="E495">
        <v>4280</v>
      </c>
      <c r="F495">
        <v>8206</v>
      </c>
      <c r="G495">
        <v>2</v>
      </c>
      <c r="H495">
        <v>2004</v>
      </c>
      <c r="I495">
        <v>2013</v>
      </c>
      <c r="J495" s="1" t="s">
        <v>30</v>
      </c>
      <c r="K495">
        <v>2</v>
      </c>
      <c r="L495" s="1" t="s">
        <v>64</v>
      </c>
      <c r="M495" s="1" t="s">
        <v>24</v>
      </c>
      <c r="N495" s="1" t="s">
        <v>46</v>
      </c>
      <c r="O495">
        <v>10</v>
      </c>
      <c r="P495">
        <v>3</v>
      </c>
      <c r="Q495" s="1" t="s">
        <v>57</v>
      </c>
      <c r="R495">
        <v>0</v>
      </c>
      <c r="S495" s="1" t="s">
        <v>27</v>
      </c>
      <c r="T495">
        <v>36735000</v>
      </c>
      <c r="U495" t="s">
        <v>183</v>
      </c>
      <c r="V495" s="1" t="s">
        <v>179</v>
      </c>
      <c r="W495" s="1" t="s">
        <v>180</v>
      </c>
      <c r="X495" s="1" t="str">
        <f>VLOOKUP(V495,Broker_Directory!A:C,3,FALSE)</f>
        <v>Tier B</v>
      </c>
      <c r="Y495" s="1">
        <f>HLOOKUP(X495, Commission_Rates!A$1:C$2, 2, FALSE)</f>
        <v>1.4999999999999999E-2</v>
      </c>
      <c r="Z495" s="1">
        <f t="shared" si="21"/>
        <v>0</v>
      </c>
      <c r="AA495" s="1">
        <f t="shared" si="22"/>
        <v>0</v>
      </c>
      <c r="AB495" s="1">
        <f t="shared" si="23"/>
        <v>0</v>
      </c>
    </row>
    <row r="496" spans="1:28" x14ac:dyDescent="0.3">
      <c r="A496" s="1" t="s">
        <v>53</v>
      </c>
      <c r="B496" s="1" t="s">
        <v>105</v>
      </c>
      <c r="C496">
        <v>1</v>
      </c>
      <c r="D496">
        <v>4</v>
      </c>
      <c r="E496">
        <v>3591</v>
      </c>
      <c r="F496">
        <v>9582</v>
      </c>
      <c r="G496">
        <v>1</v>
      </c>
      <c r="H496">
        <v>1953</v>
      </c>
      <c r="I496">
        <v>1967</v>
      </c>
      <c r="J496" s="1" t="s">
        <v>30</v>
      </c>
      <c r="K496">
        <v>1</v>
      </c>
      <c r="L496" s="1" t="s">
        <v>64</v>
      </c>
      <c r="M496" s="1" t="s">
        <v>27</v>
      </c>
      <c r="N496" s="1" t="s">
        <v>35</v>
      </c>
      <c r="O496">
        <v>10</v>
      </c>
      <c r="P496">
        <v>5</v>
      </c>
      <c r="Q496" s="1" t="s">
        <v>106</v>
      </c>
      <c r="R496">
        <v>3</v>
      </c>
      <c r="S496" s="1" t="s">
        <v>24</v>
      </c>
      <c r="T496">
        <v>32604000</v>
      </c>
      <c r="U496" t="s">
        <v>183</v>
      </c>
      <c r="V496" s="1" t="s">
        <v>171</v>
      </c>
      <c r="W496" s="1" t="s">
        <v>172</v>
      </c>
      <c r="X496" s="1" t="str">
        <f>VLOOKUP(V496,Broker_Directory!A:C,3,FALSE)</f>
        <v>Tier B</v>
      </c>
      <c r="Y496" s="1">
        <f>HLOOKUP(X496, Commission_Rates!A$1:C$2, 2, FALSE)</f>
        <v>1.4999999999999999E-2</v>
      </c>
      <c r="Z496" s="1">
        <f t="shared" si="21"/>
        <v>0</v>
      </c>
      <c r="AA496" s="1">
        <f t="shared" si="22"/>
        <v>0</v>
      </c>
      <c r="AB496" s="1">
        <f t="shared" si="23"/>
        <v>0</v>
      </c>
    </row>
    <row r="497" spans="1:28" x14ac:dyDescent="0.3">
      <c r="A497" s="1" t="s">
        <v>20</v>
      </c>
      <c r="B497" s="1" t="s">
        <v>69</v>
      </c>
      <c r="C497">
        <v>1</v>
      </c>
      <c r="D497">
        <v>3</v>
      </c>
      <c r="E497">
        <v>674</v>
      </c>
      <c r="F497">
        <v>6057</v>
      </c>
      <c r="G497">
        <v>3</v>
      </c>
      <c r="H497">
        <v>2006</v>
      </c>
      <c r="I497">
        <v>2012</v>
      </c>
      <c r="J497" s="1" t="s">
        <v>22</v>
      </c>
      <c r="K497">
        <v>3</v>
      </c>
      <c r="L497" s="1" t="s">
        <v>23</v>
      </c>
      <c r="M497" s="1" t="s">
        <v>27</v>
      </c>
      <c r="N497" s="1" t="s">
        <v>46</v>
      </c>
      <c r="O497">
        <v>7</v>
      </c>
      <c r="P497">
        <v>5</v>
      </c>
      <c r="Q497" s="1" t="s">
        <v>74</v>
      </c>
      <c r="R497">
        <v>3</v>
      </c>
      <c r="S497" s="1" t="s">
        <v>27</v>
      </c>
      <c r="T497">
        <v>8333000</v>
      </c>
      <c r="U497" t="s">
        <v>182</v>
      </c>
      <c r="V497" s="1" t="s">
        <v>168</v>
      </c>
      <c r="W497" s="1" t="s">
        <v>169</v>
      </c>
      <c r="X497" s="1" t="str">
        <f>VLOOKUP(V497,Broker_Directory!A:C,3,FALSE)</f>
        <v>Tier A</v>
      </c>
      <c r="Y497" s="1">
        <f>HLOOKUP(X497, Commission_Rates!A$1:C$2, 2, FALSE)</f>
        <v>0.02</v>
      </c>
      <c r="Z497" s="1">
        <f t="shared" si="21"/>
        <v>0</v>
      </c>
      <c r="AA497" s="1">
        <f t="shared" si="22"/>
        <v>0</v>
      </c>
      <c r="AB497" s="1">
        <f t="shared" si="23"/>
        <v>0</v>
      </c>
    </row>
    <row r="498" spans="1:28" x14ac:dyDescent="0.3">
      <c r="A498" s="1" t="s">
        <v>33</v>
      </c>
      <c r="B498" s="1" t="s">
        <v>75</v>
      </c>
      <c r="C498">
        <v>2</v>
      </c>
      <c r="D498">
        <v>1</v>
      </c>
      <c r="E498">
        <v>1347</v>
      </c>
      <c r="F498">
        <v>9555</v>
      </c>
      <c r="G498">
        <v>1</v>
      </c>
      <c r="H498">
        <v>1988</v>
      </c>
      <c r="I498">
        <v>2022</v>
      </c>
      <c r="J498" s="1" t="s">
        <v>22</v>
      </c>
      <c r="K498">
        <v>1</v>
      </c>
      <c r="L498" s="1" t="s">
        <v>41</v>
      </c>
      <c r="M498" s="1" t="s">
        <v>24</v>
      </c>
      <c r="N498" s="1" t="s">
        <v>46</v>
      </c>
      <c r="O498">
        <v>10</v>
      </c>
      <c r="P498">
        <v>4</v>
      </c>
      <c r="Q498" s="1" t="s">
        <v>135</v>
      </c>
      <c r="R498">
        <v>1</v>
      </c>
      <c r="S498" s="1" t="s">
        <v>24</v>
      </c>
      <c r="T498">
        <v>11689500</v>
      </c>
      <c r="U498" t="s">
        <v>184</v>
      </c>
      <c r="V498" s="1" t="s">
        <v>174</v>
      </c>
      <c r="W498" s="1" t="s">
        <v>175</v>
      </c>
      <c r="X498" s="1" t="str">
        <f>VLOOKUP(V498,Broker_Directory!A:C,3,FALSE)</f>
        <v>Tier A</v>
      </c>
      <c r="Y498" s="1">
        <f>HLOOKUP(X498, Commission_Rates!A$1:C$2, 2, FALSE)</f>
        <v>0.02</v>
      </c>
      <c r="Z498" s="1">
        <f t="shared" si="21"/>
        <v>233790</v>
      </c>
      <c r="AA498" s="1">
        <f t="shared" si="22"/>
        <v>350685</v>
      </c>
      <c r="AB498" s="1">
        <f t="shared" si="23"/>
        <v>116895</v>
      </c>
    </row>
    <row r="499" spans="1:28" x14ac:dyDescent="0.3">
      <c r="A499" s="1" t="s">
        <v>28</v>
      </c>
      <c r="B499" s="1" t="s">
        <v>60</v>
      </c>
      <c r="C499">
        <v>1</v>
      </c>
      <c r="D499">
        <v>4</v>
      </c>
      <c r="E499">
        <v>539</v>
      </c>
      <c r="F499">
        <v>3214</v>
      </c>
      <c r="G499">
        <v>2</v>
      </c>
      <c r="H499">
        <v>1999</v>
      </c>
      <c r="I499">
        <v>2022</v>
      </c>
      <c r="J499" s="1" t="s">
        <v>30</v>
      </c>
      <c r="K499">
        <v>1</v>
      </c>
      <c r="L499" s="1" t="s">
        <v>64</v>
      </c>
      <c r="M499" s="1" t="s">
        <v>27</v>
      </c>
      <c r="N499" s="1" t="s">
        <v>35</v>
      </c>
      <c r="O499">
        <v>1</v>
      </c>
      <c r="P499">
        <v>5</v>
      </c>
      <c r="Q499" s="1" t="s">
        <v>121</v>
      </c>
      <c r="R499">
        <v>3</v>
      </c>
      <c r="S499" s="1" t="s">
        <v>24</v>
      </c>
      <c r="T499">
        <v>5695000</v>
      </c>
      <c r="U499" t="s">
        <v>183</v>
      </c>
      <c r="V499" s="1" t="s">
        <v>171</v>
      </c>
      <c r="W499" s="1" t="s">
        <v>172</v>
      </c>
      <c r="X499" s="1" t="str">
        <f>VLOOKUP(V499,Broker_Directory!A:C,3,FALSE)</f>
        <v>Tier B</v>
      </c>
      <c r="Y499" s="1">
        <f>HLOOKUP(X499, Commission_Rates!A$1:C$2, 2, FALSE)</f>
        <v>1.4999999999999999E-2</v>
      </c>
      <c r="Z499" s="1">
        <f t="shared" si="21"/>
        <v>0</v>
      </c>
      <c r="AA499" s="1">
        <f t="shared" si="22"/>
        <v>0</v>
      </c>
      <c r="AB499" s="1">
        <f t="shared" si="23"/>
        <v>0</v>
      </c>
    </row>
    <row r="500" spans="1:28" x14ac:dyDescent="0.3">
      <c r="A500" s="1" t="s">
        <v>53</v>
      </c>
      <c r="B500" s="1" t="s">
        <v>66</v>
      </c>
      <c r="C500">
        <v>5</v>
      </c>
      <c r="D500">
        <v>1</v>
      </c>
      <c r="E500">
        <v>3111</v>
      </c>
      <c r="F500">
        <v>6249</v>
      </c>
      <c r="G500">
        <v>3</v>
      </c>
      <c r="H500">
        <v>1998</v>
      </c>
      <c r="I500">
        <v>2017</v>
      </c>
      <c r="J500" s="1" t="s">
        <v>22</v>
      </c>
      <c r="K500">
        <v>1</v>
      </c>
      <c r="L500" s="1" t="s">
        <v>31</v>
      </c>
      <c r="M500" s="1" t="s">
        <v>27</v>
      </c>
      <c r="N500" s="1" t="s">
        <v>25</v>
      </c>
      <c r="O500">
        <v>4</v>
      </c>
      <c r="P500">
        <v>0</v>
      </c>
      <c r="Q500" s="1" t="s">
        <v>142</v>
      </c>
      <c r="R500">
        <v>0</v>
      </c>
      <c r="S500" s="1" t="s">
        <v>27</v>
      </c>
      <c r="T500">
        <v>28414000</v>
      </c>
      <c r="U500" t="s">
        <v>184</v>
      </c>
      <c r="V500" s="1" t="s">
        <v>168</v>
      </c>
      <c r="W500" s="1" t="s">
        <v>169</v>
      </c>
      <c r="X500" s="1" t="str">
        <f>VLOOKUP(V500,Broker_Directory!A:C,3,FALSE)</f>
        <v>Tier A</v>
      </c>
      <c r="Y500" s="1">
        <f>HLOOKUP(X500, Commission_Rates!A$1:C$2, 2, FALSE)</f>
        <v>0.02</v>
      </c>
      <c r="Z500" s="1">
        <f t="shared" si="21"/>
        <v>568280</v>
      </c>
      <c r="AA500" s="1">
        <f t="shared" si="22"/>
        <v>852420</v>
      </c>
      <c r="AB500" s="1">
        <f t="shared" si="23"/>
        <v>284140</v>
      </c>
    </row>
    <row r="501" spans="1:28" x14ac:dyDescent="0.3">
      <c r="A501" s="1" t="s">
        <v>33</v>
      </c>
      <c r="B501" s="1" t="s">
        <v>75</v>
      </c>
      <c r="C501">
        <v>1</v>
      </c>
      <c r="D501">
        <v>3</v>
      </c>
      <c r="E501">
        <v>1343</v>
      </c>
      <c r="F501">
        <v>6527</v>
      </c>
      <c r="G501">
        <v>2</v>
      </c>
      <c r="H501">
        <v>2023</v>
      </c>
      <c r="I501">
        <v>0</v>
      </c>
      <c r="J501" s="1" t="s">
        <v>30</v>
      </c>
      <c r="K501">
        <v>0</v>
      </c>
      <c r="L501" s="1" t="s">
        <v>31</v>
      </c>
      <c r="M501" s="1" t="s">
        <v>27</v>
      </c>
      <c r="N501" s="1" t="s">
        <v>46</v>
      </c>
      <c r="O501">
        <v>5</v>
      </c>
      <c r="P501">
        <v>2</v>
      </c>
      <c r="Q501" s="1" t="s">
        <v>135</v>
      </c>
      <c r="R501">
        <v>1</v>
      </c>
      <c r="S501" s="1" t="s">
        <v>24</v>
      </c>
      <c r="T501">
        <v>11660500</v>
      </c>
      <c r="U501" t="s">
        <v>183</v>
      </c>
      <c r="V501" s="1" t="s">
        <v>176</v>
      </c>
      <c r="W501" s="1" t="s">
        <v>177</v>
      </c>
      <c r="X501" s="1" t="str">
        <f>VLOOKUP(V501,Broker_Directory!A:C,3,FALSE)</f>
        <v>Tier C</v>
      </c>
      <c r="Y501" s="1">
        <f>HLOOKUP(X501, Commission_Rates!A$1:C$2, 2, FALSE)</f>
        <v>0.01</v>
      </c>
      <c r="Z501" s="1">
        <f t="shared" si="21"/>
        <v>0</v>
      </c>
      <c r="AA501" s="1">
        <f t="shared" si="22"/>
        <v>0</v>
      </c>
      <c r="AB501" s="1">
        <f t="shared" si="23"/>
        <v>0</v>
      </c>
    </row>
    <row r="502" spans="1:28" x14ac:dyDescent="0.3">
      <c r="A502" s="1" t="s">
        <v>37</v>
      </c>
      <c r="B502" s="1" t="s">
        <v>87</v>
      </c>
      <c r="C502">
        <v>5</v>
      </c>
      <c r="D502">
        <v>4</v>
      </c>
      <c r="E502">
        <v>2888</v>
      </c>
      <c r="F502">
        <v>4123</v>
      </c>
      <c r="G502">
        <v>2</v>
      </c>
      <c r="H502">
        <v>1978</v>
      </c>
      <c r="I502">
        <v>2008</v>
      </c>
      <c r="J502" s="1" t="s">
        <v>22</v>
      </c>
      <c r="K502">
        <v>1</v>
      </c>
      <c r="L502" s="1" t="s">
        <v>64</v>
      </c>
      <c r="M502" s="1" t="s">
        <v>24</v>
      </c>
      <c r="N502" s="1" t="s">
        <v>35</v>
      </c>
      <c r="O502">
        <v>10</v>
      </c>
      <c r="P502">
        <v>5</v>
      </c>
      <c r="Q502" s="1" t="s">
        <v>141</v>
      </c>
      <c r="R502">
        <v>2</v>
      </c>
      <c r="S502" s="1" t="s">
        <v>27</v>
      </c>
      <c r="T502">
        <v>23569000</v>
      </c>
      <c r="U502" t="s">
        <v>182</v>
      </c>
      <c r="V502" s="1" t="s">
        <v>179</v>
      </c>
      <c r="W502" s="1" t="s">
        <v>180</v>
      </c>
      <c r="X502" s="1" t="str">
        <f>VLOOKUP(V502,Broker_Directory!A:C,3,FALSE)</f>
        <v>Tier B</v>
      </c>
      <c r="Y502" s="1">
        <f>HLOOKUP(X502, Commission_Rates!A$1:C$2, 2, FALSE)</f>
        <v>1.4999999999999999E-2</v>
      </c>
      <c r="Z502" s="1">
        <f t="shared" si="21"/>
        <v>0</v>
      </c>
      <c r="AA502" s="1">
        <f t="shared" si="22"/>
        <v>0</v>
      </c>
      <c r="AB502" s="1">
        <f t="shared" si="23"/>
        <v>0</v>
      </c>
    </row>
    <row r="503" spans="1:28" x14ac:dyDescent="0.3">
      <c r="A503" s="1" t="s">
        <v>33</v>
      </c>
      <c r="B503" s="1" t="s">
        <v>48</v>
      </c>
      <c r="C503">
        <v>3</v>
      </c>
      <c r="D503">
        <v>4</v>
      </c>
      <c r="E503">
        <v>2067</v>
      </c>
      <c r="F503">
        <v>6172</v>
      </c>
      <c r="G503">
        <v>2</v>
      </c>
      <c r="H503">
        <v>1998</v>
      </c>
      <c r="I503">
        <v>1998</v>
      </c>
      <c r="J503" s="1" t="s">
        <v>30</v>
      </c>
      <c r="K503">
        <v>1</v>
      </c>
      <c r="L503" s="1" t="s">
        <v>31</v>
      </c>
      <c r="M503" s="1" t="s">
        <v>24</v>
      </c>
      <c r="N503" s="1" t="s">
        <v>35</v>
      </c>
      <c r="O503">
        <v>0</v>
      </c>
      <c r="P503">
        <v>1</v>
      </c>
      <c r="Q503" s="1" t="s">
        <v>57</v>
      </c>
      <c r="R503">
        <v>3</v>
      </c>
      <c r="S503" s="1" t="s">
        <v>27</v>
      </c>
      <c r="T503">
        <v>17949500</v>
      </c>
      <c r="U503" t="s">
        <v>184</v>
      </c>
      <c r="V503" s="1" t="s">
        <v>171</v>
      </c>
      <c r="W503" s="1" t="s">
        <v>172</v>
      </c>
      <c r="X503" s="1" t="str">
        <f>VLOOKUP(V503,Broker_Directory!A:C,3,FALSE)</f>
        <v>Tier B</v>
      </c>
      <c r="Y503" s="1">
        <f>HLOOKUP(X503, Commission_Rates!A$1:C$2, 2, FALSE)</f>
        <v>1.4999999999999999E-2</v>
      </c>
      <c r="Z503" s="1">
        <f t="shared" si="21"/>
        <v>269242.5</v>
      </c>
      <c r="AA503" s="1">
        <f t="shared" si="22"/>
        <v>538485</v>
      </c>
      <c r="AB503" s="1">
        <f t="shared" si="23"/>
        <v>269242.5</v>
      </c>
    </row>
    <row r="504" spans="1:28" x14ac:dyDescent="0.3">
      <c r="A504" s="1" t="s">
        <v>28</v>
      </c>
      <c r="B504" s="1" t="s">
        <v>60</v>
      </c>
      <c r="C504">
        <v>5</v>
      </c>
      <c r="D504">
        <v>4</v>
      </c>
      <c r="E504">
        <v>3064</v>
      </c>
      <c r="F504">
        <v>6574</v>
      </c>
      <c r="G504">
        <v>3</v>
      </c>
      <c r="H504">
        <v>2010</v>
      </c>
      <c r="I504">
        <v>2020</v>
      </c>
      <c r="J504" s="1" t="s">
        <v>22</v>
      </c>
      <c r="K504">
        <v>3</v>
      </c>
      <c r="L504" s="1" t="s">
        <v>23</v>
      </c>
      <c r="M504" s="1" t="s">
        <v>27</v>
      </c>
      <c r="N504" s="1" t="s">
        <v>46</v>
      </c>
      <c r="O504">
        <v>3</v>
      </c>
      <c r="P504">
        <v>5</v>
      </c>
      <c r="Q504" s="1" t="s">
        <v>136</v>
      </c>
      <c r="R504">
        <v>0</v>
      </c>
      <c r="S504" s="1" t="s">
        <v>24</v>
      </c>
      <c r="T504">
        <v>31120000</v>
      </c>
      <c r="U504" t="s">
        <v>183</v>
      </c>
      <c r="V504" s="1" t="s">
        <v>179</v>
      </c>
      <c r="W504" s="1" t="s">
        <v>180</v>
      </c>
      <c r="X504" s="1" t="str">
        <f>VLOOKUP(V504,Broker_Directory!A:C,3,FALSE)</f>
        <v>Tier B</v>
      </c>
      <c r="Y504" s="1">
        <f>HLOOKUP(X504, Commission_Rates!A$1:C$2, 2, FALSE)</f>
        <v>1.4999999999999999E-2</v>
      </c>
      <c r="Z504" s="1">
        <f t="shared" si="21"/>
        <v>0</v>
      </c>
      <c r="AA504" s="1">
        <f t="shared" si="22"/>
        <v>0</v>
      </c>
      <c r="AB504" s="1">
        <f t="shared" si="23"/>
        <v>0</v>
      </c>
    </row>
    <row r="505" spans="1:28" x14ac:dyDescent="0.3">
      <c r="A505" s="1" t="s">
        <v>53</v>
      </c>
      <c r="B505" s="1" t="s">
        <v>100</v>
      </c>
      <c r="C505">
        <v>1</v>
      </c>
      <c r="D505">
        <v>3</v>
      </c>
      <c r="E505">
        <v>4048</v>
      </c>
      <c r="F505">
        <v>9460</v>
      </c>
      <c r="G505">
        <v>1</v>
      </c>
      <c r="H505">
        <v>2023</v>
      </c>
      <c r="I505">
        <v>2023</v>
      </c>
      <c r="J505" s="1" t="s">
        <v>22</v>
      </c>
      <c r="K505">
        <v>3</v>
      </c>
      <c r="L505" s="1" t="s">
        <v>64</v>
      </c>
      <c r="M505" s="1" t="s">
        <v>24</v>
      </c>
      <c r="N505" s="1" t="s">
        <v>25</v>
      </c>
      <c r="O505">
        <v>3</v>
      </c>
      <c r="P505">
        <v>5</v>
      </c>
      <c r="Q505" s="1" t="s">
        <v>101</v>
      </c>
      <c r="R505">
        <v>0</v>
      </c>
      <c r="S505" s="1" t="s">
        <v>27</v>
      </c>
      <c r="T505">
        <v>36692000</v>
      </c>
      <c r="U505" t="s">
        <v>184</v>
      </c>
      <c r="V505" s="1" t="s">
        <v>171</v>
      </c>
      <c r="W505" s="1" t="s">
        <v>172</v>
      </c>
      <c r="X505" s="1" t="str">
        <f>VLOOKUP(V505,Broker_Directory!A:C,3,FALSE)</f>
        <v>Tier B</v>
      </c>
      <c r="Y505" s="1">
        <f>HLOOKUP(X505, Commission_Rates!A$1:C$2, 2, FALSE)</f>
        <v>1.4999999999999999E-2</v>
      </c>
      <c r="Z505" s="1">
        <f t="shared" si="21"/>
        <v>550380</v>
      </c>
      <c r="AA505" s="1">
        <f t="shared" si="22"/>
        <v>1100760</v>
      </c>
      <c r="AB505" s="1">
        <f t="shared" si="23"/>
        <v>550380</v>
      </c>
    </row>
    <row r="506" spans="1:28" x14ac:dyDescent="0.3">
      <c r="A506" s="1" t="s">
        <v>33</v>
      </c>
      <c r="B506" s="1" t="s">
        <v>48</v>
      </c>
      <c r="C506">
        <v>2</v>
      </c>
      <c r="D506">
        <v>4</v>
      </c>
      <c r="E506">
        <v>3798</v>
      </c>
      <c r="F506">
        <v>9414</v>
      </c>
      <c r="G506">
        <v>1</v>
      </c>
      <c r="H506">
        <v>1957</v>
      </c>
      <c r="I506">
        <v>1968</v>
      </c>
      <c r="J506" s="1" t="s">
        <v>30</v>
      </c>
      <c r="K506">
        <v>3</v>
      </c>
      <c r="L506" s="1" t="s">
        <v>31</v>
      </c>
      <c r="M506" s="1" t="s">
        <v>24</v>
      </c>
      <c r="N506" s="1" t="s">
        <v>25</v>
      </c>
      <c r="O506">
        <v>8</v>
      </c>
      <c r="P506">
        <v>5</v>
      </c>
      <c r="Q506" s="1" t="s">
        <v>68</v>
      </c>
      <c r="R506">
        <v>3</v>
      </c>
      <c r="S506" s="1" t="s">
        <v>24</v>
      </c>
      <c r="T506">
        <v>32718000</v>
      </c>
      <c r="U506" t="s">
        <v>182</v>
      </c>
      <c r="V506" s="1" t="s">
        <v>179</v>
      </c>
      <c r="W506" s="1" t="s">
        <v>180</v>
      </c>
      <c r="X506" s="1" t="str">
        <f>VLOOKUP(V506,Broker_Directory!A:C,3,FALSE)</f>
        <v>Tier B</v>
      </c>
      <c r="Y506" s="1">
        <f>HLOOKUP(X506, Commission_Rates!A$1:C$2, 2, FALSE)</f>
        <v>1.4999999999999999E-2</v>
      </c>
      <c r="Z506" s="1">
        <f t="shared" si="21"/>
        <v>0</v>
      </c>
      <c r="AA506" s="1">
        <f t="shared" si="22"/>
        <v>0</v>
      </c>
      <c r="AB506" s="1">
        <f t="shared" si="23"/>
        <v>0</v>
      </c>
    </row>
    <row r="507" spans="1:28" x14ac:dyDescent="0.3">
      <c r="A507" s="1" t="s">
        <v>37</v>
      </c>
      <c r="B507" s="1" t="s">
        <v>62</v>
      </c>
      <c r="C507">
        <v>1</v>
      </c>
      <c r="D507">
        <v>1</v>
      </c>
      <c r="E507">
        <v>2273</v>
      </c>
      <c r="F507">
        <v>5572</v>
      </c>
      <c r="G507">
        <v>2</v>
      </c>
      <c r="H507">
        <v>1988</v>
      </c>
      <c r="I507">
        <v>2025</v>
      </c>
      <c r="J507" s="1" t="s">
        <v>52</v>
      </c>
      <c r="K507">
        <v>3</v>
      </c>
      <c r="L507" s="1" t="s">
        <v>23</v>
      </c>
      <c r="M507" s="1" t="s">
        <v>27</v>
      </c>
      <c r="N507" s="1" t="s">
        <v>35</v>
      </c>
      <c r="O507">
        <v>6</v>
      </c>
      <c r="P507">
        <v>2</v>
      </c>
      <c r="Q507" s="1" t="s">
        <v>97</v>
      </c>
      <c r="R507">
        <v>2</v>
      </c>
      <c r="S507" s="1" t="s">
        <v>24</v>
      </c>
      <c r="T507">
        <v>18384000</v>
      </c>
      <c r="U507" t="s">
        <v>184</v>
      </c>
      <c r="V507" s="1" t="s">
        <v>168</v>
      </c>
      <c r="W507" s="1" t="s">
        <v>169</v>
      </c>
      <c r="X507" s="1" t="str">
        <f>VLOOKUP(V507,Broker_Directory!A:C,3,FALSE)</f>
        <v>Tier A</v>
      </c>
      <c r="Y507" s="1">
        <f>HLOOKUP(X507, Commission_Rates!A$1:C$2, 2, FALSE)</f>
        <v>0.02</v>
      </c>
      <c r="Z507" s="1">
        <f t="shared" si="21"/>
        <v>367680</v>
      </c>
      <c r="AA507" s="1">
        <f t="shared" si="22"/>
        <v>551520</v>
      </c>
      <c r="AB507" s="1">
        <f t="shared" si="23"/>
        <v>183840</v>
      </c>
    </row>
    <row r="508" spans="1:28" x14ac:dyDescent="0.3">
      <c r="A508" s="1" t="s">
        <v>20</v>
      </c>
      <c r="B508" s="1" t="s">
        <v>21</v>
      </c>
      <c r="C508">
        <v>1</v>
      </c>
      <c r="D508">
        <v>1</v>
      </c>
      <c r="E508">
        <v>4307</v>
      </c>
      <c r="F508">
        <v>9611</v>
      </c>
      <c r="G508">
        <v>3</v>
      </c>
      <c r="H508">
        <v>2015</v>
      </c>
      <c r="I508">
        <v>2017</v>
      </c>
      <c r="J508" s="1" t="s">
        <v>58</v>
      </c>
      <c r="K508">
        <v>3</v>
      </c>
      <c r="L508" s="1" t="s">
        <v>64</v>
      </c>
      <c r="M508" s="1" t="s">
        <v>24</v>
      </c>
      <c r="N508" s="1" t="s">
        <v>35</v>
      </c>
      <c r="O508">
        <v>2</v>
      </c>
      <c r="P508">
        <v>3</v>
      </c>
      <c r="Q508" s="1" t="s">
        <v>102</v>
      </c>
      <c r="R508">
        <v>3</v>
      </c>
      <c r="S508" s="1" t="s">
        <v>27</v>
      </c>
      <c r="T508">
        <v>51894000</v>
      </c>
      <c r="U508" t="s">
        <v>184</v>
      </c>
      <c r="V508" s="1" t="s">
        <v>168</v>
      </c>
      <c r="W508" s="1" t="s">
        <v>169</v>
      </c>
      <c r="X508" s="1" t="str">
        <f>VLOOKUP(V508,Broker_Directory!A:C,3,FALSE)</f>
        <v>Tier A</v>
      </c>
      <c r="Y508" s="1">
        <f>HLOOKUP(X508, Commission_Rates!A$1:C$2, 2, FALSE)</f>
        <v>0.02</v>
      </c>
      <c r="Z508" s="1">
        <f t="shared" si="21"/>
        <v>1037880</v>
      </c>
      <c r="AA508" s="1">
        <f t="shared" si="22"/>
        <v>1556820</v>
      </c>
      <c r="AB508" s="1">
        <f t="shared" si="23"/>
        <v>518940</v>
      </c>
    </row>
    <row r="509" spans="1:28" x14ac:dyDescent="0.3">
      <c r="A509" s="1" t="s">
        <v>33</v>
      </c>
      <c r="B509" s="1" t="s">
        <v>75</v>
      </c>
      <c r="C509">
        <v>1</v>
      </c>
      <c r="D509">
        <v>3</v>
      </c>
      <c r="E509">
        <v>820</v>
      </c>
      <c r="F509">
        <v>9676</v>
      </c>
      <c r="G509">
        <v>1</v>
      </c>
      <c r="H509">
        <v>2001</v>
      </c>
      <c r="I509">
        <v>2022</v>
      </c>
      <c r="J509" s="1" t="s">
        <v>58</v>
      </c>
      <c r="K509">
        <v>3</v>
      </c>
      <c r="L509" s="1" t="s">
        <v>41</v>
      </c>
      <c r="M509" s="1" t="s">
        <v>24</v>
      </c>
      <c r="N509" s="1" t="s">
        <v>35</v>
      </c>
      <c r="O509">
        <v>9</v>
      </c>
      <c r="P509">
        <v>4</v>
      </c>
      <c r="Q509" s="1" t="s">
        <v>76</v>
      </c>
      <c r="R509">
        <v>1</v>
      </c>
      <c r="S509" s="1" t="s">
        <v>24</v>
      </c>
      <c r="T509">
        <v>7220000</v>
      </c>
      <c r="U509" t="s">
        <v>182</v>
      </c>
      <c r="V509" s="1" t="s">
        <v>176</v>
      </c>
      <c r="W509" s="1" t="s">
        <v>177</v>
      </c>
      <c r="X509" s="1" t="str">
        <f>VLOOKUP(V509,Broker_Directory!A:C,3,FALSE)</f>
        <v>Tier C</v>
      </c>
      <c r="Y509" s="1">
        <f>HLOOKUP(X509, Commission_Rates!A$1:C$2, 2, FALSE)</f>
        <v>0.01</v>
      </c>
      <c r="Z509" s="1">
        <f t="shared" si="21"/>
        <v>0</v>
      </c>
      <c r="AA509" s="1">
        <f t="shared" si="22"/>
        <v>0</v>
      </c>
      <c r="AB509" s="1">
        <f t="shared" si="23"/>
        <v>0</v>
      </c>
    </row>
    <row r="510" spans="1:28" x14ac:dyDescent="0.3">
      <c r="A510" s="1" t="s">
        <v>28</v>
      </c>
      <c r="B510" s="1" t="s">
        <v>95</v>
      </c>
      <c r="C510">
        <v>2</v>
      </c>
      <c r="D510">
        <v>1</v>
      </c>
      <c r="E510">
        <v>4844</v>
      </c>
      <c r="F510">
        <v>8557</v>
      </c>
      <c r="G510">
        <v>2</v>
      </c>
      <c r="H510">
        <v>1965</v>
      </c>
      <c r="I510">
        <v>1966</v>
      </c>
      <c r="J510" s="1" t="s">
        <v>52</v>
      </c>
      <c r="K510">
        <v>1</v>
      </c>
      <c r="L510" s="1" t="s">
        <v>31</v>
      </c>
      <c r="M510" s="1" t="s">
        <v>24</v>
      </c>
      <c r="N510" s="1" t="s">
        <v>35</v>
      </c>
      <c r="O510">
        <v>4</v>
      </c>
      <c r="P510">
        <v>0</v>
      </c>
      <c r="Q510" s="1" t="s">
        <v>126</v>
      </c>
      <c r="R510">
        <v>0</v>
      </c>
      <c r="S510" s="1" t="s">
        <v>27</v>
      </c>
      <c r="T510">
        <v>48635000</v>
      </c>
      <c r="U510" t="s">
        <v>182</v>
      </c>
      <c r="V510" s="1" t="s">
        <v>168</v>
      </c>
      <c r="W510" s="1" t="s">
        <v>169</v>
      </c>
      <c r="X510" s="1" t="str">
        <f>VLOOKUP(V510,Broker_Directory!A:C,3,FALSE)</f>
        <v>Tier A</v>
      </c>
      <c r="Y510" s="1">
        <f>HLOOKUP(X510, Commission_Rates!A$1:C$2, 2, FALSE)</f>
        <v>0.02</v>
      </c>
      <c r="Z510" s="1">
        <f t="shared" si="21"/>
        <v>0</v>
      </c>
      <c r="AA510" s="1">
        <f t="shared" si="22"/>
        <v>0</v>
      </c>
      <c r="AB510" s="1">
        <f t="shared" si="23"/>
        <v>0</v>
      </c>
    </row>
    <row r="511" spans="1:28" x14ac:dyDescent="0.3">
      <c r="A511" s="1" t="s">
        <v>53</v>
      </c>
      <c r="B511" s="1" t="s">
        <v>100</v>
      </c>
      <c r="C511">
        <v>2</v>
      </c>
      <c r="D511">
        <v>4</v>
      </c>
      <c r="E511">
        <v>300</v>
      </c>
      <c r="F511">
        <v>4418</v>
      </c>
      <c r="G511">
        <v>2</v>
      </c>
      <c r="H511">
        <v>1955</v>
      </c>
      <c r="I511">
        <v>2020</v>
      </c>
      <c r="J511" s="1" t="s">
        <v>30</v>
      </c>
      <c r="K511">
        <v>3</v>
      </c>
      <c r="L511" s="1" t="s">
        <v>31</v>
      </c>
      <c r="M511" s="1" t="s">
        <v>27</v>
      </c>
      <c r="N511" s="1" t="s">
        <v>35</v>
      </c>
      <c r="O511">
        <v>5</v>
      </c>
      <c r="P511">
        <v>4</v>
      </c>
      <c r="Q511" s="1" t="s">
        <v>151</v>
      </c>
      <c r="R511">
        <v>1</v>
      </c>
      <c r="S511" s="1" t="s">
        <v>24</v>
      </c>
      <c r="T511">
        <v>3025000</v>
      </c>
      <c r="U511" t="s">
        <v>183</v>
      </c>
      <c r="V511" s="1" t="s">
        <v>179</v>
      </c>
      <c r="W511" s="1" t="s">
        <v>180</v>
      </c>
      <c r="X511" s="1" t="str">
        <f>VLOOKUP(V511,Broker_Directory!A:C,3,FALSE)</f>
        <v>Tier B</v>
      </c>
      <c r="Y511" s="1">
        <f>HLOOKUP(X511, Commission_Rates!A$1:C$2, 2, FALSE)</f>
        <v>1.4999999999999999E-2</v>
      </c>
      <c r="Z511" s="1">
        <f t="shared" si="21"/>
        <v>0</v>
      </c>
      <c r="AA511" s="1">
        <f t="shared" si="22"/>
        <v>0</v>
      </c>
      <c r="AB511" s="1">
        <f t="shared" si="23"/>
        <v>0</v>
      </c>
    </row>
    <row r="512" spans="1:28" x14ac:dyDescent="0.3">
      <c r="A512" s="1" t="s">
        <v>20</v>
      </c>
      <c r="B512" s="1" t="s">
        <v>40</v>
      </c>
      <c r="C512">
        <v>1</v>
      </c>
      <c r="D512">
        <v>2</v>
      </c>
      <c r="E512">
        <v>1460</v>
      </c>
      <c r="F512">
        <v>6420</v>
      </c>
      <c r="G512">
        <v>1</v>
      </c>
      <c r="H512">
        <v>1967</v>
      </c>
      <c r="I512">
        <v>2004</v>
      </c>
      <c r="J512" s="1" t="s">
        <v>52</v>
      </c>
      <c r="K512">
        <v>2</v>
      </c>
      <c r="L512" s="1" t="s">
        <v>64</v>
      </c>
      <c r="M512" s="1" t="s">
        <v>24</v>
      </c>
      <c r="N512" s="1" t="s">
        <v>35</v>
      </c>
      <c r="O512">
        <v>9</v>
      </c>
      <c r="P512">
        <v>3</v>
      </c>
      <c r="Q512" s="1" t="s">
        <v>115</v>
      </c>
      <c r="R512">
        <v>2</v>
      </c>
      <c r="S512" s="1" t="s">
        <v>27</v>
      </c>
      <c r="T512">
        <v>17705000</v>
      </c>
      <c r="U512" t="s">
        <v>183</v>
      </c>
      <c r="V512" s="1" t="s">
        <v>168</v>
      </c>
      <c r="W512" s="1" t="s">
        <v>169</v>
      </c>
      <c r="X512" s="1" t="str">
        <f>VLOOKUP(V512,Broker_Directory!A:C,3,FALSE)</f>
        <v>Tier A</v>
      </c>
      <c r="Y512" s="1">
        <f>HLOOKUP(X512, Commission_Rates!A$1:C$2, 2, FALSE)</f>
        <v>0.02</v>
      </c>
      <c r="Z512" s="1">
        <f t="shared" si="21"/>
        <v>0</v>
      </c>
      <c r="AA512" s="1">
        <f t="shared" si="22"/>
        <v>0</v>
      </c>
      <c r="AB512" s="1">
        <f t="shared" si="23"/>
        <v>0</v>
      </c>
    </row>
    <row r="513" spans="1:28" x14ac:dyDescent="0.3">
      <c r="A513" s="1" t="s">
        <v>37</v>
      </c>
      <c r="B513" s="1" t="s">
        <v>62</v>
      </c>
      <c r="C513">
        <v>4</v>
      </c>
      <c r="D513">
        <v>4</v>
      </c>
      <c r="E513">
        <v>982</v>
      </c>
      <c r="F513">
        <v>5196</v>
      </c>
      <c r="G513">
        <v>3</v>
      </c>
      <c r="H513">
        <v>2004</v>
      </c>
      <c r="I513">
        <v>2025</v>
      </c>
      <c r="J513" s="1" t="s">
        <v>52</v>
      </c>
      <c r="K513">
        <v>1</v>
      </c>
      <c r="L513" s="1" t="s">
        <v>23</v>
      </c>
      <c r="M513" s="1" t="s">
        <v>27</v>
      </c>
      <c r="N513" s="1" t="s">
        <v>35</v>
      </c>
      <c r="O513">
        <v>10</v>
      </c>
      <c r="P513">
        <v>1</v>
      </c>
      <c r="Q513" s="1" t="s">
        <v>159</v>
      </c>
      <c r="R513">
        <v>1</v>
      </c>
      <c r="S513" s="1" t="s">
        <v>27</v>
      </c>
      <c r="T513">
        <v>8251000</v>
      </c>
      <c r="U513" t="s">
        <v>184</v>
      </c>
      <c r="V513" s="1" t="s">
        <v>179</v>
      </c>
      <c r="W513" s="1" t="s">
        <v>180</v>
      </c>
      <c r="X513" s="1" t="str">
        <f>VLOOKUP(V513,Broker_Directory!A:C,3,FALSE)</f>
        <v>Tier B</v>
      </c>
      <c r="Y513" s="1">
        <f>HLOOKUP(X513, Commission_Rates!A$1:C$2, 2, FALSE)</f>
        <v>1.4999999999999999E-2</v>
      </c>
      <c r="Z513" s="1">
        <f t="shared" si="21"/>
        <v>123765</v>
      </c>
      <c r="AA513" s="1">
        <f t="shared" si="22"/>
        <v>247530</v>
      </c>
      <c r="AB513" s="1">
        <f t="shared" si="23"/>
        <v>123765</v>
      </c>
    </row>
    <row r="514" spans="1:28" x14ac:dyDescent="0.3">
      <c r="A514" s="1" t="s">
        <v>28</v>
      </c>
      <c r="B514" s="1" t="s">
        <v>79</v>
      </c>
      <c r="C514">
        <v>4</v>
      </c>
      <c r="D514">
        <v>4</v>
      </c>
      <c r="E514">
        <v>512</v>
      </c>
      <c r="F514">
        <v>4617</v>
      </c>
      <c r="G514">
        <v>1</v>
      </c>
      <c r="H514">
        <v>1984</v>
      </c>
      <c r="I514">
        <v>1990</v>
      </c>
      <c r="J514" s="1" t="s">
        <v>58</v>
      </c>
      <c r="K514">
        <v>3</v>
      </c>
      <c r="L514" s="1" t="s">
        <v>23</v>
      </c>
      <c r="M514" s="1" t="s">
        <v>27</v>
      </c>
      <c r="N514" s="1" t="s">
        <v>35</v>
      </c>
      <c r="O514">
        <v>1</v>
      </c>
      <c r="P514">
        <v>2</v>
      </c>
      <c r="Q514" s="1" t="s">
        <v>92</v>
      </c>
      <c r="R514">
        <v>2</v>
      </c>
      <c r="S514" s="1" t="s">
        <v>24</v>
      </c>
      <c r="T514">
        <v>5540000</v>
      </c>
      <c r="U514" t="s">
        <v>183</v>
      </c>
      <c r="V514" s="1" t="s">
        <v>171</v>
      </c>
      <c r="W514" s="1" t="s">
        <v>172</v>
      </c>
      <c r="X514" s="1" t="str">
        <f>VLOOKUP(V514,Broker_Directory!A:C,3,FALSE)</f>
        <v>Tier B</v>
      </c>
      <c r="Y514" s="1">
        <f>HLOOKUP(X514, Commission_Rates!A$1:C$2, 2, FALSE)</f>
        <v>1.4999999999999999E-2</v>
      </c>
      <c r="Z514" s="1">
        <f t="shared" ref="Z514:Z577" si="24">IF(U514="Sold",T514*Y514,0)</f>
        <v>0</v>
      </c>
      <c r="AA514" s="1">
        <f t="shared" ref="AA514:AA577" si="25">IF(U514="Sold", T514 * 0.03, 0)</f>
        <v>0</v>
      </c>
      <c r="AB514" s="1">
        <f t="shared" ref="AB514:AB577" si="26">AA514 - Z514</f>
        <v>0</v>
      </c>
    </row>
    <row r="515" spans="1:28" x14ac:dyDescent="0.3">
      <c r="A515" s="1" t="s">
        <v>28</v>
      </c>
      <c r="B515" s="1" t="s">
        <v>79</v>
      </c>
      <c r="C515">
        <v>1</v>
      </c>
      <c r="D515">
        <v>1</v>
      </c>
      <c r="E515">
        <v>3389</v>
      </c>
      <c r="F515">
        <v>5259</v>
      </c>
      <c r="G515">
        <v>2</v>
      </c>
      <c r="H515">
        <v>1963</v>
      </c>
      <c r="I515">
        <v>1977</v>
      </c>
      <c r="J515" s="1" t="s">
        <v>52</v>
      </c>
      <c r="K515">
        <v>2</v>
      </c>
      <c r="L515" s="1" t="s">
        <v>41</v>
      </c>
      <c r="M515" s="1" t="s">
        <v>24</v>
      </c>
      <c r="N515" s="1" t="s">
        <v>35</v>
      </c>
      <c r="O515">
        <v>5</v>
      </c>
      <c r="P515">
        <v>5</v>
      </c>
      <c r="Q515" s="1" t="s">
        <v>92</v>
      </c>
      <c r="R515">
        <v>2</v>
      </c>
      <c r="S515" s="1" t="s">
        <v>24</v>
      </c>
      <c r="T515">
        <v>34115000</v>
      </c>
      <c r="U515" t="s">
        <v>182</v>
      </c>
      <c r="V515" s="1" t="s">
        <v>174</v>
      </c>
      <c r="W515" s="1" t="s">
        <v>175</v>
      </c>
      <c r="X515" s="1" t="str">
        <f>VLOOKUP(V515,Broker_Directory!A:C,3,FALSE)</f>
        <v>Tier A</v>
      </c>
      <c r="Y515" s="1">
        <f>HLOOKUP(X515, Commission_Rates!A$1:C$2, 2, FALSE)</f>
        <v>0.02</v>
      </c>
      <c r="Z515" s="1">
        <f t="shared" si="24"/>
        <v>0</v>
      </c>
      <c r="AA515" s="1">
        <f t="shared" si="25"/>
        <v>0</v>
      </c>
      <c r="AB515" s="1">
        <f t="shared" si="26"/>
        <v>0</v>
      </c>
    </row>
    <row r="516" spans="1:28" x14ac:dyDescent="0.3">
      <c r="A516" s="1" t="s">
        <v>20</v>
      </c>
      <c r="B516" s="1" t="s">
        <v>40</v>
      </c>
      <c r="C516">
        <v>3</v>
      </c>
      <c r="D516">
        <v>4</v>
      </c>
      <c r="E516">
        <v>1780</v>
      </c>
      <c r="F516">
        <v>4657</v>
      </c>
      <c r="G516">
        <v>3</v>
      </c>
      <c r="H516">
        <v>2018</v>
      </c>
      <c r="I516">
        <v>2025</v>
      </c>
      <c r="J516" s="1" t="s">
        <v>22</v>
      </c>
      <c r="K516">
        <v>3</v>
      </c>
      <c r="L516" s="1" t="s">
        <v>31</v>
      </c>
      <c r="M516" s="1" t="s">
        <v>27</v>
      </c>
      <c r="N516" s="1" t="s">
        <v>25</v>
      </c>
      <c r="O516">
        <v>10</v>
      </c>
      <c r="P516">
        <v>4</v>
      </c>
      <c r="Q516" s="1" t="s">
        <v>143</v>
      </c>
      <c r="R516">
        <v>1</v>
      </c>
      <c r="S516" s="1" t="s">
        <v>24</v>
      </c>
      <c r="T516">
        <v>21830000</v>
      </c>
      <c r="U516" t="s">
        <v>182</v>
      </c>
      <c r="V516" s="1" t="s">
        <v>171</v>
      </c>
      <c r="W516" s="1" t="s">
        <v>172</v>
      </c>
      <c r="X516" s="1" t="str">
        <f>VLOOKUP(V516,Broker_Directory!A:C,3,FALSE)</f>
        <v>Tier B</v>
      </c>
      <c r="Y516" s="1">
        <f>HLOOKUP(X516, Commission_Rates!A$1:C$2, 2, FALSE)</f>
        <v>1.4999999999999999E-2</v>
      </c>
      <c r="Z516" s="1">
        <f t="shared" si="24"/>
        <v>0</v>
      </c>
      <c r="AA516" s="1">
        <f t="shared" si="25"/>
        <v>0</v>
      </c>
      <c r="AB516" s="1">
        <f t="shared" si="26"/>
        <v>0</v>
      </c>
    </row>
    <row r="517" spans="1:28" x14ac:dyDescent="0.3">
      <c r="A517" s="1" t="s">
        <v>37</v>
      </c>
      <c r="B517" s="1" t="s">
        <v>45</v>
      </c>
      <c r="C517">
        <v>3</v>
      </c>
      <c r="D517">
        <v>1</v>
      </c>
      <c r="E517">
        <v>3332</v>
      </c>
      <c r="F517">
        <v>9177</v>
      </c>
      <c r="G517">
        <v>1</v>
      </c>
      <c r="H517">
        <v>2003</v>
      </c>
      <c r="I517">
        <v>2024</v>
      </c>
      <c r="J517" s="1" t="s">
        <v>22</v>
      </c>
      <c r="K517">
        <v>1</v>
      </c>
      <c r="L517" s="1" t="s">
        <v>41</v>
      </c>
      <c r="M517" s="1" t="s">
        <v>27</v>
      </c>
      <c r="N517" s="1" t="s">
        <v>46</v>
      </c>
      <c r="O517">
        <v>8</v>
      </c>
      <c r="P517">
        <v>2</v>
      </c>
      <c r="Q517" s="1" t="s">
        <v>77</v>
      </c>
      <c r="R517">
        <v>3</v>
      </c>
      <c r="S517" s="1" t="s">
        <v>24</v>
      </c>
      <c r="T517">
        <v>26951000</v>
      </c>
      <c r="U517" t="s">
        <v>184</v>
      </c>
      <c r="V517" s="1" t="s">
        <v>174</v>
      </c>
      <c r="W517" s="1" t="s">
        <v>175</v>
      </c>
      <c r="X517" s="1" t="str">
        <f>VLOOKUP(V517,Broker_Directory!A:C,3,FALSE)</f>
        <v>Tier A</v>
      </c>
      <c r="Y517" s="1">
        <f>HLOOKUP(X517, Commission_Rates!A$1:C$2, 2, FALSE)</f>
        <v>0.02</v>
      </c>
      <c r="Z517" s="1">
        <f t="shared" si="24"/>
        <v>539020</v>
      </c>
      <c r="AA517" s="1">
        <f t="shared" si="25"/>
        <v>808530</v>
      </c>
      <c r="AB517" s="1">
        <f t="shared" si="26"/>
        <v>269510</v>
      </c>
    </row>
    <row r="518" spans="1:28" x14ac:dyDescent="0.3">
      <c r="A518" s="1" t="s">
        <v>53</v>
      </c>
      <c r="B518" s="1" t="s">
        <v>105</v>
      </c>
      <c r="C518">
        <v>3</v>
      </c>
      <c r="D518">
        <v>4</v>
      </c>
      <c r="E518">
        <v>2861</v>
      </c>
      <c r="F518">
        <v>9835</v>
      </c>
      <c r="G518">
        <v>1</v>
      </c>
      <c r="H518">
        <v>1960</v>
      </c>
      <c r="I518">
        <v>1968</v>
      </c>
      <c r="J518" s="1" t="s">
        <v>52</v>
      </c>
      <c r="K518">
        <v>0</v>
      </c>
      <c r="L518" s="1" t="s">
        <v>31</v>
      </c>
      <c r="M518" s="1" t="s">
        <v>24</v>
      </c>
      <c r="N518" s="1" t="s">
        <v>25</v>
      </c>
      <c r="O518">
        <v>4</v>
      </c>
      <c r="P518">
        <v>4</v>
      </c>
      <c r="Q518" s="1" t="s">
        <v>106</v>
      </c>
      <c r="R518">
        <v>0</v>
      </c>
      <c r="S518" s="1" t="s">
        <v>27</v>
      </c>
      <c r="T518">
        <v>26139000</v>
      </c>
      <c r="U518" t="s">
        <v>183</v>
      </c>
      <c r="V518" s="1" t="s">
        <v>176</v>
      </c>
      <c r="W518" s="1" t="s">
        <v>177</v>
      </c>
      <c r="X518" s="1" t="str">
        <f>VLOOKUP(V518,Broker_Directory!A:C,3,FALSE)</f>
        <v>Tier C</v>
      </c>
      <c r="Y518" s="1">
        <f>HLOOKUP(X518, Commission_Rates!A$1:C$2, 2, FALSE)</f>
        <v>0.01</v>
      </c>
      <c r="Z518" s="1">
        <f t="shared" si="24"/>
        <v>0</v>
      </c>
      <c r="AA518" s="1">
        <f t="shared" si="25"/>
        <v>0</v>
      </c>
      <c r="AB518" s="1">
        <f t="shared" si="26"/>
        <v>0</v>
      </c>
    </row>
    <row r="519" spans="1:28" x14ac:dyDescent="0.3">
      <c r="A519" s="1" t="s">
        <v>33</v>
      </c>
      <c r="B519" s="1" t="s">
        <v>75</v>
      </c>
      <c r="C519">
        <v>4</v>
      </c>
      <c r="D519">
        <v>4</v>
      </c>
      <c r="E519">
        <v>4518</v>
      </c>
      <c r="F519">
        <v>8929</v>
      </c>
      <c r="G519">
        <v>3</v>
      </c>
      <c r="H519">
        <v>1965</v>
      </c>
      <c r="I519">
        <v>1989</v>
      </c>
      <c r="J519" s="1" t="s">
        <v>58</v>
      </c>
      <c r="K519">
        <v>1</v>
      </c>
      <c r="L519" s="1" t="s">
        <v>23</v>
      </c>
      <c r="M519" s="1" t="s">
        <v>27</v>
      </c>
      <c r="N519" s="1" t="s">
        <v>35</v>
      </c>
      <c r="O519">
        <v>8</v>
      </c>
      <c r="P519">
        <v>5</v>
      </c>
      <c r="Q519" s="1" t="s">
        <v>161</v>
      </c>
      <c r="R519">
        <v>1</v>
      </c>
      <c r="S519" s="1" t="s">
        <v>24</v>
      </c>
      <c r="T519">
        <v>38848000</v>
      </c>
      <c r="U519" t="s">
        <v>184</v>
      </c>
      <c r="V519" s="1" t="s">
        <v>168</v>
      </c>
      <c r="W519" s="1" t="s">
        <v>169</v>
      </c>
      <c r="X519" s="1" t="str">
        <f>VLOOKUP(V519,Broker_Directory!A:C,3,FALSE)</f>
        <v>Tier A</v>
      </c>
      <c r="Y519" s="1">
        <f>HLOOKUP(X519, Commission_Rates!A$1:C$2, 2, FALSE)</f>
        <v>0.02</v>
      </c>
      <c r="Z519" s="1">
        <f t="shared" si="24"/>
        <v>776960</v>
      </c>
      <c r="AA519" s="1">
        <f t="shared" si="25"/>
        <v>1165440</v>
      </c>
      <c r="AB519" s="1">
        <f t="shared" si="26"/>
        <v>388480</v>
      </c>
    </row>
    <row r="520" spans="1:28" x14ac:dyDescent="0.3">
      <c r="A520" s="1" t="s">
        <v>33</v>
      </c>
      <c r="B520" s="1" t="s">
        <v>98</v>
      </c>
      <c r="C520">
        <v>2</v>
      </c>
      <c r="D520">
        <v>2</v>
      </c>
      <c r="E520">
        <v>1732</v>
      </c>
      <c r="F520">
        <v>3012</v>
      </c>
      <c r="G520">
        <v>2</v>
      </c>
      <c r="H520">
        <v>1967</v>
      </c>
      <c r="I520">
        <v>1998</v>
      </c>
      <c r="J520" s="1" t="s">
        <v>30</v>
      </c>
      <c r="K520">
        <v>0</v>
      </c>
      <c r="L520" s="1" t="s">
        <v>41</v>
      </c>
      <c r="M520" s="1" t="s">
        <v>27</v>
      </c>
      <c r="N520" s="1" t="s">
        <v>46</v>
      </c>
      <c r="O520">
        <v>2</v>
      </c>
      <c r="P520">
        <v>2</v>
      </c>
      <c r="Q520" s="1" t="s">
        <v>145</v>
      </c>
      <c r="R520">
        <v>2</v>
      </c>
      <c r="S520" s="1" t="s">
        <v>24</v>
      </c>
      <c r="T520">
        <v>15002000</v>
      </c>
      <c r="U520" t="s">
        <v>184</v>
      </c>
      <c r="V520" s="1" t="s">
        <v>171</v>
      </c>
      <c r="W520" s="1" t="s">
        <v>172</v>
      </c>
      <c r="X520" s="1" t="str">
        <f>VLOOKUP(V520,Broker_Directory!A:C,3,FALSE)</f>
        <v>Tier B</v>
      </c>
      <c r="Y520" s="1">
        <f>HLOOKUP(X520, Commission_Rates!A$1:C$2, 2, FALSE)</f>
        <v>1.4999999999999999E-2</v>
      </c>
      <c r="Z520" s="1">
        <f t="shared" si="24"/>
        <v>225030</v>
      </c>
      <c r="AA520" s="1">
        <f t="shared" si="25"/>
        <v>450060</v>
      </c>
      <c r="AB520" s="1">
        <f t="shared" si="26"/>
        <v>225030</v>
      </c>
    </row>
    <row r="521" spans="1:28" x14ac:dyDescent="0.3">
      <c r="A521" s="1" t="s">
        <v>33</v>
      </c>
      <c r="B521" s="1" t="s">
        <v>48</v>
      </c>
      <c r="C521">
        <v>3</v>
      </c>
      <c r="D521">
        <v>3</v>
      </c>
      <c r="E521">
        <v>4257</v>
      </c>
      <c r="F521">
        <v>6711</v>
      </c>
      <c r="G521">
        <v>2</v>
      </c>
      <c r="H521">
        <v>1977</v>
      </c>
      <c r="I521">
        <v>0</v>
      </c>
      <c r="J521" s="1" t="s">
        <v>22</v>
      </c>
      <c r="K521">
        <v>1</v>
      </c>
      <c r="L521" s="1" t="s">
        <v>64</v>
      </c>
      <c r="M521" s="1" t="s">
        <v>24</v>
      </c>
      <c r="N521" s="1" t="s">
        <v>46</v>
      </c>
      <c r="O521">
        <v>9</v>
      </c>
      <c r="P521">
        <v>3</v>
      </c>
      <c r="Q521" s="1" t="s">
        <v>49</v>
      </c>
      <c r="R521">
        <v>2</v>
      </c>
      <c r="S521" s="1" t="s">
        <v>24</v>
      </c>
      <c r="T521">
        <v>36569500</v>
      </c>
      <c r="U521" t="s">
        <v>184</v>
      </c>
      <c r="V521" s="1" t="s">
        <v>179</v>
      </c>
      <c r="W521" s="1" t="s">
        <v>180</v>
      </c>
      <c r="X521" s="1" t="str">
        <f>VLOOKUP(V521,Broker_Directory!A:C,3,FALSE)</f>
        <v>Tier B</v>
      </c>
      <c r="Y521" s="1">
        <f>HLOOKUP(X521, Commission_Rates!A$1:C$2, 2, FALSE)</f>
        <v>1.4999999999999999E-2</v>
      </c>
      <c r="Z521" s="1">
        <f t="shared" si="24"/>
        <v>548542.5</v>
      </c>
      <c r="AA521" s="1">
        <f t="shared" si="25"/>
        <v>1097085</v>
      </c>
      <c r="AB521" s="1">
        <f t="shared" si="26"/>
        <v>548542.5</v>
      </c>
    </row>
    <row r="522" spans="1:28" x14ac:dyDescent="0.3">
      <c r="A522" s="1" t="s">
        <v>33</v>
      </c>
      <c r="B522" s="1" t="s">
        <v>98</v>
      </c>
      <c r="C522">
        <v>3</v>
      </c>
      <c r="D522">
        <v>3</v>
      </c>
      <c r="E522">
        <v>3199</v>
      </c>
      <c r="F522">
        <v>4126</v>
      </c>
      <c r="G522">
        <v>1</v>
      </c>
      <c r="H522">
        <v>1994</v>
      </c>
      <c r="I522">
        <v>2004</v>
      </c>
      <c r="J522" s="1" t="s">
        <v>22</v>
      </c>
      <c r="K522">
        <v>2</v>
      </c>
      <c r="L522" s="1" t="s">
        <v>23</v>
      </c>
      <c r="M522" s="1" t="s">
        <v>24</v>
      </c>
      <c r="N522" s="1" t="s">
        <v>46</v>
      </c>
      <c r="O522">
        <v>7</v>
      </c>
      <c r="P522">
        <v>1</v>
      </c>
      <c r="Q522" s="1" t="s">
        <v>145</v>
      </c>
      <c r="R522">
        <v>1</v>
      </c>
      <c r="S522" s="1" t="s">
        <v>27</v>
      </c>
      <c r="T522">
        <v>27491500</v>
      </c>
      <c r="U522" t="s">
        <v>182</v>
      </c>
      <c r="V522" s="1" t="s">
        <v>176</v>
      </c>
      <c r="W522" s="1" t="s">
        <v>177</v>
      </c>
      <c r="X522" s="1" t="str">
        <f>VLOOKUP(V522,Broker_Directory!A:C,3,FALSE)</f>
        <v>Tier C</v>
      </c>
      <c r="Y522" s="1">
        <f>HLOOKUP(X522, Commission_Rates!A$1:C$2, 2, FALSE)</f>
        <v>0.01</v>
      </c>
      <c r="Z522" s="1">
        <f t="shared" si="24"/>
        <v>0</v>
      </c>
      <c r="AA522" s="1">
        <f t="shared" si="25"/>
        <v>0</v>
      </c>
      <c r="AB522" s="1">
        <f t="shared" si="26"/>
        <v>0</v>
      </c>
    </row>
    <row r="523" spans="1:28" x14ac:dyDescent="0.3">
      <c r="A523" s="1" t="s">
        <v>20</v>
      </c>
      <c r="B523" s="1" t="s">
        <v>50</v>
      </c>
      <c r="C523">
        <v>1</v>
      </c>
      <c r="D523">
        <v>2</v>
      </c>
      <c r="E523">
        <v>2349</v>
      </c>
      <c r="F523">
        <v>4251</v>
      </c>
      <c r="G523">
        <v>2</v>
      </c>
      <c r="H523">
        <v>2000</v>
      </c>
      <c r="I523">
        <v>2010</v>
      </c>
      <c r="J523" s="1" t="s">
        <v>30</v>
      </c>
      <c r="K523">
        <v>2</v>
      </c>
      <c r="L523" s="1" t="s">
        <v>41</v>
      </c>
      <c r="M523" s="1" t="s">
        <v>24</v>
      </c>
      <c r="N523" s="1" t="s">
        <v>35</v>
      </c>
      <c r="O523">
        <v>4</v>
      </c>
      <c r="P523">
        <v>0</v>
      </c>
      <c r="Q523" s="1" t="s">
        <v>128</v>
      </c>
      <c r="R523">
        <v>3</v>
      </c>
      <c r="S523" s="1" t="s">
        <v>24</v>
      </c>
      <c r="T523">
        <v>28458000</v>
      </c>
      <c r="U523" t="s">
        <v>183</v>
      </c>
      <c r="V523" s="1" t="s">
        <v>171</v>
      </c>
      <c r="W523" s="1" t="s">
        <v>172</v>
      </c>
      <c r="X523" s="1" t="str">
        <f>VLOOKUP(V523,Broker_Directory!A:C,3,FALSE)</f>
        <v>Tier B</v>
      </c>
      <c r="Y523" s="1">
        <f>HLOOKUP(X523, Commission_Rates!A$1:C$2, 2, FALSE)</f>
        <v>1.4999999999999999E-2</v>
      </c>
      <c r="Z523" s="1">
        <f t="shared" si="24"/>
        <v>0</v>
      </c>
      <c r="AA523" s="1">
        <f t="shared" si="25"/>
        <v>0</v>
      </c>
      <c r="AB523" s="1">
        <f t="shared" si="26"/>
        <v>0</v>
      </c>
    </row>
    <row r="524" spans="1:28" x14ac:dyDescent="0.3">
      <c r="A524" s="1" t="s">
        <v>28</v>
      </c>
      <c r="B524" s="1" t="s">
        <v>79</v>
      </c>
      <c r="C524">
        <v>4</v>
      </c>
      <c r="D524">
        <v>1</v>
      </c>
      <c r="E524">
        <v>3242</v>
      </c>
      <c r="F524">
        <v>9101</v>
      </c>
      <c r="G524">
        <v>1</v>
      </c>
      <c r="H524">
        <v>1964</v>
      </c>
      <c r="I524">
        <v>1975</v>
      </c>
      <c r="J524" s="1" t="s">
        <v>30</v>
      </c>
      <c r="K524">
        <v>0</v>
      </c>
      <c r="L524" s="1" t="s">
        <v>31</v>
      </c>
      <c r="M524" s="1" t="s">
        <v>27</v>
      </c>
      <c r="N524" s="1" t="s">
        <v>46</v>
      </c>
      <c r="O524">
        <v>5</v>
      </c>
      <c r="P524">
        <v>0</v>
      </c>
      <c r="Q524" s="1" t="s">
        <v>139</v>
      </c>
      <c r="R524">
        <v>1</v>
      </c>
      <c r="S524" s="1" t="s">
        <v>27</v>
      </c>
      <c r="T524">
        <v>32685000</v>
      </c>
      <c r="U524" t="s">
        <v>184</v>
      </c>
      <c r="V524" s="1" t="s">
        <v>179</v>
      </c>
      <c r="W524" s="1" t="s">
        <v>180</v>
      </c>
      <c r="X524" s="1" t="str">
        <f>VLOOKUP(V524,Broker_Directory!A:C,3,FALSE)</f>
        <v>Tier B</v>
      </c>
      <c r="Y524" s="1">
        <f>HLOOKUP(X524, Commission_Rates!A$1:C$2, 2, FALSE)</f>
        <v>1.4999999999999999E-2</v>
      </c>
      <c r="Z524" s="1">
        <f t="shared" si="24"/>
        <v>490275</v>
      </c>
      <c r="AA524" s="1">
        <f t="shared" si="25"/>
        <v>980550</v>
      </c>
      <c r="AB524" s="1">
        <f t="shared" si="26"/>
        <v>490275</v>
      </c>
    </row>
    <row r="525" spans="1:28" x14ac:dyDescent="0.3">
      <c r="A525" s="1" t="s">
        <v>53</v>
      </c>
      <c r="B525" s="1" t="s">
        <v>105</v>
      </c>
      <c r="C525">
        <v>4</v>
      </c>
      <c r="D525">
        <v>4</v>
      </c>
      <c r="E525">
        <v>4806</v>
      </c>
      <c r="F525">
        <v>8915</v>
      </c>
      <c r="G525">
        <v>3</v>
      </c>
      <c r="H525">
        <v>1966</v>
      </c>
      <c r="I525">
        <v>1985</v>
      </c>
      <c r="J525" s="1" t="s">
        <v>22</v>
      </c>
      <c r="K525">
        <v>3</v>
      </c>
      <c r="L525" s="1" t="s">
        <v>31</v>
      </c>
      <c r="M525" s="1" t="s">
        <v>24</v>
      </c>
      <c r="N525" s="1" t="s">
        <v>25</v>
      </c>
      <c r="O525">
        <v>0</v>
      </c>
      <c r="P525">
        <v>1</v>
      </c>
      <c r="Q525" s="1" t="s">
        <v>116</v>
      </c>
      <c r="R525">
        <v>2</v>
      </c>
      <c r="S525" s="1" t="s">
        <v>24</v>
      </c>
      <c r="T525">
        <v>43814000</v>
      </c>
      <c r="U525" t="s">
        <v>183</v>
      </c>
      <c r="V525" s="1" t="s">
        <v>174</v>
      </c>
      <c r="W525" s="1" t="s">
        <v>175</v>
      </c>
      <c r="X525" s="1" t="str">
        <f>VLOOKUP(V525,Broker_Directory!A:C,3,FALSE)</f>
        <v>Tier A</v>
      </c>
      <c r="Y525" s="1">
        <f>HLOOKUP(X525, Commission_Rates!A$1:C$2, 2, FALSE)</f>
        <v>0.02</v>
      </c>
      <c r="Z525" s="1">
        <f t="shared" si="24"/>
        <v>0</v>
      </c>
      <c r="AA525" s="1">
        <f t="shared" si="25"/>
        <v>0</v>
      </c>
      <c r="AB525" s="1">
        <f t="shared" si="26"/>
        <v>0</v>
      </c>
    </row>
    <row r="526" spans="1:28" x14ac:dyDescent="0.3">
      <c r="A526" s="1" t="s">
        <v>28</v>
      </c>
      <c r="B526" s="1" t="s">
        <v>60</v>
      </c>
      <c r="C526">
        <v>3</v>
      </c>
      <c r="D526">
        <v>4</v>
      </c>
      <c r="E526">
        <v>365</v>
      </c>
      <c r="F526">
        <v>7531</v>
      </c>
      <c r="G526">
        <v>2</v>
      </c>
      <c r="H526">
        <v>1987</v>
      </c>
      <c r="I526">
        <v>2004</v>
      </c>
      <c r="J526" s="1" t="s">
        <v>22</v>
      </c>
      <c r="K526">
        <v>0</v>
      </c>
      <c r="L526" s="1" t="s">
        <v>41</v>
      </c>
      <c r="M526" s="1" t="s">
        <v>24</v>
      </c>
      <c r="N526" s="1" t="s">
        <v>35</v>
      </c>
      <c r="O526">
        <v>2</v>
      </c>
      <c r="P526">
        <v>5</v>
      </c>
      <c r="Q526" s="1" t="s">
        <v>121</v>
      </c>
      <c r="R526">
        <v>1</v>
      </c>
      <c r="S526" s="1" t="s">
        <v>27</v>
      </c>
      <c r="T526">
        <v>4000000</v>
      </c>
      <c r="U526" t="s">
        <v>184</v>
      </c>
      <c r="V526" s="1" t="s">
        <v>168</v>
      </c>
      <c r="W526" s="1" t="s">
        <v>169</v>
      </c>
      <c r="X526" s="1" t="str">
        <f>VLOOKUP(V526,Broker_Directory!A:C,3,FALSE)</f>
        <v>Tier A</v>
      </c>
      <c r="Y526" s="1">
        <f>HLOOKUP(X526, Commission_Rates!A$1:C$2, 2, FALSE)</f>
        <v>0.02</v>
      </c>
      <c r="Z526" s="1">
        <f t="shared" si="24"/>
        <v>80000</v>
      </c>
      <c r="AA526" s="1">
        <f t="shared" si="25"/>
        <v>120000</v>
      </c>
      <c r="AB526" s="1">
        <f t="shared" si="26"/>
        <v>40000</v>
      </c>
    </row>
    <row r="527" spans="1:28" x14ac:dyDescent="0.3">
      <c r="A527" s="1" t="s">
        <v>20</v>
      </c>
      <c r="B527" s="1" t="s">
        <v>69</v>
      </c>
      <c r="C527">
        <v>2</v>
      </c>
      <c r="D527">
        <v>4</v>
      </c>
      <c r="E527">
        <v>1925</v>
      </c>
      <c r="F527">
        <v>5857</v>
      </c>
      <c r="G527">
        <v>3</v>
      </c>
      <c r="H527">
        <v>1963</v>
      </c>
      <c r="I527">
        <v>1985</v>
      </c>
      <c r="J527" s="1" t="s">
        <v>52</v>
      </c>
      <c r="K527">
        <v>1</v>
      </c>
      <c r="L527" s="1" t="s">
        <v>31</v>
      </c>
      <c r="M527" s="1" t="s">
        <v>24</v>
      </c>
      <c r="N527" s="1" t="s">
        <v>25</v>
      </c>
      <c r="O527">
        <v>6</v>
      </c>
      <c r="P527">
        <v>0</v>
      </c>
      <c r="Q527" s="1" t="s">
        <v>103</v>
      </c>
      <c r="R527">
        <v>1</v>
      </c>
      <c r="S527" s="1" t="s">
        <v>24</v>
      </c>
      <c r="T527">
        <v>23545000</v>
      </c>
      <c r="U527" t="s">
        <v>184</v>
      </c>
      <c r="V527" s="1" t="s">
        <v>179</v>
      </c>
      <c r="W527" s="1" t="s">
        <v>180</v>
      </c>
      <c r="X527" s="1" t="str">
        <f>VLOOKUP(V527,Broker_Directory!A:C,3,FALSE)</f>
        <v>Tier B</v>
      </c>
      <c r="Y527" s="1">
        <f>HLOOKUP(X527, Commission_Rates!A$1:C$2, 2, FALSE)</f>
        <v>1.4999999999999999E-2</v>
      </c>
      <c r="Z527" s="1">
        <f t="shared" si="24"/>
        <v>353175</v>
      </c>
      <c r="AA527" s="1">
        <f t="shared" si="25"/>
        <v>706350</v>
      </c>
      <c r="AB527" s="1">
        <f t="shared" si="26"/>
        <v>353175</v>
      </c>
    </row>
    <row r="528" spans="1:28" x14ac:dyDescent="0.3">
      <c r="A528" s="1" t="s">
        <v>37</v>
      </c>
      <c r="B528" s="1" t="s">
        <v>87</v>
      </c>
      <c r="C528">
        <v>5</v>
      </c>
      <c r="D528">
        <v>2</v>
      </c>
      <c r="E528">
        <v>1044</v>
      </c>
      <c r="F528">
        <v>1928</v>
      </c>
      <c r="G528">
        <v>2</v>
      </c>
      <c r="H528">
        <v>2002</v>
      </c>
      <c r="I528">
        <v>2017</v>
      </c>
      <c r="J528" s="1" t="s">
        <v>30</v>
      </c>
      <c r="K528">
        <v>1</v>
      </c>
      <c r="L528" s="1" t="s">
        <v>31</v>
      </c>
      <c r="M528" s="1" t="s">
        <v>27</v>
      </c>
      <c r="N528" s="1" t="s">
        <v>46</v>
      </c>
      <c r="O528">
        <v>7</v>
      </c>
      <c r="P528">
        <v>0</v>
      </c>
      <c r="Q528" s="1" t="s">
        <v>138</v>
      </c>
      <c r="R528">
        <v>0</v>
      </c>
      <c r="S528" s="1" t="s">
        <v>27</v>
      </c>
      <c r="T528">
        <v>8702000</v>
      </c>
      <c r="U528" t="s">
        <v>184</v>
      </c>
      <c r="V528" s="1" t="s">
        <v>171</v>
      </c>
      <c r="W528" s="1" t="s">
        <v>172</v>
      </c>
      <c r="X528" s="1" t="str">
        <f>VLOOKUP(V528,Broker_Directory!A:C,3,FALSE)</f>
        <v>Tier B</v>
      </c>
      <c r="Y528" s="1">
        <f>HLOOKUP(X528, Commission_Rates!A$1:C$2, 2, FALSE)</f>
        <v>1.4999999999999999E-2</v>
      </c>
      <c r="Z528" s="1">
        <f t="shared" si="24"/>
        <v>130530</v>
      </c>
      <c r="AA528" s="1">
        <f t="shared" si="25"/>
        <v>261060</v>
      </c>
      <c r="AB528" s="1">
        <f t="shared" si="26"/>
        <v>130530</v>
      </c>
    </row>
    <row r="529" spans="1:28" x14ac:dyDescent="0.3">
      <c r="A529" s="1" t="s">
        <v>20</v>
      </c>
      <c r="B529" s="1" t="s">
        <v>69</v>
      </c>
      <c r="C529">
        <v>3</v>
      </c>
      <c r="D529">
        <v>3</v>
      </c>
      <c r="E529">
        <v>3175</v>
      </c>
      <c r="F529">
        <v>9054</v>
      </c>
      <c r="G529">
        <v>2</v>
      </c>
      <c r="H529">
        <v>1981</v>
      </c>
      <c r="I529">
        <v>2000</v>
      </c>
      <c r="J529" s="1" t="s">
        <v>58</v>
      </c>
      <c r="K529">
        <v>1</v>
      </c>
      <c r="L529" s="1" t="s">
        <v>23</v>
      </c>
      <c r="M529" s="1" t="s">
        <v>24</v>
      </c>
      <c r="N529" s="1" t="s">
        <v>25</v>
      </c>
      <c r="O529">
        <v>10</v>
      </c>
      <c r="P529">
        <v>5</v>
      </c>
      <c r="Q529" s="1" t="s">
        <v>103</v>
      </c>
      <c r="R529">
        <v>1</v>
      </c>
      <c r="S529" s="1" t="s">
        <v>27</v>
      </c>
      <c r="T529">
        <v>38495000</v>
      </c>
      <c r="U529" t="s">
        <v>184</v>
      </c>
      <c r="V529" s="1" t="s">
        <v>174</v>
      </c>
      <c r="W529" s="1" t="s">
        <v>175</v>
      </c>
      <c r="X529" s="1" t="str">
        <f>VLOOKUP(V529,Broker_Directory!A:C,3,FALSE)</f>
        <v>Tier A</v>
      </c>
      <c r="Y529" s="1">
        <f>HLOOKUP(X529, Commission_Rates!A$1:C$2, 2, FALSE)</f>
        <v>0.02</v>
      </c>
      <c r="Z529" s="1">
        <f t="shared" si="24"/>
        <v>769900</v>
      </c>
      <c r="AA529" s="1">
        <f t="shared" si="25"/>
        <v>1154850</v>
      </c>
      <c r="AB529" s="1">
        <f t="shared" si="26"/>
        <v>384950</v>
      </c>
    </row>
    <row r="530" spans="1:28" x14ac:dyDescent="0.3">
      <c r="A530" s="1" t="s">
        <v>37</v>
      </c>
      <c r="B530" s="1" t="s">
        <v>38</v>
      </c>
      <c r="C530">
        <v>5</v>
      </c>
      <c r="D530">
        <v>1</v>
      </c>
      <c r="E530">
        <v>3829</v>
      </c>
      <c r="F530">
        <v>5393</v>
      </c>
      <c r="G530">
        <v>2</v>
      </c>
      <c r="H530">
        <v>2012</v>
      </c>
      <c r="I530">
        <v>2016</v>
      </c>
      <c r="J530" s="1" t="s">
        <v>30</v>
      </c>
      <c r="K530">
        <v>2</v>
      </c>
      <c r="L530" s="1" t="s">
        <v>23</v>
      </c>
      <c r="M530" s="1" t="s">
        <v>24</v>
      </c>
      <c r="N530" s="1" t="s">
        <v>35</v>
      </c>
      <c r="O530">
        <v>0</v>
      </c>
      <c r="P530">
        <v>5</v>
      </c>
      <c r="Q530" s="1" t="s">
        <v>86</v>
      </c>
      <c r="R530">
        <v>2</v>
      </c>
      <c r="S530" s="1" t="s">
        <v>27</v>
      </c>
      <c r="T530">
        <v>31007000</v>
      </c>
      <c r="U530" t="s">
        <v>184</v>
      </c>
      <c r="V530" s="1" t="s">
        <v>168</v>
      </c>
      <c r="W530" s="1" t="s">
        <v>169</v>
      </c>
      <c r="X530" s="1" t="str">
        <f>VLOOKUP(V530,Broker_Directory!A:C,3,FALSE)</f>
        <v>Tier A</v>
      </c>
      <c r="Y530" s="1">
        <f>HLOOKUP(X530, Commission_Rates!A$1:C$2, 2, FALSE)</f>
        <v>0.02</v>
      </c>
      <c r="Z530" s="1">
        <f t="shared" si="24"/>
        <v>620140</v>
      </c>
      <c r="AA530" s="1">
        <f t="shared" si="25"/>
        <v>930210</v>
      </c>
      <c r="AB530" s="1">
        <f t="shared" si="26"/>
        <v>310070</v>
      </c>
    </row>
    <row r="531" spans="1:28" x14ac:dyDescent="0.3">
      <c r="A531" s="1" t="s">
        <v>53</v>
      </c>
      <c r="B531" s="1" t="s">
        <v>100</v>
      </c>
      <c r="C531">
        <v>5</v>
      </c>
      <c r="D531">
        <v>3</v>
      </c>
      <c r="E531">
        <v>2251</v>
      </c>
      <c r="F531">
        <v>7627</v>
      </c>
      <c r="G531">
        <v>2</v>
      </c>
      <c r="H531">
        <v>1976</v>
      </c>
      <c r="I531">
        <v>2012</v>
      </c>
      <c r="J531" s="1" t="s">
        <v>22</v>
      </c>
      <c r="K531">
        <v>0</v>
      </c>
      <c r="L531" s="1" t="s">
        <v>23</v>
      </c>
      <c r="M531" s="1" t="s">
        <v>24</v>
      </c>
      <c r="N531" s="1" t="s">
        <v>35</v>
      </c>
      <c r="O531">
        <v>9</v>
      </c>
      <c r="P531">
        <v>0</v>
      </c>
      <c r="Q531" s="1" t="s">
        <v>131</v>
      </c>
      <c r="R531">
        <v>1</v>
      </c>
      <c r="S531" s="1" t="s">
        <v>24</v>
      </c>
      <c r="T531">
        <v>20729000</v>
      </c>
      <c r="U531" t="s">
        <v>184</v>
      </c>
      <c r="V531" s="1" t="s">
        <v>168</v>
      </c>
      <c r="W531" s="1" t="s">
        <v>169</v>
      </c>
      <c r="X531" s="1" t="str">
        <f>VLOOKUP(V531,Broker_Directory!A:C,3,FALSE)</f>
        <v>Tier A</v>
      </c>
      <c r="Y531" s="1">
        <f>HLOOKUP(X531, Commission_Rates!A$1:C$2, 2, FALSE)</f>
        <v>0.02</v>
      </c>
      <c r="Z531" s="1">
        <f t="shared" si="24"/>
        <v>414580</v>
      </c>
      <c r="AA531" s="1">
        <f t="shared" si="25"/>
        <v>621870</v>
      </c>
      <c r="AB531" s="1">
        <f t="shared" si="26"/>
        <v>207290</v>
      </c>
    </row>
    <row r="532" spans="1:28" x14ac:dyDescent="0.3">
      <c r="A532" s="1" t="s">
        <v>37</v>
      </c>
      <c r="B532" s="1" t="s">
        <v>87</v>
      </c>
      <c r="C532">
        <v>1</v>
      </c>
      <c r="D532">
        <v>3</v>
      </c>
      <c r="E532">
        <v>2769</v>
      </c>
      <c r="F532">
        <v>8761</v>
      </c>
      <c r="G532">
        <v>2</v>
      </c>
      <c r="H532">
        <v>1975</v>
      </c>
      <c r="I532">
        <v>2008</v>
      </c>
      <c r="J532" s="1" t="s">
        <v>52</v>
      </c>
      <c r="K532">
        <v>0</v>
      </c>
      <c r="L532" s="1" t="s">
        <v>31</v>
      </c>
      <c r="M532" s="1" t="s">
        <v>24</v>
      </c>
      <c r="N532" s="1" t="s">
        <v>46</v>
      </c>
      <c r="O532">
        <v>8</v>
      </c>
      <c r="P532">
        <v>5</v>
      </c>
      <c r="Q532" s="1" t="s">
        <v>88</v>
      </c>
      <c r="R532">
        <v>2</v>
      </c>
      <c r="S532" s="1" t="s">
        <v>27</v>
      </c>
      <c r="T532">
        <v>22387000</v>
      </c>
      <c r="U532" t="s">
        <v>183</v>
      </c>
      <c r="V532" s="1" t="s">
        <v>171</v>
      </c>
      <c r="W532" s="1" t="s">
        <v>172</v>
      </c>
      <c r="X532" s="1" t="str">
        <f>VLOOKUP(V532,Broker_Directory!A:C,3,FALSE)</f>
        <v>Tier B</v>
      </c>
      <c r="Y532" s="1">
        <f>HLOOKUP(X532, Commission_Rates!A$1:C$2, 2, FALSE)</f>
        <v>1.4999999999999999E-2</v>
      </c>
      <c r="Z532" s="1">
        <f t="shared" si="24"/>
        <v>0</v>
      </c>
      <c r="AA532" s="1">
        <f t="shared" si="25"/>
        <v>0</v>
      </c>
      <c r="AB532" s="1">
        <f t="shared" si="26"/>
        <v>0</v>
      </c>
    </row>
    <row r="533" spans="1:28" x14ac:dyDescent="0.3">
      <c r="A533" s="1" t="s">
        <v>37</v>
      </c>
      <c r="B533" s="1" t="s">
        <v>87</v>
      </c>
      <c r="C533">
        <v>4</v>
      </c>
      <c r="D533">
        <v>1</v>
      </c>
      <c r="E533">
        <v>4255</v>
      </c>
      <c r="F533">
        <v>7737</v>
      </c>
      <c r="G533">
        <v>3</v>
      </c>
      <c r="H533">
        <v>2014</v>
      </c>
      <c r="I533">
        <v>2025</v>
      </c>
      <c r="J533" s="1" t="s">
        <v>58</v>
      </c>
      <c r="K533">
        <v>1</v>
      </c>
      <c r="L533" s="1" t="s">
        <v>64</v>
      </c>
      <c r="M533" s="1" t="s">
        <v>24</v>
      </c>
      <c r="N533" s="1" t="s">
        <v>46</v>
      </c>
      <c r="O533">
        <v>0</v>
      </c>
      <c r="P533">
        <v>4</v>
      </c>
      <c r="Q533" s="1" t="s">
        <v>141</v>
      </c>
      <c r="R533">
        <v>1</v>
      </c>
      <c r="S533" s="1" t="s">
        <v>27</v>
      </c>
      <c r="T533">
        <v>34370000</v>
      </c>
      <c r="U533" t="s">
        <v>183</v>
      </c>
      <c r="V533" s="1" t="s">
        <v>176</v>
      </c>
      <c r="W533" s="1" t="s">
        <v>177</v>
      </c>
      <c r="X533" s="1" t="str">
        <f>VLOOKUP(V533,Broker_Directory!A:C,3,FALSE)</f>
        <v>Tier C</v>
      </c>
      <c r="Y533" s="1">
        <f>HLOOKUP(X533, Commission_Rates!A$1:C$2, 2, FALSE)</f>
        <v>0.01</v>
      </c>
      <c r="Z533" s="1">
        <f t="shared" si="24"/>
        <v>0</v>
      </c>
      <c r="AA533" s="1">
        <f t="shared" si="25"/>
        <v>0</v>
      </c>
      <c r="AB533" s="1">
        <f t="shared" si="26"/>
        <v>0</v>
      </c>
    </row>
    <row r="534" spans="1:28" x14ac:dyDescent="0.3">
      <c r="A534" s="1" t="s">
        <v>37</v>
      </c>
      <c r="B534" s="1" t="s">
        <v>45</v>
      </c>
      <c r="C534">
        <v>5</v>
      </c>
      <c r="D534">
        <v>1</v>
      </c>
      <c r="E534">
        <v>1655</v>
      </c>
      <c r="F534">
        <v>8877</v>
      </c>
      <c r="G534">
        <v>3</v>
      </c>
      <c r="H534">
        <v>1999</v>
      </c>
      <c r="I534">
        <v>2015</v>
      </c>
      <c r="J534" s="1" t="s">
        <v>22</v>
      </c>
      <c r="K534">
        <v>3</v>
      </c>
      <c r="L534" s="1" t="s">
        <v>64</v>
      </c>
      <c r="M534" s="1" t="s">
        <v>24</v>
      </c>
      <c r="N534" s="1" t="s">
        <v>25</v>
      </c>
      <c r="O534">
        <v>0</v>
      </c>
      <c r="P534">
        <v>1</v>
      </c>
      <c r="Q534" s="1" t="s">
        <v>124</v>
      </c>
      <c r="R534">
        <v>0</v>
      </c>
      <c r="S534" s="1" t="s">
        <v>27</v>
      </c>
      <c r="T534">
        <v>13680000</v>
      </c>
      <c r="U534" t="s">
        <v>183</v>
      </c>
      <c r="V534" s="1" t="s">
        <v>174</v>
      </c>
      <c r="W534" s="1" t="s">
        <v>175</v>
      </c>
      <c r="X534" s="1" t="str">
        <f>VLOOKUP(V534,Broker_Directory!A:C,3,FALSE)</f>
        <v>Tier A</v>
      </c>
      <c r="Y534" s="1">
        <f>HLOOKUP(X534, Commission_Rates!A$1:C$2, 2, FALSE)</f>
        <v>0.02</v>
      </c>
      <c r="Z534" s="1">
        <f t="shared" si="24"/>
        <v>0</v>
      </c>
      <c r="AA534" s="1">
        <f t="shared" si="25"/>
        <v>0</v>
      </c>
      <c r="AB534" s="1">
        <f t="shared" si="26"/>
        <v>0</v>
      </c>
    </row>
    <row r="535" spans="1:28" x14ac:dyDescent="0.3">
      <c r="A535" s="1" t="s">
        <v>33</v>
      </c>
      <c r="B535" s="1" t="s">
        <v>43</v>
      </c>
      <c r="C535">
        <v>3</v>
      </c>
      <c r="D535">
        <v>3</v>
      </c>
      <c r="E535">
        <v>2104</v>
      </c>
      <c r="F535">
        <v>4581</v>
      </c>
      <c r="G535">
        <v>3</v>
      </c>
      <c r="H535">
        <v>1984</v>
      </c>
      <c r="I535">
        <v>2018</v>
      </c>
      <c r="J535" s="1" t="s">
        <v>58</v>
      </c>
      <c r="K535">
        <v>1</v>
      </c>
      <c r="L535" s="1" t="s">
        <v>31</v>
      </c>
      <c r="M535" s="1" t="s">
        <v>24</v>
      </c>
      <c r="N535" s="1" t="s">
        <v>35</v>
      </c>
      <c r="O535">
        <v>3</v>
      </c>
      <c r="P535">
        <v>2</v>
      </c>
      <c r="Q535" s="1" t="s">
        <v>83</v>
      </c>
      <c r="R535">
        <v>1</v>
      </c>
      <c r="S535" s="1" t="s">
        <v>27</v>
      </c>
      <c r="T535">
        <v>18224000</v>
      </c>
      <c r="U535" t="s">
        <v>184</v>
      </c>
      <c r="V535" s="1" t="s">
        <v>168</v>
      </c>
      <c r="W535" s="1" t="s">
        <v>169</v>
      </c>
      <c r="X535" s="1" t="str">
        <f>VLOOKUP(V535,Broker_Directory!A:C,3,FALSE)</f>
        <v>Tier A</v>
      </c>
      <c r="Y535" s="1">
        <f>HLOOKUP(X535, Commission_Rates!A$1:C$2, 2, FALSE)</f>
        <v>0.02</v>
      </c>
      <c r="Z535" s="1">
        <f t="shared" si="24"/>
        <v>364480</v>
      </c>
      <c r="AA535" s="1">
        <f t="shared" si="25"/>
        <v>546720</v>
      </c>
      <c r="AB535" s="1">
        <f t="shared" si="26"/>
        <v>182240</v>
      </c>
    </row>
    <row r="536" spans="1:28" x14ac:dyDescent="0.3">
      <c r="A536" s="1" t="s">
        <v>28</v>
      </c>
      <c r="B536" s="1" t="s">
        <v>79</v>
      </c>
      <c r="C536">
        <v>1</v>
      </c>
      <c r="D536">
        <v>2</v>
      </c>
      <c r="E536">
        <v>2020</v>
      </c>
      <c r="F536">
        <v>6449</v>
      </c>
      <c r="G536">
        <v>1</v>
      </c>
      <c r="H536">
        <v>1950</v>
      </c>
      <c r="I536">
        <v>1993</v>
      </c>
      <c r="J536" s="1" t="s">
        <v>30</v>
      </c>
      <c r="K536">
        <v>2</v>
      </c>
      <c r="L536" s="1" t="s">
        <v>23</v>
      </c>
      <c r="M536" s="1" t="s">
        <v>27</v>
      </c>
      <c r="N536" s="1" t="s">
        <v>35</v>
      </c>
      <c r="O536">
        <v>2</v>
      </c>
      <c r="P536">
        <v>3</v>
      </c>
      <c r="Q536" s="1" t="s">
        <v>92</v>
      </c>
      <c r="R536">
        <v>2</v>
      </c>
      <c r="S536" s="1" t="s">
        <v>24</v>
      </c>
      <c r="T536">
        <v>20410000</v>
      </c>
      <c r="U536" t="s">
        <v>183</v>
      </c>
      <c r="V536" s="1" t="s">
        <v>168</v>
      </c>
      <c r="W536" s="1" t="s">
        <v>169</v>
      </c>
      <c r="X536" s="1" t="str">
        <f>VLOOKUP(V536,Broker_Directory!A:C,3,FALSE)</f>
        <v>Tier A</v>
      </c>
      <c r="Y536" s="1">
        <f>HLOOKUP(X536, Commission_Rates!A$1:C$2, 2, FALSE)</f>
        <v>0.02</v>
      </c>
      <c r="Z536" s="1">
        <f t="shared" si="24"/>
        <v>0</v>
      </c>
      <c r="AA536" s="1">
        <f t="shared" si="25"/>
        <v>0</v>
      </c>
      <c r="AB536" s="1">
        <f t="shared" si="26"/>
        <v>0</v>
      </c>
    </row>
    <row r="537" spans="1:28" x14ac:dyDescent="0.3">
      <c r="A537" s="1" t="s">
        <v>20</v>
      </c>
      <c r="B537" s="1" t="s">
        <v>69</v>
      </c>
      <c r="C537">
        <v>2</v>
      </c>
      <c r="D537">
        <v>3</v>
      </c>
      <c r="E537">
        <v>1747</v>
      </c>
      <c r="F537">
        <v>5991</v>
      </c>
      <c r="G537">
        <v>1</v>
      </c>
      <c r="H537">
        <v>2018</v>
      </c>
      <c r="I537">
        <v>2018</v>
      </c>
      <c r="J537" s="1" t="s">
        <v>22</v>
      </c>
      <c r="K537">
        <v>2</v>
      </c>
      <c r="L537" s="1" t="s">
        <v>31</v>
      </c>
      <c r="M537" s="1" t="s">
        <v>27</v>
      </c>
      <c r="N537" s="1" t="s">
        <v>25</v>
      </c>
      <c r="O537">
        <v>5</v>
      </c>
      <c r="P537">
        <v>2</v>
      </c>
      <c r="Q537" s="1" t="s">
        <v>70</v>
      </c>
      <c r="R537">
        <v>3</v>
      </c>
      <c r="S537" s="1" t="s">
        <v>24</v>
      </c>
      <c r="T537">
        <v>21344000</v>
      </c>
      <c r="U537" t="s">
        <v>183</v>
      </c>
      <c r="V537" s="1" t="s">
        <v>168</v>
      </c>
      <c r="W537" s="1" t="s">
        <v>169</v>
      </c>
      <c r="X537" s="1" t="str">
        <f>VLOOKUP(V537,Broker_Directory!A:C,3,FALSE)</f>
        <v>Tier A</v>
      </c>
      <c r="Y537" s="1">
        <f>HLOOKUP(X537, Commission_Rates!A$1:C$2, 2, FALSE)</f>
        <v>0.02</v>
      </c>
      <c r="Z537" s="1">
        <f t="shared" si="24"/>
        <v>0</v>
      </c>
      <c r="AA537" s="1">
        <f t="shared" si="25"/>
        <v>0</v>
      </c>
      <c r="AB537" s="1">
        <f t="shared" si="26"/>
        <v>0</v>
      </c>
    </row>
    <row r="538" spans="1:28" x14ac:dyDescent="0.3">
      <c r="A538" s="1" t="s">
        <v>37</v>
      </c>
      <c r="B538" s="1" t="s">
        <v>62</v>
      </c>
      <c r="C538">
        <v>4</v>
      </c>
      <c r="D538">
        <v>3</v>
      </c>
      <c r="E538">
        <v>1515</v>
      </c>
      <c r="F538">
        <v>9413</v>
      </c>
      <c r="G538">
        <v>1</v>
      </c>
      <c r="H538">
        <v>2013</v>
      </c>
      <c r="I538">
        <v>2014</v>
      </c>
      <c r="J538" s="1" t="s">
        <v>22</v>
      </c>
      <c r="K538">
        <v>1</v>
      </c>
      <c r="L538" s="1" t="s">
        <v>31</v>
      </c>
      <c r="M538" s="1" t="s">
        <v>24</v>
      </c>
      <c r="N538" s="1" t="s">
        <v>35</v>
      </c>
      <c r="O538">
        <v>7</v>
      </c>
      <c r="P538">
        <v>5</v>
      </c>
      <c r="Q538" s="1" t="s">
        <v>63</v>
      </c>
      <c r="R538">
        <v>2</v>
      </c>
      <c r="S538" s="1" t="s">
        <v>24</v>
      </c>
      <c r="T538">
        <v>12535000</v>
      </c>
      <c r="U538" t="s">
        <v>183</v>
      </c>
      <c r="V538" s="1" t="s">
        <v>174</v>
      </c>
      <c r="W538" s="1" t="s">
        <v>175</v>
      </c>
      <c r="X538" s="1" t="str">
        <f>VLOOKUP(V538,Broker_Directory!A:C,3,FALSE)</f>
        <v>Tier A</v>
      </c>
      <c r="Y538" s="1">
        <f>HLOOKUP(X538, Commission_Rates!A$1:C$2, 2, FALSE)</f>
        <v>0.02</v>
      </c>
      <c r="Z538" s="1">
        <f t="shared" si="24"/>
        <v>0</v>
      </c>
      <c r="AA538" s="1">
        <f t="shared" si="25"/>
        <v>0</v>
      </c>
      <c r="AB538" s="1">
        <f t="shared" si="26"/>
        <v>0</v>
      </c>
    </row>
    <row r="539" spans="1:28" x14ac:dyDescent="0.3">
      <c r="A539" s="1" t="s">
        <v>53</v>
      </c>
      <c r="B539" s="1" t="s">
        <v>66</v>
      </c>
      <c r="C539">
        <v>2</v>
      </c>
      <c r="D539">
        <v>4</v>
      </c>
      <c r="E539">
        <v>1838</v>
      </c>
      <c r="F539">
        <v>2456</v>
      </c>
      <c r="G539">
        <v>1</v>
      </c>
      <c r="H539">
        <v>1959</v>
      </c>
      <c r="I539">
        <v>2012</v>
      </c>
      <c r="J539" s="1" t="s">
        <v>52</v>
      </c>
      <c r="K539">
        <v>3</v>
      </c>
      <c r="L539" s="1" t="s">
        <v>41</v>
      </c>
      <c r="M539" s="1" t="s">
        <v>24</v>
      </c>
      <c r="N539" s="1" t="s">
        <v>35</v>
      </c>
      <c r="O539">
        <v>8</v>
      </c>
      <c r="P539">
        <v>1</v>
      </c>
      <c r="Q539" s="1" t="s">
        <v>142</v>
      </c>
      <c r="R539">
        <v>0</v>
      </c>
      <c r="S539" s="1" t="s">
        <v>27</v>
      </c>
      <c r="T539">
        <v>16807000</v>
      </c>
      <c r="U539" t="s">
        <v>183</v>
      </c>
      <c r="V539" s="1" t="s">
        <v>168</v>
      </c>
      <c r="W539" s="1" t="s">
        <v>169</v>
      </c>
      <c r="X539" s="1" t="str">
        <f>VLOOKUP(V539,Broker_Directory!A:C,3,FALSE)</f>
        <v>Tier A</v>
      </c>
      <c r="Y539" s="1">
        <f>HLOOKUP(X539, Commission_Rates!A$1:C$2, 2, FALSE)</f>
        <v>0.02</v>
      </c>
      <c r="Z539" s="1">
        <f t="shared" si="24"/>
        <v>0</v>
      </c>
      <c r="AA539" s="1">
        <f t="shared" si="25"/>
        <v>0</v>
      </c>
      <c r="AB539" s="1">
        <f t="shared" si="26"/>
        <v>0</v>
      </c>
    </row>
    <row r="540" spans="1:28" x14ac:dyDescent="0.3">
      <c r="A540" s="1" t="s">
        <v>37</v>
      </c>
      <c r="B540" s="1" t="s">
        <v>87</v>
      </c>
      <c r="C540">
        <v>1</v>
      </c>
      <c r="D540">
        <v>1</v>
      </c>
      <c r="E540">
        <v>658</v>
      </c>
      <c r="F540">
        <v>2873</v>
      </c>
      <c r="G540">
        <v>1</v>
      </c>
      <c r="H540">
        <v>1960</v>
      </c>
      <c r="I540">
        <v>1993</v>
      </c>
      <c r="J540" s="1" t="s">
        <v>52</v>
      </c>
      <c r="K540">
        <v>0</v>
      </c>
      <c r="L540" s="1" t="s">
        <v>23</v>
      </c>
      <c r="M540" s="1" t="s">
        <v>24</v>
      </c>
      <c r="N540" s="1" t="s">
        <v>35</v>
      </c>
      <c r="O540">
        <v>5</v>
      </c>
      <c r="P540">
        <v>5</v>
      </c>
      <c r="Q540" s="1" t="s">
        <v>141</v>
      </c>
      <c r="R540">
        <v>1</v>
      </c>
      <c r="S540" s="1" t="s">
        <v>24</v>
      </c>
      <c r="T540">
        <v>5454000</v>
      </c>
      <c r="U540" t="s">
        <v>182</v>
      </c>
      <c r="V540" s="1" t="s">
        <v>171</v>
      </c>
      <c r="W540" s="1" t="s">
        <v>172</v>
      </c>
      <c r="X540" s="1" t="str">
        <f>VLOOKUP(V540,Broker_Directory!A:C,3,FALSE)</f>
        <v>Tier B</v>
      </c>
      <c r="Y540" s="1">
        <f>HLOOKUP(X540, Commission_Rates!A$1:C$2, 2, FALSE)</f>
        <v>1.4999999999999999E-2</v>
      </c>
      <c r="Z540" s="1">
        <f t="shared" si="24"/>
        <v>0</v>
      </c>
      <c r="AA540" s="1">
        <f t="shared" si="25"/>
        <v>0</v>
      </c>
      <c r="AB540" s="1">
        <f t="shared" si="26"/>
        <v>0</v>
      </c>
    </row>
    <row r="541" spans="1:28" x14ac:dyDescent="0.3">
      <c r="A541" s="1" t="s">
        <v>37</v>
      </c>
      <c r="B541" s="1" t="s">
        <v>45</v>
      </c>
      <c r="C541">
        <v>4</v>
      </c>
      <c r="D541">
        <v>2</v>
      </c>
      <c r="E541">
        <v>2818</v>
      </c>
      <c r="F541">
        <v>5585</v>
      </c>
      <c r="G541">
        <v>2</v>
      </c>
      <c r="H541">
        <v>1969</v>
      </c>
      <c r="I541">
        <v>1983</v>
      </c>
      <c r="J541" s="1" t="s">
        <v>58</v>
      </c>
      <c r="K541">
        <v>2</v>
      </c>
      <c r="L541" s="1" t="s">
        <v>23</v>
      </c>
      <c r="M541" s="1" t="s">
        <v>24</v>
      </c>
      <c r="N541" s="1" t="s">
        <v>25</v>
      </c>
      <c r="O541">
        <v>1</v>
      </c>
      <c r="P541">
        <v>4</v>
      </c>
      <c r="Q541" s="1" t="s">
        <v>77</v>
      </c>
      <c r="R541">
        <v>0</v>
      </c>
      <c r="S541" s="1" t="s">
        <v>27</v>
      </c>
      <c r="T541">
        <v>22944000</v>
      </c>
      <c r="U541" t="s">
        <v>182</v>
      </c>
      <c r="V541" s="1" t="s">
        <v>176</v>
      </c>
      <c r="W541" s="1" t="s">
        <v>177</v>
      </c>
      <c r="X541" s="1" t="str">
        <f>VLOOKUP(V541,Broker_Directory!A:C,3,FALSE)</f>
        <v>Tier C</v>
      </c>
      <c r="Y541" s="1">
        <f>HLOOKUP(X541, Commission_Rates!A$1:C$2, 2, FALSE)</f>
        <v>0.01</v>
      </c>
      <c r="Z541" s="1">
        <f t="shared" si="24"/>
        <v>0</v>
      </c>
      <c r="AA541" s="1">
        <f t="shared" si="25"/>
        <v>0</v>
      </c>
      <c r="AB541" s="1">
        <f t="shared" si="26"/>
        <v>0</v>
      </c>
    </row>
    <row r="542" spans="1:28" x14ac:dyDescent="0.3">
      <c r="A542" s="1" t="s">
        <v>28</v>
      </c>
      <c r="B542" s="1" t="s">
        <v>60</v>
      </c>
      <c r="C542">
        <v>2</v>
      </c>
      <c r="D542">
        <v>1</v>
      </c>
      <c r="E542">
        <v>2156</v>
      </c>
      <c r="F542">
        <v>5705</v>
      </c>
      <c r="G542">
        <v>2</v>
      </c>
      <c r="H542">
        <v>1968</v>
      </c>
      <c r="I542">
        <v>1989</v>
      </c>
      <c r="J542" s="1" t="s">
        <v>30</v>
      </c>
      <c r="K542">
        <v>1</v>
      </c>
      <c r="L542" s="1" t="s">
        <v>41</v>
      </c>
      <c r="M542" s="1" t="s">
        <v>24</v>
      </c>
      <c r="N542" s="1" t="s">
        <v>46</v>
      </c>
      <c r="O542">
        <v>2</v>
      </c>
      <c r="P542">
        <v>0</v>
      </c>
      <c r="Q542" s="1" t="s">
        <v>121</v>
      </c>
      <c r="R542">
        <v>0</v>
      </c>
      <c r="S542" s="1" t="s">
        <v>27</v>
      </c>
      <c r="T542">
        <v>21755000</v>
      </c>
      <c r="U542" t="s">
        <v>182</v>
      </c>
      <c r="V542" s="1" t="s">
        <v>168</v>
      </c>
      <c r="W542" s="1" t="s">
        <v>169</v>
      </c>
      <c r="X542" s="1" t="str">
        <f>VLOOKUP(V542,Broker_Directory!A:C,3,FALSE)</f>
        <v>Tier A</v>
      </c>
      <c r="Y542" s="1">
        <f>HLOOKUP(X542, Commission_Rates!A$1:C$2, 2, FALSE)</f>
        <v>0.02</v>
      </c>
      <c r="Z542" s="1">
        <f t="shared" si="24"/>
        <v>0</v>
      </c>
      <c r="AA542" s="1">
        <f t="shared" si="25"/>
        <v>0</v>
      </c>
      <c r="AB542" s="1">
        <f t="shared" si="26"/>
        <v>0</v>
      </c>
    </row>
    <row r="543" spans="1:28" x14ac:dyDescent="0.3">
      <c r="A543" s="1" t="s">
        <v>53</v>
      </c>
      <c r="B543" s="1" t="s">
        <v>105</v>
      </c>
      <c r="C543">
        <v>5</v>
      </c>
      <c r="D543">
        <v>3</v>
      </c>
      <c r="E543">
        <v>1269</v>
      </c>
      <c r="F543">
        <v>7225</v>
      </c>
      <c r="G543">
        <v>1</v>
      </c>
      <c r="H543">
        <v>1955</v>
      </c>
      <c r="I543">
        <v>1973</v>
      </c>
      <c r="J543" s="1" t="s">
        <v>52</v>
      </c>
      <c r="K543">
        <v>3</v>
      </c>
      <c r="L543" s="1" t="s">
        <v>64</v>
      </c>
      <c r="M543" s="1" t="s">
        <v>24</v>
      </c>
      <c r="N543" s="1" t="s">
        <v>35</v>
      </c>
      <c r="O543">
        <v>6</v>
      </c>
      <c r="P543">
        <v>1</v>
      </c>
      <c r="Q543" s="1" t="s">
        <v>160</v>
      </c>
      <c r="R543">
        <v>2</v>
      </c>
      <c r="S543" s="1" t="s">
        <v>27</v>
      </c>
      <c r="T543">
        <v>11836000</v>
      </c>
      <c r="U543" t="s">
        <v>184</v>
      </c>
      <c r="V543" s="1" t="s">
        <v>168</v>
      </c>
      <c r="W543" s="1" t="s">
        <v>169</v>
      </c>
      <c r="X543" s="1" t="str">
        <f>VLOOKUP(V543,Broker_Directory!A:C,3,FALSE)</f>
        <v>Tier A</v>
      </c>
      <c r="Y543" s="1">
        <f>HLOOKUP(X543, Commission_Rates!A$1:C$2, 2, FALSE)</f>
        <v>0.02</v>
      </c>
      <c r="Z543" s="1">
        <f t="shared" si="24"/>
        <v>236720</v>
      </c>
      <c r="AA543" s="1">
        <f t="shared" si="25"/>
        <v>355080</v>
      </c>
      <c r="AB543" s="1">
        <f t="shared" si="26"/>
        <v>118360</v>
      </c>
    </row>
    <row r="544" spans="1:28" x14ac:dyDescent="0.3">
      <c r="A544" s="1" t="s">
        <v>20</v>
      </c>
      <c r="B544" s="1" t="s">
        <v>69</v>
      </c>
      <c r="C544">
        <v>4</v>
      </c>
      <c r="D544">
        <v>3</v>
      </c>
      <c r="E544">
        <v>2474</v>
      </c>
      <c r="F544">
        <v>9165</v>
      </c>
      <c r="G544">
        <v>3</v>
      </c>
      <c r="H544">
        <v>1959</v>
      </c>
      <c r="I544">
        <v>0</v>
      </c>
      <c r="J544" s="1" t="s">
        <v>52</v>
      </c>
      <c r="K544">
        <v>1</v>
      </c>
      <c r="L544" s="1" t="s">
        <v>64</v>
      </c>
      <c r="M544" s="1" t="s">
        <v>24</v>
      </c>
      <c r="N544" s="1" t="s">
        <v>46</v>
      </c>
      <c r="O544">
        <v>7</v>
      </c>
      <c r="P544">
        <v>5</v>
      </c>
      <c r="Q544" s="1" t="s">
        <v>120</v>
      </c>
      <c r="R544">
        <v>0</v>
      </c>
      <c r="S544" s="1" t="s">
        <v>24</v>
      </c>
      <c r="T544">
        <v>30113000</v>
      </c>
      <c r="U544" t="s">
        <v>183</v>
      </c>
      <c r="V544" s="1" t="s">
        <v>174</v>
      </c>
      <c r="W544" s="1" t="s">
        <v>175</v>
      </c>
      <c r="X544" s="1" t="str">
        <f>VLOOKUP(V544,Broker_Directory!A:C,3,FALSE)</f>
        <v>Tier A</v>
      </c>
      <c r="Y544" s="1">
        <f>HLOOKUP(X544, Commission_Rates!A$1:C$2, 2, FALSE)</f>
        <v>0.02</v>
      </c>
      <c r="Z544" s="1">
        <f t="shared" si="24"/>
        <v>0</v>
      </c>
      <c r="AA544" s="1">
        <f t="shared" si="25"/>
        <v>0</v>
      </c>
      <c r="AB544" s="1">
        <f t="shared" si="26"/>
        <v>0</v>
      </c>
    </row>
    <row r="545" spans="1:28" x14ac:dyDescent="0.3">
      <c r="A545" s="1" t="s">
        <v>33</v>
      </c>
      <c r="B545" s="1" t="s">
        <v>98</v>
      </c>
      <c r="C545">
        <v>3</v>
      </c>
      <c r="D545">
        <v>2</v>
      </c>
      <c r="E545">
        <v>1040</v>
      </c>
      <c r="F545">
        <v>6382</v>
      </c>
      <c r="G545">
        <v>1</v>
      </c>
      <c r="H545">
        <v>1973</v>
      </c>
      <c r="I545">
        <v>2021</v>
      </c>
      <c r="J545" s="1" t="s">
        <v>22</v>
      </c>
      <c r="K545">
        <v>2</v>
      </c>
      <c r="L545" s="1" t="s">
        <v>64</v>
      </c>
      <c r="M545" s="1" t="s">
        <v>27</v>
      </c>
      <c r="N545" s="1" t="s">
        <v>46</v>
      </c>
      <c r="O545">
        <v>7</v>
      </c>
      <c r="P545">
        <v>5</v>
      </c>
      <c r="Q545" s="1" t="s">
        <v>99</v>
      </c>
      <c r="R545">
        <v>2</v>
      </c>
      <c r="S545" s="1" t="s">
        <v>24</v>
      </c>
      <c r="T545">
        <v>9150000</v>
      </c>
      <c r="U545" t="s">
        <v>182</v>
      </c>
      <c r="V545" s="1" t="s">
        <v>179</v>
      </c>
      <c r="W545" s="1" t="s">
        <v>180</v>
      </c>
      <c r="X545" s="1" t="str">
        <f>VLOOKUP(V545,Broker_Directory!A:C,3,FALSE)</f>
        <v>Tier B</v>
      </c>
      <c r="Y545" s="1">
        <f>HLOOKUP(X545, Commission_Rates!A$1:C$2, 2, FALSE)</f>
        <v>1.4999999999999999E-2</v>
      </c>
      <c r="Z545" s="1">
        <f t="shared" si="24"/>
        <v>0</v>
      </c>
      <c r="AA545" s="1">
        <f t="shared" si="25"/>
        <v>0</v>
      </c>
      <c r="AB545" s="1">
        <f t="shared" si="26"/>
        <v>0</v>
      </c>
    </row>
    <row r="546" spans="1:28" x14ac:dyDescent="0.3">
      <c r="A546" s="1" t="s">
        <v>28</v>
      </c>
      <c r="B546" s="1" t="s">
        <v>29</v>
      </c>
      <c r="C546">
        <v>4</v>
      </c>
      <c r="D546">
        <v>4</v>
      </c>
      <c r="E546">
        <v>4713</v>
      </c>
      <c r="F546">
        <v>9135</v>
      </c>
      <c r="G546">
        <v>2</v>
      </c>
      <c r="H546">
        <v>2018</v>
      </c>
      <c r="I546">
        <v>2025</v>
      </c>
      <c r="J546" s="1" t="s">
        <v>52</v>
      </c>
      <c r="K546">
        <v>3</v>
      </c>
      <c r="L546" s="1" t="s">
        <v>23</v>
      </c>
      <c r="M546" s="1" t="s">
        <v>27</v>
      </c>
      <c r="N546" s="1" t="s">
        <v>35</v>
      </c>
      <c r="O546">
        <v>9</v>
      </c>
      <c r="P546">
        <v>5</v>
      </c>
      <c r="Q546" s="1" t="s">
        <v>149</v>
      </c>
      <c r="R546">
        <v>0</v>
      </c>
      <c r="S546" s="1" t="s">
        <v>24</v>
      </c>
      <c r="T546">
        <v>47540000</v>
      </c>
      <c r="U546" t="s">
        <v>183</v>
      </c>
      <c r="V546" s="1" t="s">
        <v>168</v>
      </c>
      <c r="W546" s="1" t="s">
        <v>169</v>
      </c>
      <c r="X546" s="1" t="str">
        <f>VLOOKUP(V546,Broker_Directory!A:C,3,FALSE)</f>
        <v>Tier A</v>
      </c>
      <c r="Y546" s="1">
        <f>HLOOKUP(X546, Commission_Rates!A$1:C$2, 2, FALSE)</f>
        <v>0.02</v>
      </c>
      <c r="Z546" s="1">
        <f t="shared" si="24"/>
        <v>0</v>
      </c>
      <c r="AA546" s="1">
        <f t="shared" si="25"/>
        <v>0</v>
      </c>
      <c r="AB546" s="1">
        <f t="shared" si="26"/>
        <v>0</v>
      </c>
    </row>
    <row r="547" spans="1:28" x14ac:dyDescent="0.3">
      <c r="A547" s="1" t="s">
        <v>53</v>
      </c>
      <c r="B547" s="1" t="s">
        <v>105</v>
      </c>
      <c r="C547">
        <v>2</v>
      </c>
      <c r="D547">
        <v>1</v>
      </c>
      <c r="E547">
        <v>3268</v>
      </c>
      <c r="F547">
        <v>7892</v>
      </c>
      <c r="G547">
        <v>2</v>
      </c>
      <c r="H547">
        <v>1967</v>
      </c>
      <c r="I547">
        <v>2024</v>
      </c>
      <c r="J547" s="1" t="s">
        <v>58</v>
      </c>
      <c r="K547">
        <v>0</v>
      </c>
      <c r="L547" s="1" t="s">
        <v>64</v>
      </c>
      <c r="M547" s="1" t="s">
        <v>27</v>
      </c>
      <c r="N547" s="1" t="s">
        <v>25</v>
      </c>
      <c r="O547">
        <v>4</v>
      </c>
      <c r="P547">
        <v>3</v>
      </c>
      <c r="Q547" s="1" t="s">
        <v>116</v>
      </c>
      <c r="R547">
        <v>3</v>
      </c>
      <c r="S547" s="1" t="s">
        <v>24</v>
      </c>
      <c r="T547">
        <v>29752000</v>
      </c>
      <c r="U547" t="s">
        <v>183</v>
      </c>
      <c r="V547" s="1" t="s">
        <v>174</v>
      </c>
      <c r="W547" s="1" t="s">
        <v>175</v>
      </c>
      <c r="X547" s="1" t="str">
        <f>VLOOKUP(V547,Broker_Directory!A:C,3,FALSE)</f>
        <v>Tier A</v>
      </c>
      <c r="Y547" s="1">
        <f>HLOOKUP(X547, Commission_Rates!A$1:C$2, 2, FALSE)</f>
        <v>0.02</v>
      </c>
      <c r="Z547" s="1">
        <f t="shared" si="24"/>
        <v>0</v>
      </c>
      <c r="AA547" s="1">
        <f t="shared" si="25"/>
        <v>0</v>
      </c>
      <c r="AB547" s="1">
        <f t="shared" si="26"/>
        <v>0</v>
      </c>
    </row>
    <row r="548" spans="1:28" x14ac:dyDescent="0.3">
      <c r="A548" s="1" t="s">
        <v>28</v>
      </c>
      <c r="B548" s="1" t="s">
        <v>110</v>
      </c>
      <c r="C548">
        <v>1</v>
      </c>
      <c r="D548">
        <v>2</v>
      </c>
      <c r="E548">
        <v>1260</v>
      </c>
      <c r="F548">
        <v>3654</v>
      </c>
      <c r="G548">
        <v>2</v>
      </c>
      <c r="H548">
        <v>1953</v>
      </c>
      <c r="I548">
        <v>2006</v>
      </c>
      <c r="J548" s="1" t="s">
        <v>30</v>
      </c>
      <c r="K548">
        <v>0</v>
      </c>
      <c r="L548" s="1" t="s">
        <v>23</v>
      </c>
      <c r="M548" s="1" t="s">
        <v>24</v>
      </c>
      <c r="N548" s="1" t="s">
        <v>46</v>
      </c>
      <c r="O548">
        <v>9</v>
      </c>
      <c r="P548">
        <v>1</v>
      </c>
      <c r="Q548" s="1" t="s">
        <v>119</v>
      </c>
      <c r="R548">
        <v>1</v>
      </c>
      <c r="S548" s="1" t="s">
        <v>27</v>
      </c>
      <c r="T548">
        <v>12790000</v>
      </c>
      <c r="U548" t="s">
        <v>183</v>
      </c>
      <c r="V548" s="1" t="s">
        <v>174</v>
      </c>
      <c r="W548" s="1" t="s">
        <v>175</v>
      </c>
      <c r="X548" s="1" t="str">
        <f>VLOOKUP(V548,Broker_Directory!A:C,3,FALSE)</f>
        <v>Tier A</v>
      </c>
      <c r="Y548" s="1">
        <f>HLOOKUP(X548, Commission_Rates!A$1:C$2, 2, FALSE)</f>
        <v>0.02</v>
      </c>
      <c r="Z548" s="1">
        <f t="shared" si="24"/>
        <v>0</v>
      </c>
      <c r="AA548" s="1">
        <f t="shared" si="25"/>
        <v>0</v>
      </c>
      <c r="AB548" s="1">
        <f t="shared" si="26"/>
        <v>0</v>
      </c>
    </row>
    <row r="549" spans="1:28" x14ac:dyDescent="0.3">
      <c r="A549" s="1" t="s">
        <v>28</v>
      </c>
      <c r="B549" s="1" t="s">
        <v>60</v>
      </c>
      <c r="C549">
        <v>2</v>
      </c>
      <c r="D549">
        <v>1</v>
      </c>
      <c r="E549">
        <v>402</v>
      </c>
      <c r="F549">
        <v>9777</v>
      </c>
      <c r="G549">
        <v>2</v>
      </c>
      <c r="H549">
        <v>1969</v>
      </c>
      <c r="I549">
        <v>2016</v>
      </c>
      <c r="J549" s="1" t="s">
        <v>52</v>
      </c>
      <c r="K549">
        <v>3</v>
      </c>
      <c r="L549" s="1" t="s">
        <v>31</v>
      </c>
      <c r="M549" s="1" t="s">
        <v>27</v>
      </c>
      <c r="N549" s="1" t="s">
        <v>46</v>
      </c>
      <c r="O549">
        <v>6</v>
      </c>
      <c r="P549">
        <v>5</v>
      </c>
      <c r="Q549" s="1" t="s">
        <v>61</v>
      </c>
      <c r="R549">
        <v>3</v>
      </c>
      <c r="S549" s="1" t="s">
        <v>24</v>
      </c>
      <c r="T549">
        <v>4285000</v>
      </c>
      <c r="U549" t="s">
        <v>184</v>
      </c>
      <c r="V549" s="1" t="s">
        <v>176</v>
      </c>
      <c r="W549" s="1" t="s">
        <v>177</v>
      </c>
      <c r="X549" s="1" t="str">
        <f>VLOOKUP(V549,Broker_Directory!A:C,3,FALSE)</f>
        <v>Tier C</v>
      </c>
      <c r="Y549" s="1">
        <f>HLOOKUP(X549, Commission_Rates!A$1:C$2, 2, FALSE)</f>
        <v>0.01</v>
      </c>
      <c r="Z549" s="1">
        <f t="shared" si="24"/>
        <v>42850</v>
      </c>
      <c r="AA549" s="1">
        <f t="shared" si="25"/>
        <v>128550</v>
      </c>
      <c r="AB549" s="1">
        <f t="shared" si="26"/>
        <v>85700</v>
      </c>
    </row>
    <row r="550" spans="1:28" x14ac:dyDescent="0.3">
      <c r="A550" s="1" t="s">
        <v>53</v>
      </c>
      <c r="B550" s="1" t="s">
        <v>105</v>
      </c>
      <c r="C550">
        <v>2</v>
      </c>
      <c r="D550">
        <v>1</v>
      </c>
      <c r="E550">
        <v>563</v>
      </c>
      <c r="F550">
        <v>3456</v>
      </c>
      <c r="G550">
        <v>3</v>
      </c>
      <c r="H550">
        <v>1970</v>
      </c>
      <c r="I550">
        <v>0</v>
      </c>
      <c r="J550" s="1" t="s">
        <v>22</v>
      </c>
      <c r="K550">
        <v>3</v>
      </c>
      <c r="L550" s="1" t="s">
        <v>41</v>
      </c>
      <c r="M550" s="1" t="s">
        <v>27</v>
      </c>
      <c r="N550" s="1" t="s">
        <v>35</v>
      </c>
      <c r="O550">
        <v>8</v>
      </c>
      <c r="P550">
        <v>2</v>
      </c>
      <c r="Q550" s="1" t="s">
        <v>116</v>
      </c>
      <c r="R550">
        <v>3</v>
      </c>
      <c r="S550" s="1" t="s">
        <v>24</v>
      </c>
      <c r="T550">
        <v>5352000</v>
      </c>
      <c r="U550" t="s">
        <v>183</v>
      </c>
      <c r="V550" s="1" t="s">
        <v>174</v>
      </c>
      <c r="W550" s="1" t="s">
        <v>175</v>
      </c>
      <c r="X550" s="1" t="str">
        <f>VLOOKUP(V550,Broker_Directory!A:C,3,FALSE)</f>
        <v>Tier A</v>
      </c>
      <c r="Y550" s="1">
        <f>HLOOKUP(X550, Commission_Rates!A$1:C$2, 2, FALSE)</f>
        <v>0.02</v>
      </c>
      <c r="Z550" s="1">
        <f t="shared" si="24"/>
        <v>0</v>
      </c>
      <c r="AA550" s="1">
        <f t="shared" si="25"/>
        <v>0</v>
      </c>
      <c r="AB550" s="1">
        <f t="shared" si="26"/>
        <v>0</v>
      </c>
    </row>
    <row r="551" spans="1:28" x14ac:dyDescent="0.3">
      <c r="A551" s="1" t="s">
        <v>53</v>
      </c>
      <c r="B551" s="1" t="s">
        <v>105</v>
      </c>
      <c r="C551">
        <v>5</v>
      </c>
      <c r="D551">
        <v>4</v>
      </c>
      <c r="E551">
        <v>1325</v>
      </c>
      <c r="F551">
        <v>4846</v>
      </c>
      <c r="G551">
        <v>2</v>
      </c>
      <c r="H551">
        <v>1957</v>
      </c>
      <c r="I551">
        <v>1984</v>
      </c>
      <c r="J551" s="1" t="s">
        <v>22</v>
      </c>
      <c r="K551">
        <v>1</v>
      </c>
      <c r="L551" s="1" t="s">
        <v>23</v>
      </c>
      <c r="M551" s="1" t="s">
        <v>27</v>
      </c>
      <c r="N551" s="1" t="s">
        <v>46</v>
      </c>
      <c r="O551">
        <v>5</v>
      </c>
      <c r="P551">
        <v>5</v>
      </c>
      <c r="Q551" s="1" t="s">
        <v>106</v>
      </c>
      <c r="R551">
        <v>3</v>
      </c>
      <c r="S551" s="1" t="s">
        <v>24</v>
      </c>
      <c r="T551">
        <v>12430000</v>
      </c>
      <c r="U551" t="s">
        <v>184</v>
      </c>
      <c r="V551" s="1" t="s">
        <v>176</v>
      </c>
      <c r="W551" s="1" t="s">
        <v>177</v>
      </c>
      <c r="X551" s="1" t="str">
        <f>VLOOKUP(V551,Broker_Directory!A:C,3,FALSE)</f>
        <v>Tier C</v>
      </c>
      <c r="Y551" s="1">
        <f>HLOOKUP(X551, Commission_Rates!A$1:C$2, 2, FALSE)</f>
        <v>0.01</v>
      </c>
      <c r="Z551" s="1">
        <f t="shared" si="24"/>
        <v>124300</v>
      </c>
      <c r="AA551" s="1">
        <f t="shared" si="25"/>
        <v>372900</v>
      </c>
      <c r="AB551" s="1">
        <f t="shared" si="26"/>
        <v>248600</v>
      </c>
    </row>
    <row r="552" spans="1:28" x14ac:dyDescent="0.3">
      <c r="A552" s="1" t="s">
        <v>20</v>
      </c>
      <c r="B552" s="1" t="s">
        <v>69</v>
      </c>
      <c r="C552">
        <v>4</v>
      </c>
      <c r="D552">
        <v>2</v>
      </c>
      <c r="E552">
        <v>2511</v>
      </c>
      <c r="F552">
        <v>3449</v>
      </c>
      <c r="G552">
        <v>1</v>
      </c>
      <c r="H552">
        <v>1959</v>
      </c>
      <c r="I552">
        <v>2004</v>
      </c>
      <c r="J552" s="1" t="s">
        <v>30</v>
      </c>
      <c r="K552">
        <v>0</v>
      </c>
      <c r="L552" s="1" t="s">
        <v>31</v>
      </c>
      <c r="M552" s="1" t="s">
        <v>27</v>
      </c>
      <c r="N552" s="1" t="s">
        <v>25</v>
      </c>
      <c r="O552">
        <v>8</v>
      </c>
      <c r="P552">
        <v>0</v>
      </c>
      <c r="Q552" s="1" t="s">
        <v>74</v>
      </c>
      <c r="R552">
        <v>1</v>
      </c>
      <c r="S552" s="1" t="s">
        <v>24</v>
      </c>
      <c r="T552">
        <v>30552000</v>
      </c>
      <c r="U552" t="s">
        <v>184</v>
      </c>
      <c r="V552" s="1" t="s">
        <v>171</v>
      </c>
      <c r="W552" s="1" t="s">
        <v>172</v>
      </c>
      <c r="X552" s="1" t="str">
        <f>VLOOKUP(V552,Broker_Directory!A:C,3,FALSE)</f>
        <v>Tier B</v>
      </c>
      <c r="Y552" s="1">
        <f>HLOOKUP(X552, Commission_Rates!A$1:C$2, 2, FALSE)</f>
        <v>1.4999999999999999E-2</v>
      </c>
      <c r="Z552" s="1">
        <f t="shared" si="24"/>
        <v>458280</v>
      </c>
      <c r="AA552" s="1">
        <f t="shared" si="25"/>
        <v>916560</v>
      </c>
      <c r="AB552" s="1">
        <f t="shared" si="26"/>
        <v>458280</v>
      </c>
    </row>
    <row r="553" spans="1:28" x14ac:dyDescent="0.3">
      <c r="A553" s="1" t="s">
        <v>53</v>
      </c>
      <c r="B553" s="1" t="s">
        <v>66</v>
      </c>
      <c r="C553">
        <v>5</v>
      </c>
      <c r="D553">
        <v>2</v>
      </c>
      <c r="E553">
        <v>565</v>
      </c>
      <c r="F553">
        <v>4552</v>
      </c>
      <c r="G553">
        <v>2</v>
      </c>
      <c r="H553">
        <v>1960</v>
      </c>
      <c r="I553">
        <v>1964</v>
      </c>
      <c r="J553" s="1" t="s">
        <v>22</v>
      </c>
      <c r="K553">
        <v>0</v>
      </c>
      <c r="L553" s="1" t="s">
        <v>23</v>
      </c>
      <c r="M553" s="1" t="s">
        <v>27</v>
      </c>
      <c r="N553" s="1" t="s">
        <v>25</v>
      </c>
      <c r="O553">
        <v>4</v>
      </c>
      <c r="P553">
        <v>0</v>
      </c>
      <c r="Q553" s="1" t="s">
        <v>82</v>
      </c>
      <c r="R553">
        <v>2</v>
      </c>
      <c r="S553" s="1" t="s">
        <v>27</v>
      </c>
      <c r="T553">
        <v>5540000</v>
      </c>
      <c r="U553" t="s">
        <v>182</v>
      </c>
      <c r="V553" s="1" t="s">
        <v>176</v>
      </c>
      <c r="W553" s="1" t="s">
        <v>177</v>
      </c>
      <c r="X553" s="1" t="str">
        <f>VLOOKUP(V553,Broker_Directory!A:C,3,FALSE)</f>
        <v>Tier C</v>
      </c>
      <c r="Y553" s="1">
        <f>HLOOKUP(X553, Commission_Rates!A$1:C$2, 2, FALSE)</f>
        <v>0.01</v>
      </c>
      <c r="Z553" s="1">
        <f t="shared" si="24"/>
        <v>0</v>
      </c>
      <c r="AA553" s="1">
        <f t="shared" si="25"/>
        <v>0</v>
      </c>
      <c r="AB553" s="1">
        <f t="shared" si="26"/>
        <v>0</v>
      </c>
    </row>
    <row r="554" spans="1:28" x14ac:dyDescent="0.3">
      <c r="A554" s="1" t="s">
        <v>33</v>
      </c>
      <c r="B554" s="1" t="s">
        <v>75</v>
      </c>
      <c r="C554">
        <v>3</v>
      </c>
      <c r="D554">
        <v>4</v>
      </c>
      <c r="E554">
        <v>3215</v>
      </c>
      <c r="F554">
        <v>4326</v>
      </c>
      <c r="G554">
        <v>3</v>
      </c>
      <c r="H554">
        <v>1962</v>
      </c>
      <c r="I554">
        <v>2003</v>
      </c>
      <c r="J554" s="1" t="s">
        <v>22</v>
      </c>
      <c r="K554">
        <v>0</v>
      </c>
      <c r="L554" s="1" t="s">
        <v>31</v>
      </c>
      <c r="M554" s="1" t="s">
        <v>24</v>
      </c>
      <c r="N554" s="1" t="s">
        <v>35</v>
      </c>
      <c r="O554">
        <v>6</v>
      </c>
      <c r="P554">
        <v>3</v>
      </c>
      <c r="Q554" s="1" t="s">
        <v>76</v>
      </c>
      <c r="R554">
        <v>2</v>
      </c>
      <c r="S554" s="1" t="s">
        <v>24</v>
      </c>
      <c r="T554">
        <v>27762500</v>
      </c>
      <c r="U554" t="s">
        <v>184</v>
      </c>
      <c r="V554" s="1" t="s">
        <v>171</v>
      </c>
      <c r="W554" s="1" t="s">
        <v>172</v>
      </c>
      <c r="X554" s="1" t="str">
        <f>VLOOKUP(V554,Broker_Directory!A:C,3,FALSE)</f>
        <v>Tier B</v>
      </c>
      <c r="Y554" s="1">
        <f>HLOOKUP(X554, Commission_Rates!A$1:C$2, 2, FALSE)</f>
        <v>1.4999999999999999E-2</v>
      </c>
      <c r="Z554" s="1">
        <f t="shared" si="24"/>
        <v>416437.5</v>
      </c>
      <c r="AA554" s="1">
        <f t="shared" si="25"/>
        <v>832875</v>
      </c>
      <c r="AB554" s="1">
        <f t="shared" si="26"/>
        <v>416437.5</v>
      </c>
    </row>
    <row r="555" spans="1:28" x14ac:dyDescent="0.3">
      <c r="A555" s="1" t="s">
        <v>28</v>
      </c>
      <c r="B555" s="1" t="s">
        <v>29</v>
      </c>
      <c r="C555">
        <v>1</v>
      </c>
      <c r="D555">
        <v>1</v>
      </c>
      <c r="E555">
        <v>2197</v>
      </c>
      <c r="F555">
        <v>9492</v>
      </c>
      <c r="G555">
        <v>1</v>
      </c>
      <c r="H555">
        <v>1968</v>
      </c>
      <c r="I555">
        <v>2016</v>
      </c>
      <c r="J555" s="1" t="s">
        <v>52</v>
      </c>
      <c r="K555">
        <v>2</v>
      </c>
      <c r="L555" s="1" t="s">
        <v>41</v>
      </c>
      <c r="M555" s="1" t="s">
        <v>24</v>
      </c>
      <c r="N555" s="1" t="s">
        <v>46</v>
      </c>
      <c r="O555">
        <v>4</v>
      </c>
      <c r="P555">
        <v>2</v>
      </c>
      <c r="Q555" s="1" t="s">
        <v>81</v>
      </c>
      <c r="R555">
        <v>0</v>
      </c>
      <c r="S555" s="1" t="s">
        <v>27</v>
      </c>
      <c r="T555">
        <v>22095000</v>
      </c>
      <c r="U555" t="s">
        <v>182</v>
      </c>
      <c r="V555" s="1" t="s">
        <v>179</v>
      </c>
      <c r="W555" s="1" t="s">
        <v>180</v>
      </c>
      <c r="X555" s="1" t="str">
        <f>VLOOKUP(V555,Broker_Directory!A:C,3,FALSE)</f>
        <v>Tier B</v>
      </c>
      <c r="Y555" s="1">
        <f>HLOOKUP(X555, Commission_Rates!A$1:C$2, 2, FALSE)</f>
        <v>1.4999999999999999E-2</v>
      </c>
      <c r="Z555" s="1">
        <f t="shared" si="24"/>
        <v>0</v>
      </c>
      <c r="AA555" s="1">
        <f t="shared" si="25"/>
        <v>0</v>
      </c>
      <c r="AB555" s="1">
        <f t="shared" si="26"/>
        <v>0</v>
      </c>
    </row>
    <row r="556" spans="1:28" x14ac:dyDescent="0.3">
      <c r="A556" s="1" t="s">
        <v>28</v>
      </c>
      <c r="B556" s="1" t="s">
        <v>110</v>
      </c>
      <c r="C556">
        <v>5</v>
      </c>
      <c r="D556">
        <v>1</v>
      </c>
      <c r="E556">
        <v>1548</v>
      </c>
      <c r="F556">
        <v>9749</v>
      </c>
      <c r="G556">
        <v>1</v>
      </c>
      <c r="H556">
        <v>1951</v>
      </c>
      <c r="I556">
        <v>1968</v>
      </c>
      <c r="J556" s="1" t="s">
        <v>30</v>
      </c>
      <c r="K556">
        <v>0</v>
      </c>
      <c r="L556" s="1" t="s">
        <v>41</v>
      </c>
      <c r="M556" s="1" t="s">
        <v>24</v>
      </c>
      <c r="N556" s="1" t="s">
        <v>46</v>
      </c>
      <c r="O556">
        <v>5</v>
      </c>
      <c r="P556">
        <v>1</v>
      </c>
      <c r="Q556" s="1" t="s">
        <v>111</v>
      </c>
      <c r="R556">
        <v>1</v>
      </c>
      <c r="S556" s="1" t="s">
        <v>24</v>
      </c>
      <c r="T556">
        <v>15870000</v>
      </c>
      <c r="U556" t="s">
        <v>184</v>
      </c>
      <c r="V556" s="1" t="s">
        <v>174</v>
      </c>
      <c r="W556" s="1" t="s">
        <v>175</v>
      </c>
      <c r="X556" s="1" t="str">
        <f>VLOOKUP(V556,Broker_Directory!A:C,3,FALSE)</f>
        <v>Tier A</v>
      </c>
      <c r="Y556" s="1">
        <f>HLOOKUP(X556, Commission_Rates!A$1:C$2, 2, FALSE)</f>
        <v>0.02</v>
      </c>
      <c r="Z556" s="1">
        <f t="shared" si="24"/>
        <v>317400</v>
      </c>
      <c r="AA556" s="1">
        <f t="shared" si="25"/>
        <v>476100</v>
      </c>
      <c r="AB556" s="1">
        <f t="shared" si="26"/>
        <v>158700</v>
      </c>
    </row>
    <row r="557" spans="1:28" x14ac:dyDescent="0.3">
      <c r="A557" s="1" t="s">
        <v>53</v>
      </c>
      <c r="B557" s="1" t="s">
        <v>100</v>
      </c>
      <c r="C557">
        <v>3</v>
      </c>
      <c r="D557">
        <v>3</v>
      </c>
      <c r="E557">
        <v>1030</v>
      </c>
      <c r="F557">
        <v>2245</v>
      </c>
      <c r="G557">
        <v>1</v>
      </c>
      <c r="H557">
        <v>2008</v>
      </c>
      <c r="I557">
        <v>2015</v>
      </c>
      <c r="J557" s="1" t="s">
        <v>22</v>
      </c>
      <c r="K557">
        <v>2</v>
      </c>
      <c r="L557" s="1" t="s">
        <v>41</v>
      </c>
      <c r="M557" s="1" t="s">
        <v>24</v>
      </c>
      <c r="N557" s="1" t="s">
        <v>25</v>
      </c>
      <c r="O557">
        <v>9</v>
      </c>
      <c r="P557">
        <v>3</v>
      </c>
      <c r="Q557" s="1" t="s">
        <v>131</v>
      </c>
      <c r="R557">
        <v>2</v>
      </c>
      <c r="S557" s="1" t="s">
        <v>27</v>
      </c>
      <c r="T557">
        <v>9660000</v>
      </c>
      <c r="U557" t="s">
        <v>182</v>
      </c>
      <c r="V557" s="1" t="s">
        <v>174</v>
      </c>
      <c r="W557" s="1" t="s">
        <v>175</v>
      </c>
      <c r="X557" s="1" t="str">
        <f>VLOOKUP(V557,Broker_Directory!A:C,3,FALSE)</f>
        <v>Tier A</v>
      </c>
      <c r="Y557" s="1">
        <f>HLOOKUP(X557, Commission_Rates!A$1:C$2, 2, FALSE)</f>
        <v>0.02</v>
      </c>
      <c r="Z557" s="1">
        <f t="shared" si="24"/>
        <v>0</v>
      </c>
      <c r="AA557" s="1">
        <f t="shared" si="25"/>
        <v>0</v>
      </c>
      <c r="AB557" s="1">
        <f t="shared" si="26"/>
        <v>0</v>
      </c>
    </row>
    <row r="558" spans="1:28" x14ac:dyDescent="0.3">
      <c r="A558" s="1" t="s">
        <v>37</v>
      </c>
      <c r="B558" s="1" t="s">
        <v>72</v>
      </c>
      <c r="C558">
        <v>5</v>
      </c>
      <c r="D558">
        <v>2</v>
      </c>
      <c r="E558">
        <v>3911</v>
      </c>
      <c r="F558">
        <v>6965</v>
      </c>
      <c r="G558">
        <v>3</v>
      </c>
      <c r="H558">
        <v>1990</v>
      </c>
      <c r="I558">
        <v>2012</v>
      </c>
      <c r="J558" s="1" t="s">
        <v>58</v>
      </c>
      <c r="K558">
        <v>3</v>
      </c>
      <c r="L558" s="1" t="s">
        <v>41</v>
      </c>
      <c r="M558" s="1" t="s">
        <v>27</v>
      </c>
      <c r="N558" s="1" t="s">
        <v>35</v>
      </c>
      <c r="O558">
        <v>0</v>
      </c>
      <c r="P558">
        <v>4</v>
      </c>
      <c r="Q558" s="1" t="s">
        <v>107</v>
      </c>
      <c r="R558">
        <v>1</v>
      </c>
      <c r="S558" s="1" t="s">
        <v>24</v>
      </c>
      <c r="T558">
        <v>31723000</v>
      </c>
      <c r="U558" t="s">
        <v>184</v>
      </c>
      <c r="V558" s="1" t="s">
        <v>168</v>
      </c>
      <c r="W558" s="1" t="s">
        <v>169</v>
      </c>
      <c r="X558" s="1" t="str">
        <f>VLOOKUP(V558,Broker_Directory!A:C,3,FALSE)</f>
        <v>Tier A</v>
      </c>
      <c r="Y558" s="1">
        <f>HLOOKUP(X558, Commission_Rates!A$1:C$2, 2, FALSE)</f>
        <v>0.02</v>
      </c>
      <c r="Z558" s="1">
        <f t="shared" si="24"/>
        <v>634460</v>
      </c>
      <c r="AA558" s="1">
        <f t="shared" si="25"/>
        <v>951690</v>
      </c>
      <c r="AB558" s="1">
        <f t="shared" si="26"/>
        <v>317230</v>
      </c>
    </row>
    <row r="559" spans="1:28" x14ac:dyDescent="0.3">
      <c r="A559" s="1" t="s">
        <v>28</v>
      </c>
      <c r="B559" s="1" t="s">
        <v>60</v>
      </c>
      <c r="C559">
        <v>3</v>
      </c>
      <c r="D559">
        <v>4</v>
      </c>
      <c r="E559">
        <v>1596</v>
      </c>
      <c r="F559">
        <v>8187</v>
      </c>
      <c r="G559">
        <v>1</v>
      </c>
      <c r="H559">
        <v>1978</v>
      </c>
      <c r="I559">
        <v>2001</v>
      </c>
      <c r="J559" s="1" t="s">
        <v>22</v>
      </c>
      <c r="K559">
        <v>0</v>
      </c>
      <c r="L559" s="1" t="s">
        <v>64</v>
      </c>
      <c r="M559" s="1" t="s">
        <v>27</v>
      </c>
      <c r="N559" s="1" t="s">
        <v>46</v>
      </c>
      <c r="O559">
        <v>10</v>
      </c>
      <c r="P559">
        <v>4</v>
      </c>
      <c r="Q559" s="1" t="s">
        <v>136</v>
      </c>
      <c r="R559">
        <v>0</v>
      </c>
      <c r="S559" s="1" t="s">
        <v>24</v>
      </c>
      <c r="T559">
        <v>16300000</v>
      </c>
      <c r="U559" t="s">
        <v>184</v>
      </c>
      <c r="V559" s="1" t="s">
        <v>176</v>
      </c>
      <c r="W559" s="1" t="s">
        <v>177</v>
      </c>
      <c r="X559" s="1" t="str">
        <f>VLOOKUP(V559,Broker_Directory!A:C,3,FALSE)</f>
        <v>Tier C</v>
      </c>
      <c r="Y559" s="1">
        <f>HLOOKUP(X559, Commission_Rates!A$1:C$2, 2, FALSE)</f>
        <v>0.01</v>
      </c>
      <c r="Z559" s="1">
        <f t="shared" si="24"/>
        <v>163000</v>
      </c>
      <c r="AA559" s="1">
        <f t="shared" si="25"/>
        <v>489000</v>
      </c>
      <c r="AB559" s="1">
        <f t="shared" si="26"/>
        <v>326000</v>
      </c>
    </row>
    <row r="560" spans="1:28" x14ac:dyDescent="0.3">
      <c r="A560" s="1" t="s">
        <v>28</v>
      </c>
      <c r="B560" s="1" t="s">
        <v>60</v>
      </c>
      <c r="C560">
        <v>4</v>
      </c>
      <c r="D560">
        <v>4</v>
      </c>
      <c r="E560">
        <v>1934</v>
      </c>
      <c r="F560">
        <v>5273</v>
      </c>
      <c r="G560">
        <v>2</v>
      </c>
      <c r="H560">
        <v>1958</v>
      </c>
      <c r="I560">
        <v>1997</v>
      </c>
      <c r="J560" s="1" t="s">
        <v>30</v>
      </c>
      <c r="K560">
        <v>3</v>
      </c>
      <c r="L560" s="1" t="s">
        <v>31</v>
      </c>
      <c r="M560" s="1" t="s">
        <v>27</v>
      </c>
      <c r="N560" s="1" t="s">
        <v>25</v>
      </c>
      <c r="O560">
        <v>4</v>
      </c>
      <c r="P560">
        <v>3</v>
      </c>
      <c r="Q560" s="1" t="s">
        <v>118</v>
      </c>
      <c r="R560">
        <v>1</v>
      </c>
      <c r="S560" s="1" t="s">
        <v>27</v>
      </c>
      <c r="T560">
        <v>19790000</v>
      </c>
      <c r="U560" t="s">
        <v>184</v>
      </c>
      <c r="V560" s="1" t="s">
        <v>171</v>
      </c>
      <c r="W560" s="1" t="s">
        <v>172</v>
      </c>
      <c r="X560" s="1" t="str">
        <f>VLOOKUP(V560,Broker_Directory!A:C,3,FALSE)</f>
        <v>Tier B</v>
      </c>
      <c r="Y560" s="1">
        <f>HLOOKUP(X560, Commission_Rates!A$1:C$2, 2, FALSE)</f>
        <v>1.4999999999999999E-2</v>
      </c>
      <c r="Z560" s="1">
        <f t="shared" si="24"/>
        <v>296850</v>
      </c>
      <c r="AA560" s="1">
        <f t="shared" si="25"/>
        <v>593700</v>
      </c>
      <c r="AB560" s="1">
        <f t="shared" si="26"/>
        <v>296850</v>
      </c>
    </row>
    <row r="561" spans="1:28" x14ac:dyDescent="0.3">
      <c r="A561" s="1" t="s">
        <v>28</v>
      </c>
      <c r="B561" s="1" t="s">
        <v>110</v>
      </c>
      <c r="C561">
        <v>3</v>
      </c>
      <c r="D561">
        <v>1</v>
      </c>
      <c r="E561">
        <v>3415</v>
      </c>
      <c r="F561">
        <v>3976</v>
      </c>
      <c r="G561">
        <v>2</v>
      </c>
      <c r="H561">
        <v>2005</v>
      </c>
      <c r="I561">
        <v>2019</v>
      </c>
      <c r="J561" s="1" t="s">
        <v>52</v>
      </c>
      <c r="K561">
        <v>0</v>
      </c>
      <c r="L561" s="1" t="s">
        <v>31</v>
      </c>
      <c r="M561" s="1" t="s">
        <v>24</v>
      </c>
      <c r="N561" s="1" t="s">
        <v>35</v>
      </c>
      <c r="O561">
        <v>6</v>
      </c>
      <c r="P561">
        <v>2</v>
      </c>
      <c r="Q561" s="1" t="s">
        <v>111</v>
      </c>
      <c r="R561">
        <v>1</v>
      </c>
      <c r="S561" s="1" t="s">
        <v>24</v>
      </c>
      <c r="T561">
        <v>34460000</v>
      </c>
      <c r="U561" t="s">
        <v>184</v>
      </c>
      <c r="V561" s="1" t="s">
        <v>174</v>
      </c>
      <c r="W561" s="1" t="s">
        <v>175</v>
      </c>
      <c r="X561" s="1" t="str">
        <f>VLOOKUP(V561,Broker_Directory!A:C,3,FALSE)</f>
        <v>Tier A</v>
      </c>
      <c r="Y561" s="1">
        <f>HLOOKUP(X561, Commission_Rates!A$1:C$2, 2, FALSE)</f>
        <v>0.02</v>
      </c>
      <c r="Z561" s="1">
        <f t="shared" si="24"/>
        <v>689200</v>
      </c>
      <c r="AA561" s="1">
        <f t="shared" si="25"/>
        <v>1033800</v>
      </c>
      <c r="AB561" s="1">
        <f t="shared" si="26"/>
        <v>344600</v>
      </c>
    </row>
    <row r="562" spans="1:28" x14ac:dyDescent="0.3">
      <c r="A562" s="1" t="s">
        <v>28</v>
      </c>
      <c r="B562" s="1" t="s">
        <v>60</v>
      </c>
      <c r="C562">
        <v>3</v>
      </c>
      <c r="D562">
        <v>4</v>
      </c>
      <c r="E562">
        <v>969</v>
      </c>
      <c r="F562">
        <v>5906</v>
      </c>
      <c r="G562">
        <v>3</v>
      </c>
      <c r="H562">
        <v>2007</v>
      </c>
      <c r="I562">
        <v>2019</v>
      </c>
      <c r="J562" s="1" t="s">
        <v>52</v>
      </c>
      <c r="K562">
        <v>2</v>
      </c>
      <c r="L562" s="1" t="s">
        <v>31</v>
      </c>
      <c r="M562" s="1" t="s">
        <v>24</v>
      </c>
      <c r="N562" s="1" t="s">
        <v>25</v>
      </c>
      <c r="O562">
        <v>6</v>
      </c>
      <c r="P562">
        <v>2</v>
      </c>
      <c r="Q562" s="1" t="s">
        <v>61</v>
      </c>
      <c r="R562">
        <v>1</v>
      </c>
      <c r="S562" s="1" t="s">
        <v>24</v>
      </c>
      <c r="T562">
        <v>10185000</v>
      </c>
      <c r="U562" t="s">
        <v>182</v>
      </c>
      <c r="V562" s="1" t="s">
        <v>174</v>
      </c>
      <c r="W562" s="1" t="s">
        <v>175</v>
      </c>
      <c r="X562" s="1" t="str">
        <f>VLOOKUP(V562,Broker_Directory!A:C,3,FALSE)</f>
        <v>Tier A</v>
      </c>
      <c r="Y562" s="1">
        <f>HLOOKUP(X562, Commission_Rates!A$1:C$2, 2, FALSE)</f>
        <v>0.02</v>
      </c>
      <c r="Z562" s="1">
        <f t="shared" si="24"/>
        <v>0</v>
      </c>
      <c r="AA562" s="1">
        <f t="shared" si="25"/>
        <v>0</v>
      </c>
      <c r="AB562" s="1">
        <f t="shared" si="26"/>
        <v>0</v>
      </c>
    </row>
    <row r="563" spans="1:28" x14ac:dyDescent="0.3">
      <c r="A563" s="1" t="s">
        <v>53</v>
      </c>
      <c r="B563" s="1" t="s">
        <v>54</v>
      </c>
      <c r="C563">
        <v>4</v>
      </c>
      <c r="D563">
        <v>4</v>
      </c>
      <c r="E563">
        <v>4686</v>
      </c>
      <c r="F563">
        <v>6052</v>
      </c>
      <c r="G563">
        <v>3</v>
      </c>
      <c r="H563">
        <v>2005</v>
      </c>
      <c r="I563">
        <v>2015</v>
      </c>
      <c r="J563" s="1" t="s">
        <v>22</v>
      </c>
      <c r="K563">
        <v>0</v>
      </c>
      <c r="L563" s="1" t="s">
        <v>31</v>
      </c>
      <c r="M563" s="1" t="s">
        <v>24</v>
      </c>
      <c r="N563" s="1" t="s">
        <v>35</v>
      </c>
      <c r="O563">
        <v>10</v>
      </c>
      <c r="P563">
        <v>4</v>
      </c>
      <c r="Q563" s="1" t="s">
        <v>59</v>
      </c>
      <c r="R563">
        <v>2</v>
      </c>
      <c r="S563" s="1" t="s">
        <v>27</v>
      </c>
      <c r="T563">
        <v>42609000</v>
      </c>
      <c r="U563" t="s">
        <v>182</v>
      </c>
      <c r="V563" s="1" t="s">
        <v>171</v>
      </c>
      <c r="W563" s="1" t="s">
        <v>172</v>
      </c>
      <c r="X563" s="1" t="str">
        <f>VLOOKUP(V563,Broker_Directory!A:C,3,FALSE)</f>
        <v>Tier B</v>
      </c>
      <c r="Y563" s="1">
        <f>HLOOKUP(X563, Commission_Rates!A$1:C$2, 2, FALSE)</f>
        <v>1.4999999999999999E-2</v>
      </c>
      <c r="Z563" s="1">
        <f t="shared" si="24"/>
        <v>0</v>
      </c>
      <c r="AA563" s="1">
        <f t="shared" si="25"/>
        <v>0</v>
      </c>
      <c r="AB563" s="1">
        <f t="shared" si="26"/>
        <v>0</v>
      </c>
    </row>
    <row r="564" spans="1:28" x14ac:dyDescent="0.3">
      <c r="A564" s="1" t="s">
        <v>20</v>
      </c>
      <c r="B564" s="1" t="s">
        <v>40</v>
      </c>
      <c r="C564">
        <v>4</v>
      </c>
      <c r="D564">
        <v>2</v>
      </c>
      <c r="E564">
        <v>4391</v>
      </c>
      <c r="F564">
        <v>7033</v>
      </c>
      <c r="G564">
        <v>1</v>
      </c>
      <c r="H564">
        <v>2002</v>
      </c>
      <c r="I564">
        <v>2009</v>
      </c>
      <c r="J564" s="1" t="s">
        <v>58</v>
      </c>
      <c r="K564">
        <v>3</v>
      </c>
      <c r="L564" s="1" t="s">
        <v>31</v>
      </c>
      <c r="M564" s="1" t="s">
        <v>27</v>
      </c>
      <c r="N564" s="1" t="s">
        <v>35</v>
      </c>
      <c r="O564">
        <v>9</v>
      </c>
      <c r="P564">
        <v>0</v>
      </c>
      <c r="Q564" s="1" t="s">
        <v>115</v>
      </c>
      <c r="R564">
        <v>1</v>
      </c>
      <c r="S564" s="1" t="s">
        <v>24</v>
      </c>
      <c r="T564">
        <v>53037000</v>
      </c>
      <c r="U564" t="s">
        <v>182</v>
      </c>
      <c r="V564" s="1" t="s">
        <v>174</v>
      </c>
      <c r="W564" s="1" t="s">
        <v>175</v>
      </c>
      <c r="X564" s="1" t="str">
        <f>VLOOKUP(V564,Broker_Directory!A:C,3,FALSE)</f>
        <v>Tier A</v>
      </c>
      <c r="Y564" s="1">
        <f>HLOOKUP(X564, Commission_Rates!A$1:C$2, 2, FALSE)</f>
        <v>0.02</v>
      </c>
      <c r="Z564" s="1">
        <f t="shared" si="24"/>
        <v>0</v>
      </c>
      <c r="AA564" s="1">
        <f t="shared" si="25"/>
        <v>0</v>
      </c>
      <c r="AB564" s="1">
        <f t="shared" si="26"/>
        <v>0</v>
      </c>
    </row>
    <row r="565" spans="1:28" x14ac:dyDescent="0.3">
      <c r="A565" s="1" t="s">
        <v>37</v>
      </c>
      <c r="B565" s="1" t="s">
        <v>45</v>
      </c>
      <c r="C565">
        <v>2</v>
      </c>
      <c r="D565">
        <v>4</v>
      </c>
      <c r="E565">
        <v>2070</v>
      </c>
      <c r="F565">
        <v>4971</v>
      </c>
      <c r="G565">
        <v>1</v>
      </c>
      <c r="H565">
        <v>1974</v>
      </c>
      <c r="I565">
        <v>2016</v>
      </c>
      <c r="J565" s="1" t="s">
        <v>58</v>
      </c>
      <c r="K565">
        <v>2</v>
      </c>
      <c r="L565" s="1" t="s">
        <v>64</v>
      </c>
      <c r="M565" s="1" t="s">
        <v>24</v>
      </c>
      <c r="N565" s="1" t="s">
        <v>46</v>
      </c>
      <c r="O565">
        <v>4</v>
      </c>
      <c r="P565">
        <v>4</v>
      </c>
      <c r="Q565" s="1" t="s">
        <v>47</v>
      </c>
      <c r="R565">
        <v>3</v>
      </c>
      <c r="S565" s="1" t="s">
        <v>27</v>
      </c>
      <c r="T565">
        <v>16870000</v>
      </c>
      <c r="U565" t="s">
        <v>182</v>
      </c>
      <c r="V565" s="1" t="s">
        <v>174</v>
      </c>
      <c r="W565" s="1" t="s">
        <v>175</v>
      </c>
      <c r="X565" s="1" t="str">
        <f>VLOOKUP(V565,Broker_Directory!A:C,3,FALSE)</f>
        <v>Tier A</v>
      </c>
      <c r="Y565" s="1">
        <f>HLOOKUP(X565, Commission_Rates!A$1:C$2, 2, FALSE)</f>
        <v>0.02</v>
      </c>
      <c r="Z565" s="1">
        <f t="shared" si="24"/>
        <v>0</v>
      </c>
      <c r="AA565" s="1">
        <f t="shared" si="25"/>
        <v>0</v>
      </c>
      <c r="AB565" s="1">
        <f t="shared" si="26"/>
        <v>0</v>
      </c>
    </row>
    <row r="566" spans="1:28" x14ac:dyDescent="0.3">
      <c r="A566" s="1" t="s">
        <v>37</v>
      </c>
      <c r="B566" s="1" t="s">
        <v>72</v>
      </c>
      <c r="C566">
        <v>3</v>
      </c>
      <c r="D566">
        <v>3</v>
      </c>
      <c r="E566">
        <v>4743</v>
      </c>
      <c r="F566">
        <v>8281</v>
      </c>
      <c r="G566">
        <v>3</v>
      </c>
      <c r="H566">
        <v>1992</v>
      </c>
      <c r="I566">
        <v>1998</v>
      </c>
      <c r="J566" s="1" t="s">
        <v>52</v>
      </c>
      <c r="K566">
        <v>3</v>
      </c>
      <c r="L566" s="1" t="s">
        <v>41</v>
      </c>
      <c r="M566" s="1" t="s">
        <v>27</v>
      </c>
      <c r="N566" s="1" t="s">
        <v>25</v>
      </c>
      <c r="O566">
        <v>8</v>
      </c>
      <c r="P566">
        <v>4</v>
      </c>
      <c r="Q566" s="1" t="s">
        <v>73</v>
      </c>
      <c r="R566">
        <v>3</v>
      </c>
      <c r="S566" s="1" t="s">
        <v>27</v>
      </c>
      <c r="T566">
        <v>38364000</v>
      </c>
      <c r="U566" t="s">
        <v>182</v>
      </c>
      <c r="V566" s="1" t="s">
        <v>179</v>
      </c>
      <c r="W566" s="1" t="s">
        <v>180</v>
      </c>
      <c r="X566" s="1" t="str">
        <f>VLOOKUP(V566,Broker_Directory!A:C,3,FALSE)</f>
        <v>Tier B</v>
      </c>
      <c r="Y566" s="1">
        <f>HLOOKUP(X566, Commission_Rates!A$1:C$2, 2, FALSE)</f>
        <v>1.4999999999999999E-2</v>
      </c>
      <c r="Z566" s="1">
        <f t="shared" si="24"/>
        <v>0</v>
      </c>
      <c r="AA566" s="1">
        <f t="shared" si="25"/>
        <v>0</v>
      </c>
      <c r="AB566" s="1">
        <f t="shared" si="26"/>
        <v>0</v>
      </c>
    </row>
    <row r="567" spans="1:28" x14ac:dyDescent="0.3">
      <c r="A567" s="1" t="s">
        <v>53</v>
      </c>
      <c r="B567" s="1" t="s">
        <v>54</v>
      </c>
      <c r="C567">
        <v>3</v>
      </c>
      <c r="D567">
        <v>1</v>
      </c>
      <c r="E567">
        <v>1017</v>
      </c>
      <c r="F567">
        <v>2767</v>
      </c>
      <c r="G567">
        <v>1</v>
      </c>
      <c r="H567">
        <v>1952</v>
      </c>
      <c r="I567">
        <v>2003</v>
      </c>
      <c r="J567" s="1" t="s">
        <v>58</v>
      </c>
      <c r="K567">
        <v>3</v>
      </c>
      <c r="L567" s="1" t="s">
        <v>23</v>
      </c>
      <c r="M567" s="1" t="s">
        <v>27</v>
      </c>
      <c r="N567" s="1" t="s">
        <v>35</v>
      </c>
      <c r="O567">
        <v>9</v>
      </c>
      <c r="P567">
        <v>0</v>
      </c>
      <c r="Q567" s="1" t="s">
        <v>144</v>
      </c>
      <c r="R567">
        <v>3</v>
      </c>
      <c r="S567" s="1" t="s">
        <v>24</v>
      </c>
      <c r="T567">
        <v>9448000</v>
      </c>
      <c r="U567" t="s">
        <v>182</v>
      </c>
      <c r="V567" s="1" t="s">
        <v>171</v>
      </c>
      <c r="W567" s="1" t="s">
        <v>172</v>
      </c>
      <c r="X567" s="1" t="str">
        <f>VLOOKUP(V567,Broker_Directory!A:C,3,FALSE)</f>
        <v>Tier B</v>
      </c>
      <c r="Y567" s="1">
        <f>HLOOKUP(X567, Commission_Rates!A$1:C$2, 2, FALSE)</f>
        <v>1.4999999999999999E-2</v>
      </c>
      <c r="Z567" s="1">
        <f t="shared" si="24"/>
        <v>0</v>
      </c>
      <c r="AA567" s="1">
        <f t="shared" si="25"/>
        <v>0</v>
      </c>
      <c r="AB567" s="1">
        <f t="shared" si="26"/>
        <v>0</v>
      </c>
    </row>
    <row r="568" spans="1:28" x14ac:dyDescent="0.3">
      <c r="A568" s="1" t="s">
        <v>28</v>
      </c>
      <c r="B568" s="1" t="s">
        <v>29</v>
      </c>
      <c r="C568">
        <v>5</v>
      </c>
      <c r="D568">
        <v>4</v>
      </c>
      <c r="E568">
        <v>1237</v>
      </c>
      <c r="F568">
        <v>4491</v>
      </c>
      <c r="G568">
        <v>2</v>
      </c>
      <c r="H568">
        <v>1965</v>
      </c>
      <c r="I568">
        <v>1986</v>
      </c>
      <c r="J568" s="1" t="s">
        <v>22</v>
      </c>
      <c r="K568">
        <v>3</v>
      </c>
      <c r="L568" s="1" t="s">
        <v>41</v>
      </c>
      <c r="M568" s="1" t="s">
        <v>24</v>
      </c>
      <c r="N568" s="1" t="s">
        <v>46</v>
      </c>
      <c r="O568">
        <v>3</v>
      </c>
      <c r="P568">
        <v>4</v>
      </c>
      <c r="Q568" s="1" t="s">
        <v>65</v>
      </c>
      <c r="R568">
        <v>2</v>
      </c>
      <c r="S568" s="1" t="s">
        <v>27</v>
      </c>
      <c r="T568">
        <v>12835000</v>
      </c>
      <c r="U568" t="s">
        <v>182</v>
      </c>
      <c r="V568" s="1" t="s">
        <v>179</v>
      </c>
      <c r="W568" s="1" t="s">
        <v>180</v>
      </c>
      <c r="X568" s="1" t="str">
        <f>VLOOKUP(V568,Broker_Directory!A:C,3,FALSE)</f>
        <v>Tier B</v>
      </c>
      <c r="Y568" s="1">
        <f>HLOOKUP(X568, Commission_Rates!A$1:C$2, 2, FALSE)</f>
        <v>1.4999999999999999E-2</v>
      </c>
      <c r="Z568" s="1">
        <f t="shared" si="24"/>
        <v>0</v>
      </c>
      <c r="AA568" s="1">
        <f t="shared" si="25"/>
        <v>0</v>
      </c>
      <c r="AB568" s="1">
        <f t="shared" si="26"/>
        <v>0</v>
      </c>
    </row>
    <row r="569" spans="1:28" x14ac:dyDescent="0.3">
      <c r="A569" s="1" t="s">
        <v>53</v>
      </c>
      <c r="B569" s="1" t="s">
        <v>54</v>
      </c>
      <c r="C569">
        <v>2</v>
      </c>
      <c r="D569">
        <v>1</v>
      </c>
      <c r="E569">
        <v>3696</v>
      </c>
      <c r="F569">
        <v>4013</v>
      </c>
      <c r="G569">
        <v>1</v>
      </c>
      <c r="H569">
        <v>1953</v>
      </c>
      <c r="I569">
        <v>1971</v>
      </c>
      <c r="J569" s="1" t="s">
        <v>30</v>
      </c>
      <c r="K569">
        <v>2</v>
      </c>
      <c r="L569" s="1" t="s">
        <v>64</v>
      </c>
      <c r="M569" s="1" t="s">
        <v>24</v>
      </c>
      <c r="N569" s="1" t="s">
        <v>35</v>
      </c>
      <c r="O569">
        <v>6</v>
      </c>
      <c r="P569">
        <v>1</v>
      </c>
      <c r="Q569" s="1" t="s">
        <v>55</v>
      </c>
      <c r="R569">
        <v>1</v>
      </c>
      <c r="S569" s="1" t="s">
        <v>27</v>
      </c>
      <c r="T569">
        <v>33454000</v>
      </c>
      <c r="U569" t="s">
        <v>183</v>
      </c>
      <c r="V569" s="1" t="s">
        <v>179</v>
      </c>
      <c r="W569" s="1" t="s">
        <v>180</v>
      </c>
      <c r="X569" s="1" t="str">
        <f>VLOOKUP(V569,Broker_Directory!A:C,3,FALSE)</f>
        <v>Tier B</v>
      </c>
      <c r="Y569" s="1">
        <f>HLOOKUP(X569, Commission_Rates!A$1:C$2, 2, FALSE)</f>
        <v>1.4999999999999999E-2</v>
      </c>
      <c r="Z569" s="1">
        <f t="shared" si="24"/>
        <v>0</v>
      </c>
      <c r="AA569" s="1">
        <f t="shared" si="25"/>
        <v>0</v>
      </c>
      <c r="AB569" s="1">
        <f t="shared" si="26"/>
        <v>0</v>
      </c>
    </row>
    <row r="570" spans="1:28" x14ac:dyDescent="0.3">
      <c r="A570" s="1" t="s">
        <v>20</v>
      </c>
      <c r="B570" s="1" t="s">
        <v>133</v>
      </c>
      <c r="C570">
        <v>4</v>
      </c>
      <c r="D570">
        <v>2</v>
      </c>
      <c r="E570">
        <v>3498</v>
      </c>
      <c r="F570">
        <v>9512</v>
      </c>
      <c r="G570">
        <v>1</v>
      </c>
      <c r="H570">
        <v>2001</v>
      </c>
      <c r="I570">
        <v>2010</v>
      </c>
      <c r="J570" s="1" t="s">
        <v>52</v>
      </c>
      <c r="K570">
        <v>3</v>
      </c>
      <c r="L570" s="1" t="s">
        <v>31</v>
      </c>
      <c r="M570" s="1" t="s">
        <v>24</v>
      </c>
      <c r="N570" s="1" t="s">
        <v>35</v>
      </c>
      <c r="O570">
        <v>2</v>
      </c>
      <c r="P570">
        <v>4</v>
      </c>
      <c r="Q570" s="1" t="s">
        <v>162</v>
      </c>
      <c r="R570">
        <v>3</v>
      </c>
      <c r="S570" s="1" t="s">
        <v>27</v>
      </c>
      <c r="T570">
        <v>42326000</v>
      </c>
      <c r="U570" t="s">
        <v>183</v>
      </c>
      <c r="V570" s="1" t="s">
        <v>171</v>
      </c>
      <c r="W570" s="1" t="s">
        <v>172</v>
      </c>
      <c r="X570" s="1" t="str">
        <f>VLOOKUP(V570,Broker_Directory!A:C,3,FALSE)</f>
        <v>Tier B</v>
      </c>
      <c r="Y570" s="1">
        <f>HLOOKUP(X570, Commission_Rates!A$1:C$2, 2, FALSE)</f>
        <v>1.4999999999999999E-2</v>
      </c>
      <c r="Z570" s="1">
        <f t="shared" si="24"/>
        <v>0</v>
      </c>
      <c r="AA570" s="1">
        <f t="shared" si="25"/>
        <v>0</v>
      </c>
      <c r="AB570" s="1">
        <f t="shared" si="26"/>
        <v>0</v>
      </c>
    </row>
    <row r="571" spans="1:28" x14ac:dyDescent="0.3">
      <c r="A571" s="1" t="s">
        <v>33</v>
      </c>
      <c r="B571" s="1" t="s">
        <v>75</v>
      </c>
      <c r="C571">
        <v>3</v>
      </c>
      <c r="D571">
        <v>2</v>
      </c>
      <c r="E571">
        <v>1063</v>
      </c>
      <c r="F571">
        <v>2641</v>
      </c>
      <c r="G571">
        <v>1</v>
      </c>
      <c r="H571">
        <v>2005</v>
      </c>
      <c r="I571">
        <v>0</v>
      </c>
      <c r="J571" s="1" t="s">
        <v>52</v>
      </c>
      <c r="K571">
        <v>0</v>
      </c>
      <c r="L571" s="1" t="s">
        <v>23</v>
      </c>
      <c r="M571" s="1" t="s">
        <v>27</v>
      </c>
      <c r="N571" s="1" t="s">
        <v>25</v>
      </c>
      <c r="O571">
        <v>2</v>
      </c>
      <c r="P571">
        <v>3</v>
      </c>
      <c r="Q571" s="1" t="s">
        <v>161</v>
      </c>
      <c r="R571">
        <v>1</v>
      </c>
      <c r="S571" s="1" t="s">
        <v>24</v>
      </c>
      <c r="T571">
        <v>9405500</v>
      </c>
      <c r="U571" t="s">
        <v>182</v>
      </c>
      <c r="V571" s="1" t="s">
        <v>171</v>
      </c>
      <c r="W571" s="1" t="s">
        <v>172</v>
      </c>
      <c r="X571" s="1" t="str">
        <f>VLOOKUP(V571,Broker_Directory!A:C,3,FALSE)</f>
        <v>Tier B</v>
      </c>
      <c r="Y571" s="1">
        <f>HLOOKUP(X571, Commission_Rates!A$1:C$2, 2, FALSE)</f>
        <v>1.4999999999999999E-2</v>
      </c>
      <c r="Z571" s="1">
        <f t="shared" si="24"/>
        <v>0</v>
      </c>
      <c r="AA571" s="1">
        <f t="shared" si="25"/>
        <v>0</v>
      </c>
      <c r="AB571" s="1">
        <f t="shared" si="26"/>
        <v>0</v>
      </c>
    </row>
    <row r="572" spans="1:28" x14ac:dyDescent="0.3">
      <c r="A572" s="1" t="s">
        <v>28</v>
      </c>
      <c r="B572" s="1" t="s">
        <v>79</v>
      </c>
      <c r="C572">
        <v>2</v>
      </c>
      <c r="D572">
        <v>2</v>
      </c>
      <c r="E572">
        <v>3397</v>
      </c>
      <c r="F572">
        <v>9758</v>
      </c>
      <c r="G572">
        <v>2</v>
      </c>
      <c r="H572">
        <v>1956</v>
      </c>
      <c r="I572">
        <v>1990</v>
      </c>
      <c r="J572" s="1" t="s">
        <v>58</v>
      </c>
      <c r="K572">
        <v>1</v>
      </c>
      <c r="L572" s="1" t="s">
        <v>23</v>
      </c>
      <c r="M572" s="1" t="s">
        <v>24</v>
      </c>
      <c r="N572" s="1" t="s">
        <v>25</v>
      </c>
      <c r="O572">
        <v>7</v>
      </c>
      <c r="P572">
        <v>4</v>
      </c>
      <c r="Q572" s="1" t="s">
        <v>80</v>
      </c>
      <c r="R572">
        <v>0</v>
      </c>
      <c r="S572" s="1" t="s">
        <v>24</v>
      </c>
      <c r="T572">
        <v>34320000</v>
      </c>
      <c r="U572" t="s">
        <v>184</v>
      </c>
      <c r="V572" s="1" t="s">
        <v>179</v>
      </c>
      <c r="W572" s="1" t="s">
        <v>180</v>
      </c>
      <c r="X572" s="1" t="str">
        <f>VLOOKUP(V572,Broker_Directory!A:C,3,FALSE)</f>
        <v>Tier B</v>
      </c>
      <c r="Y572" s="1">
        <f>HLOOKUP(X572, Commission_Rates!A$1:C$2, 2, FALSE)</f>
        <v>1.4999999999999999E-2</v>
      </c>
      <c r="Z572" s="1">
        <f t="shared" si="24"/>
        <v>514800</v>
      </c>
      <c r="AA572" s="1">
        <f t="shared" si="25"/>
        <v>1029600</v>
      </c>
      <c r="AB572" s="1">
        <f t="shared" si="26"/>
        <v>514800</v>
      </c>
    </row>
    <row r="573" spans="1:28" x14ac:dyDescent="0.3">
      <c r="A573" s="1" t="s">
        <v>53</v>
      </c>
      <c r="B573" s="1" t="s">
        <v>89</v>
      </c>
      <c r="C573">
        <v>2</v>
      </c>
      <c r="D573">
        <v>1</v>
      </c>
      <c r="E573">
        <v>933</v>
      </c>
      <c r="F573">
        <v>9080</v>
      </c>
      <c r="G573">
        <v>2</v>
      </c>
      <c r="H573">
        <v>1976</v>
      </c>
      <c r="I573">
        <v>2000</v>
      </c>
      <c r="J573" s="1" t="s">
        <v>58</v>
      </c>
      <c r="K573">
        <v>3</v>
      </c>
      <c r="L573" s="1" t="s">
        <v>23</v>
      </c>
      <c r="M573" s="1" t="s">
        <v>27</v>
      </c>
      <c r="N573" s="1" t="s">
        <v>25</v>
      </c>
      <c r="O573">
        <v>7</v>
      </c>
      <c r="P573">
        <v>5</v>
      </c>
      <c r="Q573" s="1" t="s">
        <v>125</v>
      </c>
      <c r="R573">
        <v>1</v>
      </c>
      <c r="S573" s="1" t="s">
        <v>27</v>
      </c>
      <c r="T573">
        <v>8657000</v>
      </c>
      <c r="U573" t="s">
        <v>182</v>
      </c>
      <c r="V573" s="1" t="s">
        <v>176</v>
      </c>
      <c r="W573" s="1" t="s">
        <v>177</v>
      </c>
      <c r="X573" s="1" t="str">
        <f>VLOOKUP(V573,Broker_Directory!A:C,3,FALSE)</f>
        <v>Tier C</v>
      </c>
      <c r="Y573" s="1">
        <f>HLOOKUP(X573, Commission_Rates!A$1:C$2, 2, FALSE)</f>
        <v>0.01</v>
      </c>
      <c r="Z573" s="1">
        <f t="shared" si="24"/>
        <v>0</v>
      </c>
      <c r="AA573" s="1">
        <f t="shared" si="25"/>
        <v>0</v>
      </c>
      <c r="AB573" s="1">
        <f t="shared" si="26"/>
        <v>0</v>
      </c>
    </row>
    <row r="574" spans="1:28" x14ac:dyDescent="0.3">
      <c r="A574" s="1" t="s">
        <v>37</v>
      </c>
      <c r="B574" s="1" t="s">
        <v>38</v>
      </c>
      <c r="C574">
        <v>4</v>
      </c>
      <c r="D574">
        <v>2</v>
      </c>
      <c r="E574">
        <v>1772</v>
      </c>
      <c r="F574">
        <v>4269</v>
      </c>
      <c r="G574">
        <v>1</v>
      </c>
      <c r="H574">
        <v>1972</v>
      </c>
      <c r="I574">
        <v>2013</v>
      </c>
      <c r="J574" s="1" t="s">
        <v>58</v>
      </c>
      <c r="K574">
        <v>0</v>
      </c>
      <c r="L574" s="1" t="s">
        <v>64</v>
      </c>
      <c r="M574" s="1" t="s">
        <v>27</v>
      </c>
      <c r="N574" s="1" t="s">
        <v>46</v>
      </c>
      <c r="O574">
        <v>9</v>
      </c>
      <c r="P574">
        <v>4</v>
      </c>
      <c r="Q574" s="1" t="s">
        <v>93</v>
      </c>
      <c r="R574">
        <v>1</v>
      </c>
      <c r="S574" s="1" t="s">
        <v>27</v>
      </c>
      <c r="T574">
        <v>14471000</v>
      </c>
      <c r="U574" t="s">
        <v>184</v>
      </c>
      <c r="V574" s="1" t="s">
        <v>179</v>
      </c>
      <c r="W574" s="1" t="s">
        <v>180</v>
      </c>
      <c r="X574" s="1" t="str">
        <f>VLOOKUP(V574,Broker_Directory!A:C,3,FALSE)</f>
        <v>Tier B</v>
      </c>
      <c r="Y574" s="1">
        <f>HLOOKUP(X574, Commission_Rates!A$1:C$2, 2, FALSE)</f>
        <v>1.4999999999999999E-2</v>
      </c>
      <c r="Z574" s="1">
        <f t="shared" si="24"/>
        <v>217065</v>
      </c>
      <c r="AA574" s="1">
        <f t="shared" si="25"/>
        <v>434130</v>
      </c>
      <c r="AB574" s="1">
        <f t="shared" si="26"/>
        <v>217065</v>
      </c>
    </row>
    <row r="575" spans="1:28" x14ac:dyDescent="0.3">
      <c r="A575" s="1" t="s">
        <v>20</v>
      </c>
      <c r="B575" s="1" t="s">
        <v>40</v>
      </c>
      <c r="C575">
        <v>5</v>
      </c>
      <c r="D575">
        <v>1</v>
      </c>
      <c r="E575">
        <v>4690</v>
      </c>
      <c r="F575">
        <v>4928</v>
      </c>
      <c r="G575">
        <v>3</v>
      </c>
      <c r="H575">
        <v>2015</v>
      </c>
      <c r="I575">
        <v>2016</v>
      </c>
      <c r="J575" s="1" t="s">
        <v>52</v>
      </c>
      <c r="K575">
        <v>2</v>
      </c>
      <c r="L575" s="1" t="s">
        <v>23</v>
      </c>
      <c r="M575" s="1" t="s">
        <v>24</v>
      </c>
      <c r="N575" s="1" t="s">
        <v>25</v>
      </c>
      <c r="O575">
        <v>5</v>
      </c>
      <c r="P575">
        <v>1</v>
      </c>
      <c r="Q575" s="1" t="s">
        <v>143</v>
      </c>
      <c r="R575">
        <v>0</v>
      </c>
      <c r="S575" s="1" t="s">
        <v>24</v>
      </c>
      <c r="T575">
        <v>56770000</v>
      </c>
      <c r="U575" t="s">
        <v>182</v>
      </c>
      <c r="V575" s="1" t="s">
        <v>174</v>
      </c>
      <c r="W575" s="1" t="s">
        <v>175</v>
      </c>
      <c r="X575" s="1" t="str">
        <f>VLOOKUP(V575,Broker_Directory!A:C,3,FALSE)</f>
        <v>Tier A</v>
      </c>
      <c r="Y575" s="1">
        <f>HLOOKUP(X575, Commission_Rates!A$1:C$2, 2, FALSE)</f>
        <v>0.02</v>
      </c>
      <c r="Z575" s="1">
        <f t="shared" si="24"/>
        <v>0</v>
      </c>
      <c r="AA575" s="1">
        <f t="shared" si="25"/>
        <v>0</v>
      </c>
      <c r="AB575" s="1">
        <f t="shared" si="26"/>
        <v>0</v>
      </c>
    </row>
    <row r="576" spans="1:28" x14ac:dyDescent="0.3">
      <c r="A576" s="1" t="s">
        <v>53</v>
      </c>
      <c r="B576" s="1" t="s">
        <v>89</v>
      </c>
      <c r="C576">
        <v>4</v>
      </c>
      <c r="D576">
        <v>2</v>
      </c>
      <c r="E576">
        <v>1053</v>
      </c>
      <c r="F576">
        <v>6813</v>
      </c>
      <c r="G576">
        <v>3</v>
      </c>
      <c r="H576">
        <v>2020</v>
      </c>
      <c r="I576">
        <v>2024</v>
      </c>
      <c r="J576" s="1" t="s">
        <v>30</v>
      </c>
      <c r="K576">
        <v>3</v>
      </c>
      <c r="L576" s="1" t="s">
        <v>41</v>
      </c>
      <c r="M576" s="1" t="s">
        <v>27</v>
      </c>
      <c r="N576" s="1" t="s">
        <v>35</v>
      </c>
      <c r="O576">
        <v>6</v>
      </c>
      <c r="P576">
        <v>1</v>
      </c>
      <c r="Q576" s="1" t="s">
        <v>90</v>
      </c>
      <c r="R576">
        <v>1</v>
      </c>
      <c r="S576" s="1" t="s">
        <v>24</v>
      </c>
      <c r="T576">
        <v>9862000</v>
      </c>
      <c r="U576" t="s">
        <v>184</v>
      </c>
      <c r="V576" s="1" t="s">
        <v>171</v>
      </c>
      <c r="W576" s="1" t="s">
        <v>172</v>
      </c>
      <c r="X576" s="1" t="str">
        <f>VLOOKUP(V576,Broker_Directory!A:C,3,FALSE)</f>
        <v>Tier B</v>
      </c>
      <c r="Y576" s="1">
        <f>HLOOKUP(X576, Commission_Rates!A$1:C$2, 2, FALSE)</f>
        <v>1.4999999999999999E-2</v>
      </c>
      <c r="Z576" s="1">
        <f t="shared" si="24"/>
        <v>147930</v>
      </c>
      <c r="AA576" s="1">
        <f t="shared" si="25"/>
        <v>295860</v>
      </c>
      <c r="AB576" s="1">
        <f t="shared" si="26"/>
        <v>147930</v>
      </c>
    </row>
    <row r="577" spans="1:28" x14ac:dyDescent="0.3">
      <c r="A577" s="1" t="s">
        <v>53</v>
      </c>
      <c r="B577" s="1" t="s">
        <v>54</v>
      </c>
      <c r="C577">
        <v>1</v>
      </c>
      <c r="D577">
        <v>3</v>
      </c>
      <c r="E577">
        <v>1657</v>
      </c>
      <c r="F577">
        <v>5079</v>
      </c>
      <c r="G577">
        <v>3</v>
      </c>
      <c r="H577">
        <v>2012</v>
      </c>
      <c r="I577">
        <v>2017</v>
      </c>
      <c r="J577" s="1" t="s">
        <v>22</v>
      </c>
      <c r="K577">
        <v>3</v>
      </c>
      <c r="L577" s="1" t="s">
        <v>64</v>
      </c>
      <c r="M577" s="1" t="s">
        <v>27</v>
      </c>
      <c r="N577" s="1" t="s">
        <v>35</v>
      </c>
      <c r="O577">
        <v>1</v>
      </c>
      <c r="P577">
        <v>4</v>
      </c>
      <c r="Q577" s="1" t="s">
        <v>55</v>
      </c>
      <c r="R577">
        <v>3</v>
      </c>
      <c r="S577" s="1" t="s">
        <v>24</v>
      </c>
      <c r="T577">
        <v>15208000</v>
      </c>
      <c r="U577" t="s">
        <v>182</v>
      </c>
      <c r="V577" s="1" t="s">
        <v>171</v>
      </c>
      <c r="W577" s="1" t="s">
        <v>172</v>
      </c>
      <c r="X577" s="1" t="str">
        <f>VLOOKUP(V577,Broker_Directory!A:C,3,FALSE)</f>
        <v>Tier B</v>
      </c>
      <c r="Y577" s="1">
        <f>HLOOKUP(X577, Commission_Rates!A$1:C$2, 2, FALSE)</f>
        <v>1.4999999999999999E-2</v>
      </c>
      <c r="Z577" s="1">
        <f t="shared" si="24"/>
        <v>0</v>
      </c>
      <c r="AA577" s="1">
        <f t="shared" si="25"/>
        <v>0</v>
      </c>
      <c r="AB577" s="1">
        <f t="shared" si="26"/>
        <v>0</v>
      </c>
    </row>
    <row r="578" spans="1:28" x14ac:dyDescent="0.3">
      <c r="A578" s="1" t="s">
        <v>33</v>
      </c>
      <c r="B578" s="1" t="s">
        <v>34</v>
      </c>
      <c r="C578">
        <v>3</v>
      </c>
      <c r="D578">
        <v>1</v>
      </c>
      <c r="E578">
        <v>3981</v>
      </c>
      <c r="F578">
        <v>5401</v>
      </c>
      <c r="G578">
        <v>1</v>
      </c>
      <c r="H578">
        <v>2015</v>
      </c>
      <c r="I578">
        <v>2018</v>
      </c>
      <c r="J578" s="1" t="s">
        <v>22</v>
      </c>
      <c r="K578">
        <v>2</v>
      </c>
      <c r="L578" s="1" t="s">
        <v>64</v>
      </c>
      <c r="M578" s="1" t="s">
        <v>27</v>
      </c>
      <c r="N578" s="1" t="s">
        <v>25</v>
      </c>
      <c r="O578">
        <v>1</v>
      </c>
      <c r="P578">
        <v>1</v>
      </c>
      <c r="Q578" s="1" t="s">
        <v>147</v>
      </c>
      <c r="R578">
        <v>3</v>
      </c>
      <c r="S578" s="1" t="s">
        <v>24</v>
      </c>
      <c r="T578">
        <v>34208500</v>
      </c>
      <c r="U578" t="s">
        <v>182</v>
      </c>
      <c r="V578" s="1" t="s">
        <v>171</v>
      </c>
      <c r="W578" s="1" t="s">
        <v>172</v>
      </c>
      <c r="X578" s="1" t="str">
        <f>VLOOKUP(V578,Broker_Directory!A:C,3,FALSE)</f>
        <v>Tier B</v>
      </c>
      <c r="Y578" s="1">
        <f>HLOOKUP(X578, Commission_Rates!A$1:C$2, 2, FALSE)</f>
        <v>1.4999999999999999E-2</v>
      </c>
      <c r="Z578" s="1">
        <f t="shared" ref="Z578:Z641" si="27">IF(U578="Sold",T578*Y578,0)</f>
        <v>0</v>
      </c>
      <c r="AA578" s="1">
        <f t="shared" ref="AA578:AA641" si="28">IF(U578="Sold", T578 * 0.03, 0)</f>
        <v>0</v>
      </c>
      <c r="AB578" s="1">
        <f t="shared" ref="AB578:AB641" si="29">AA578 - Z578</f>
        <v>0</v>
      </c>
    </row>
    <row r="579" spans="1:28" x14ac:dyDescent="0.3">
      <c r="A579" s="1" t="s">
        <v>53</v>
      </c>
      <c r="B579" s="1" t="s">
        <v>66</v>
      </c>
      <c r="C579">
        <v>1</v>
      </c>
      <c r="D579">
        <v>2</v>
      </c>
      <c r="E579">
        <v>3344</v>
      </c>
      <c r="F579">
        <v>6441</v>
      </c>
      <c r="G579">
        <v>1</v>
      </c>
      <c r="H579">
        <v>1990</v>
      </c>
      <c r="I579">
        <v>1996</v>
      </c>
      <c r="J579" s="1" t="s">
        <v>58</v>
      </c>
      <c r="K579">
        <v>2</v>
      </c>
      <c r="L579" s="1" t="s">
        <v>23</v>
      </c>
      <c r="M579" s="1" t="s">
        <v>27</v>
      </c>
      <c r="N579" s="1" t="s">
        <v>25</v>
      </c>
      <c r="O579">
        <v>7</v>
      </c>
      <c r="P579">
        <v>4</v>
      </c>
      <c r="Q579" s="1" t="s">
        <v>82</v>
      </c>
      <c r="R579">
        <v>1</v>
      </c>
      <c r="S579" s="1" t="s">
        <v>24</v>
      </c>
      <c r="T579">
        <v>30366000</v>
      </c>
      <c r="U579" t="s">
        <v>182</v>
      </c>
      <c r="V579" s="1" t="s">
        <v>171</v>
      </c>
      <c r="W579" s="1" t="s">
        <v>172</v>
      </c>
      <c r="X579" s="1" t="str">
        <f>VLOOKUP(V579,Broker_Directory!A:C,3,FALSE)</f>
        <v>Tier B</v>
      </c>
      <c r="Y579" s="1">
        <f>HLOOKUP(X579, Commission_Rates!A$1:C$2, 2, FALSE)</f>
        <v>1.4999999999999999E-2</v>
      </c>
      <c r="Z579" s="1">
        <f t="shared" si="27"/>
        <v>0</v>
      </c>
      <c r="AA579" s="1">
        <f t="shared" si="28"/>
        <v>0</v>
      </c>
      <c r="AB579" s="1">
        <f t="shared" si="29"/>
        <v>0</v>
      </c>
    </row>
    <row r="580" spans="1:28" x14ac:dyDescent="0.3">
      <c r="A580" s="1" t="s">
        <v>37</v>
      </c>
      <c r="B580" s="1" t="s">
        <v>38</v>
      </c>
      <c r="C580">
        <v>5</v>
      </c>
      <c r="D580">
        <v>2</v>
      </c>
      <c r="E580">
        <v>4619</v>
      </c>
      <c r="F580">
        <v>6450</v>
      </c>
      <c r="G580">
        <v>1</v>
      </c>
      <c r="H580">
        <v>2021</v>
      </c>
      <c r="I580">
        <v>2022</v>
      </c>
      <c r="J580" s="1" t="s">
        <v>58</v>
      </c>
      <c r="K580">
        <v>3</v>
      </c>
      <c r="L580" s="1" t="s">
        <v>41</v>
      </c>
      <c r="M580" s="1" t="s">
        <v>27</v>
      </c>
      <c r="N580" s="1" t="s">
        <v>46</v>
      </c>
      <c r="O580">
        <v>3</v>
      </c>
      <c r="P580">
        <v>1</v>
      </c>
      <c r="Q580" s="1" t="s">
        <v>93</v>
      </c>
      <c r="R580">
        <v>3</v>
      </c>
      <c r="S580" s="1" t="s">
        <v>27</v>
      </c>
      <c r="T580">
        <v>37327000</v>
      </c>
      <c r="U580" t="s">
        <v>183</v>
      </c>
      <c r="V580" s="1" t="s">
        <v>174</v>
      </c>
      <c r="W580" s="1" t="s">
        <v>175</v>
      </c>
      <c r="X580" s="1" t="str">
        <f>VLOOKUP(V580,Broker_Directory!A:C,3,FALSE)</f>
        <v>Tier A</v>
      </c>
      <c r="Y580" s="1">
        <f>HLOOKUP(X580, Commission_Rates!A$1:C$2, 2, FALSE)</f>
        <v>0.02</v>
      </c>
      <c r="Z580" s="1">
        <f t="shared" si="27"/>
        <v>0</v>
      </c>
      <c r="AA580" s="1">
        <f t="shared" si="28"/>
        <v>0</v>
      </c>
      <c r="AB580" s="1">
        <f t="shared" si="29"/>
        <v>0</v>
      </c>
    </row>
    <row r="581" spans="1:28" x14ac:dyDescent="0.3">
      <c r="A581" s="1" t="s">
        <v>20</v>
      </c>
      <c r="B581" s="1" t="s">
        <v>69</v>
      </c>
      <c r="C581">
        <v>4</v>
      </c>
      <c r="D581">
        <v>1</v>
      </c>
      <c r="E581">
        <v>1316</v>
      </c>
      <c r="F581">
        <v>8784</v>
      </c>
      <c r="G581">
        <v>1</v>
      </c>
      <c r="H581">
        <v>1991</v>
      </c>
      <c r="I581">
        <v>2014</v>
      </c>
      <c r="J581" s="1" t="s">
        <v>52</v>
      </c>
      <c r="K581">
        <v>0</v>
      </c>
      <c r="L581" s="1" t="s">
        <v>64</v>
      </c>
      <c r="M581" s="1" t="s">
        <v>24</v>
      </c>
      <c r="N581" s="1" t="s">
        <v>35</v>
      </c>
      <c r="O581">
        <v>9</v>
      </c>
      <c r="P581">
        <v>0</v>
      </c>
      <c r="Q581" s="1" t="s">
        <v>120</v>
      </c>
      <c r="R581">
        <v>2</v>
      </c>
      <c r="S581" s="1" t="s">
        <v>24</v>
      </c>
      <c r="T581">
        <v>16147000</v>
      </c>
      <c r="U581" t="s">
        <v>183</v>
      </c>
      <c r="V581" s="1" t="s">
        <v>174</v>
      </c>
      <c r="W581" s="1" t="s">
        <v>175</v>
      </c>
      <c r="X581" s="1" t="str">
        <f>VLOOKUP(V581,Broker_Directory!A:C,3,FALSE)</f>
        <v>Tier A</v>
      </c>
      <c r="Y581" s="1">
        <f>HLOOKUP(X581, Commission_Rates!A$1:C$2, 2, FALSE)</f>
        <v>0.02</v>
      </c>
      <c r="Z581" s="1">
        <f t="shared" si="27"/>
        <v>0</v>
      </c>
      <c r="AA581" s="1">
        <f t="shared" si="28"/>
        <v>0</v>
      </c>
      <c r="AB581" s="1">
        <f t="shared" si="29"/>
        <v>0</v>
      </c>
    </row>
    <row r="582" spans="1:28" x14ac:dyDescent="0.3">
      <c r="A582" s="1" t="s">
        <v>37</v>
      </c>
      <c r="B582" s="1" t="s">
        <v>87</v>
      </c>
      <c r="C582">
        <v>5</v>
      </c>
      <c r="D582">
        <v>1</v>
      </c>
      <c r="E582">
        <v>3063</v>
      </c>
      <c r="F582">
        <v>8395</v>
      </c>
      <c r="G582">
        <v>1</v>
      </c>
      <c r="H582">
        <v>1958</v>
      </c>
      <c r="I582">
        <v>2017</v>
      </c>
      <c r="J582" s="1" t="s">
        <v>58</v>
      </c>
      <c r="K582">
        <v>3</v>
      </c>
      <c r="L582" s="1" t="s">
        <v>64</v>
      </c>
      <c r="M582" s="1" t="s">
        <v>27</v>
      </c>
      <c r="N582" s="1" t="s">
        <v>46</v>
      </c>
      <c r="O582">
        <v>5</v>
      </c>
      <c r="P582">
        <v>3</v>
      </c>
      <c r="Q582" s="1" t="s">
        <v>141</v>
      </c>
      <c r="R582">
        <v>2</v>
      </c>
      <c r="S582" s="1" t="s">
        <v>27</v>
      </c>
      <c r="T582">
        <v>24834000</v>
      </c>
      <c r="U582" t="s">
        <v>182</v>
      </c>
      <c r="V582" s="1" t="s">
        <v>168</v>
      </c>
      <c r="W582" s="1" t="s">
        <v>169</v>
      </c>
      <c r="X582" s="1" t="str">
        <f>VLOOKUP(V582,Broker_Directory!A:C,3,FALSE)</f>
        <v>Tier A</v>
      </c>
      <c r="Y582" s="1">
        <f>HLOOKUP(X582, Commission_Rates!A$1:C$2, 2, FALSE)</f>
        <v>0.02</v>
      </c>
      <c r="Z582" s="1">
        <f t="shared" si="27"/>
        <v>0</v>
      </c>
      <c r="AA582" s="1">
        <f t="shared" si="28"/>
        <v>0</v>
      </c>
      <c r="AB582" s="1">
        <f t="shared" si="29"/>
        <v>0</v>
      </c>
    </row>
    <row r="583" spans="1:28" x14ac:dyDescent="0.3">
      <c r="A583" s="1" t="s">
        <v>33</v>
      </c>
      <c r="B583" s="1" t="s">
        <v>48</v>
      </c>
      <c r="C583">
        <v>4</v>
      </c>
      <c r="D583">
        <v>3</v>
      </c>
      <c r="E583">
        <v>4023</v>
      </c>
      <c r="F583">
        <v>8114</v>
      </c>
      <c r="G583">
        <v>3</v>
      </c>
      <c r="H583">
        <v>1965</v>
      </c>
      <c r="I583">
        <v>2017</v>
      </c>
      <c r="J583" s="1" t="s">
        <v>30</v>
      </c>
      <c r="K583">
        <v>0</v>
      </c>
      <c r="L583" s="1" t="s">
        <v>23</v>
      </c>
      <c r="M583" s="1" t="s">
        <v>24</v>
      </c>
      <c r="N583" s="1" t="s">
        <v>25</v>
      </c>
      <c r="O583">
        <v>0</v>
      </c>
      <c r="P583">
        <v>1</v>
      </c>
      <c r="Q583" s="1" t="s">
        <v>49</v>
      </c>
      <c r="R583">
        <v>2</v>
      </c>
      <c r="S583" s="1" t="s">
        <v>27</v>
      </c>
      <c r="T583">
        <v>34675500</v>
      </c>
      <c r="U583" t="s">
        <v>184</v>
      </c>
      <c r="V583" s="1" t="s">
        <v>171</v>
      </c>
      <c r="W583" s="1" t="s">
        <v>172</v>
      </c>
      <c r="X583" s="1" t="str">
        <f>VLOOKUP(V583,Broker_Directory!A:C,3,FALSE)</f>
        <v>Tier B</v>
      </c>
      <c r="Y583" s="1">
        <f>HLOOKUP(X583, Commission_Rates!A$1:C$2, 2, FALSE)</f>
        <v>1.4999999999999999E-2</v>
      </c>
      <c r="Z583" s="1">
        <f t="shared" si="27"/>
        <v>520132.5</v>
      </c>
      <c r="AA583" s="1">
        <f t="shared" si="28"/>
        <v>1040265</v>
      </c>
      <c r="AB583" s="1">
        <f t="shared" si="29"/>
        <v>520132.5</v>
      </c>
    </row>
    <row r="584" spans="1:28" x14ac:dyDescent="0.3">
      <c r="A584" s="1" t="s">
        <v>28</v>
      </c>
      <c r="B584" s="1" t="s">
        <v>110</v>
      </c>
      <c r="C584">
        <v>1</v>
      </c>
      <c r="D584">
        <v>2</v>
      </c>
      <c r="E584">
        <v>3321</v>
      </c>
      <c r="F584">
        <v>7774</v>
      </c>
      <c r="G584">
        <v>1</v>
      </c>
      <c r="H584">
        <v>1956</v>
      </c>
      <c r="I584">
        <v>1988</v>
      </c>
      <c r="J584" s="1" t="s">
        <v>58</v>
      </c>
      <c r="K584">
        <v>0</v>
      </c>
      <c r="L584" s="1" t="s">
        <v>23</v>
      </c>
      <c r="M584" s="1" t="s">
        <v>27</v>
      </c>
      <c r="N584" s="1" t="s">
        <v>25</v>
      </c>
      <c r="O584">
        <v>4</v>
      </c>
      <c r="P584">
        <v>2</v>
      </c>
      <c r="Q584" s="1" t="s">
        <v>155</v>
      </c>
      <c r="R584">
        <v>2</v>
      </c>
      <c r="S584" s="1" t="s">
        <v>24</v>
      </c>
      <c r="T584">
        <v>33495000</v>
      </c>
      <c r="U584" t="s">
        <v>184</v>
      </c>
      <c r="V584" s="1" t="s">
        <v>171</v>
      </c>
      <c r="W584" s="1" t="s">
        <v>172</v>
      </c>
      <c r="X584" s="1" t="str">
        <f>VLOOKUP(V584,Broker_Directory!A:C,3,FALSE)</f>
        <v>Tier B</v>
      </c>
      <c r="Y584" s="1">
        <f>HLOOKUP(X584, Commission_Rates!A$1:C$2, 2, FALSE)</f>
        <v>1.4999999999999999E-2</v>
      </c>
      <c r="Z584" s="1">
        <f t="shared" si="27"/>
        <v>502425</v>
      </c>
      <c r="AA584" s="1">
        <f t="shared" si="28"/>
        <v>1004850</v>
      </c>
      <c r="AB584" s="1">
        <f t="shared" si="29"/>
        <v>502425</v>
      </c>
    </row>
    <row r="585" spans="1:28" x14ac:dyDescent="0.3">
      <c r="A585" s="1" t="s">
        <v>28</v>
      </c>
      <c r="B585" s="1" t="s">
        <v>95</v>
      </c>
      <c r="C585">
        <v>4</v>
      </c>
      <c r="D585">
        <v>1</v>
      </c>
      <c r="E585">
        <v>1334</v>
      </c>
      <c r="F585">
        <v>6615</v>
      </c>
      <c r="G585">
        <v>1</v>
      </c>
      <c r="H585">
        <v>2024</v>
      </c>
      <c r="I585">
        <v>2024</v>
      </c>
      <c r="J585" s="1" t="s">
        <v>22</v>
      </c>
      <c r="K585">
        <v>0</v>
      </c>
      <c r="L585" s="1" t="s">
        <v>31</v>
      </c>
      <c r="M585" s="1" t="s">
        <v>27</v>
      </c>
      <c r="N585" s="1" t="s">
        <v>35</v>
      </c>
      <c r="O585">
        <v>7</v>
      </c>
      <c r="P585">
        <v>2</v>
      </c>
      <c r="Q585" s="1" t="s">
        <v>129</v>
      </c>
      <c r="R585">
        <v>3</v>
      </c>
      <c r="S585" s="1" t="s">
        <v>24</v>
      </c>
      <c r="T585">
        <v>13685000</v>
      </c>
      <c r="U585" t="s">
        <v>182</v>
      </c>
      <c r="V585" s="1" t="s">
        <v>174</v>
      </c>
      <c r="W585" s="1" t="s">
        <v>175</v>
      </c>
      <c r="X585" s="1" t="str">
        <f>VLOOKUP(V585,Broker_Directory!A:C,3,FALSE)</f>
        <v>Tier A</v>
      </c>
      <c r="Y585" s="1">
        <f>HLOOKUP(X585, Commission_Rates!A$1:C$2, 2, FALSE)</f>
        <v>0.02</v>
      </c>
      <c r="Z585" s="1">
        <f t="shared" si="27"/>
        <v>0</v>
      </c>
      <c r="AA585" s="1">
        <f t="shared" si="28"/>
        <v>0</v>
      </c>
      <c r="AB585" s="1">
        <f t="shared" si="29"/>
        <v>0</v>
      </c>
    </row>
    <row r="586" spans="1:28" x14ac:dyDescent="0.3">
      <c r="A586" s="1" t="s">
        <v>20</v>
      </c>
      <c r="B586" s="1" t="s">
        <v>69</v>
      </c>
      <c r="C586">
        <v>3</v>
      </c>
      <c r="D586">
        <v>1</v>
      </c>
      <c r="E586">
        <v>3191</v>
      </c>
      <c r="F586">
        <v>7816</v>
      </c>
      <c r="G586">
        <v>1</v>
      </c>
      <c r="H586">
        <v>1976</v>
      </c>
      <c r="I586">
        <v>2019</v>
      </c>
      <c r="J586" s="1" t="s">
        <v>58</v>
      </c>
      <c r="K586">
        <v>0</v>
      </c>
      <c r="L586" s="1" t="s">
        <v>41</v>
      </c>
      <c r="M586" s="1" t="s">
        <v>24</v>
      </c>
      <c r="N586" s="1" t="s">
        <v>25</v>
      </c>
      <c r="O586">
        <v>0</v>
      </c>
      <c r="P586">
        <v>5</v>
      </c>
      <c r="Q586" s="1" t="s">
        <v>70</v>
      </c>
      <c r="R586">
        <v>3</v>
      </c>
      <c r="S586" s="1" t="s">
        <v>27</v>
      </c>
      <c r="T586">
        <v>38637000</v>
      </c>
      <c r="U586" t="s">
        <v>183</v>
      </c>
      <c r="V586" s="1" t="s">
        <v>174</v>
      </c>
      <c r="W586" s="1" t="s">
        <v>175</v>
      </c>
      <c r="X586" s="1" t="str">
        <f>VLOOKUP(V586,Broker_Directory!A:C,3,FALSE)</f>
        <v>Tier A</v>
      </c>
      <c r="Y586" s="1">
        <f>HLOOKUP(X586, Commission_Rates!A$1:C$2, 2, FALSE)</f>
        <v>0.02</v>
      </c>
      <c r="Z586" s="1">
        <f t="shared" si="27"/>
        <v>0</v>
      </c>
      <c r="AA586" s="1">
        <f t="shared" si="28"/>
        <v>0</v>
      </c>
      <c r="AB586" s="1">
        <f t="shared" si="29"/>
        <v>0</v>
      </c>
    </row>
    <row r="587" spans="1:28" x14ac:dyDescent="0.3">
      <c r="A587" s="1" t="s">
        <v>28</v>
      </c>
      <c r="B587" s="1" t="s">
        <v>29</v>
      </c>
      <c r="C587">
        <v>1</v>
      </c>
      <c r="D587">
        <v>3</v>
      </c>
      <c r="E587">
        <v>2009</v>
      </c>
      <c r="F587">
        <v>8727</v>
      </c>
      <c r="G587">
        <v>3</v>
      </c>
      <c r="H587">
        <v>2017</v>
      </c>
      <c r="I587">
        <v>2024</v>
      </c>
      <c r="J587" s="1" t="s">
        <v>30</v>
      </c>
      <c r="K587">
        <v>2</v>
      </c>
      <c r="L587" s="1" t="s">
        <v>41</v>
      </c>
      <c r="M587" s="1" t="s">
        <v>24</v>
      </c>
      <c r="N587" s="1" t="s">
        <v>35</v>
      </c>
      <c r="O587">
        <v>1</v>
      </c>
      <c r="P587">
        <v>1</v>
      </c>
      <c r="Q587" s="1" t="s">
        <v>149</v>
      </c>
      <c r="R587">
        <v>2</v>
      </c>
      <c r="S587" s="1" t="s">
        <v>27</v>
      </c>
      <c r="T587">
        <v>20345000</v>
      </c>
      <c r="U587" t="s">
        <v>182</v>
      </c>
      <c r="V587" s="1" t="s">
        <v>168</v>
      </c>
      <c r="W587" s="1" t="s">
        <v>169</v>
      </c>
      <c r="X587" s="1" t="str">
        <f>VLOOKUP(V587,Broker_Directory!A:C,3,FALSE)</f>
        <v>Tier A</v>
      </c>
      <c r="Y587" s="1">
        <f>HLOOKUP(X587, Commission_Rates!A$1:C$2, 2, FALSE)</f>
        <v>0.02</v>
      </c>
      <c r="Z587" s="1">
        <f t="shared" si="27"/>
        <v>0</v>
      </c>
      <c r="AA587" s="1">
        <f t="shared" si="28"/>
        <v>0</v>
      </c>
      <c r="AB587" s="1">
        <f t="shared" si="29"/>
        <v>0</v>
      </c>
    </row>
    <row r="588" spans="1:28" x14ac:dyDescent="0.3">
      <c r="A588" s="1" t="s">
        <v>37</v>
      </c>
      <c r="B588" s="1" t="s">
        <v>45</v>
      </c>
      <c r="C588">
        <v>5</v>
      </c>
      <c r="D588">
        <v>2</v>
      </c>
      <c r="E588">
        <v>3578</v>
      </c>
      <c r="F588">
        <v>5167</v>
      </c>
      <c r="G588">
        <v>1</v>
      </c>
      <c r="H588">
        <v>1985</v>
      </c>
      <c r="I588">
        <v>2011</v>
      </c>
      <c r="J588" s="1" t="s">
        <v>52</v>
      </c>
      <c r="K588">
        <v>2</v>
      </c>
      <c r="L588" s="1" t="s">
        <v>23</v>
      </c>
      <c r="M588" s="1" t="s">
        <v>24</v>
      </c>
      <c r="N588" s="1" t="s">
        <v>46</v>
      </c>
      <c r="O588">
        <v>1</v>
      </c>
      <c r="P588">
        <v>5</v>
      </c>
      <c r="Q588" s="1" t="s">
        <v>47</v>
      </c>
      <c r="R588">
        <v>1</v>
      </c>
      <c r="S588" s="1" t="s">
        <v>24</v>
      </c>
      <c r="T588">
        <v>29044000</v>
      </c>
      <c r="U588" t="s">
        <v>184</v>
      </c>
      <c r="V588" s="1" t="s">
        <v>176</v>
      </c>
      <c r="W588" s="1" t="s">
        <v>177</v>
      </c>
      <c r="X588" s="1" t="str">
        <f>VLOOKUP(V588,Broker_Directory!A:C,3,FALSE)</f>
        <v>Tier C</v>
      </c>
      <c r="Y588" s="1">
        <f>HLOOKUP(X588, Commission_Rates!A$1:C$2, 2, FALSE)</f>
        <v>0.01</v>
      </c>
      <c r="Z588" s="1">
        <f t="shared" si="27"/>
        <v>290440</v>
      </c>
      <c r="AA588" s="1">
        <f t="shared" si="28"/>
        <v>871320</v>
      </c>
      <c r="AB588" s="1">
        <f t="shared" si="29"/>
        <v>580880</v>
      </c>
    </row>
    <row r="589" spans="1:28" x14ac:dyDescent="0.3">
      <c r="A589" s="1" t="s">
        <v>37</v>
      </c>
      <c r="B589" s="1" t="s">
        <v>62</v>
      </c>
      <c r="C589">
        <v>3</v>
      </c>
      <c r="D589">
        <v>1</v>
      </c>
      <c r="E589">
        <v>4201</v>
      </c>
      <c r="F589">
        <v>9673</v>
      </c>
      <c r="G589">
        <v>3</v>
      </c>
      <c r="H589">
        <v>2007</v>
      </c>
      <c r="I589">
        <v>2017</v>
      </c>
      <c r="J589" s="1" t="s">
        <v>30</v>
      </c>
      <c r="K589">
        <v>0</v>
      </c>
      <c r="L589" s="1" t="s">
        <v>23</v>
      </c>
      <c r="M589" s="1" t="s">
        <v>27</v>
      </c>
      <c r="N589" s="1" t="s">
        <v>46</v>
      </c>
      <c r="O589">
        <v>3</v>
      </c>
      <c r="P589">
        <v>1</v>
      </c>
      <c r="Q589" s="1" t="s">
        <v>97</v>
      </c>
      <c r="R589">
        <v>3</v>
      </c>
      <c r="S589" s="1" t="s">
        <v>27</v>
      </c>
      <c r="T589">
        <v>33893000</v>
      </c>
      <c r="U589" t="s">
        <v>184</v>
      </c>
      <c r="V589" s="1" t="s">
        <v>176</v>
      </c>
      <c r="W589" s="1" t="s">
        <v>177</v>
      </c>
      <c r="X589" s="1" t="str">
        <f>VLOOKUP(V589,Broker_Directory!A:C,3,FALSE)</f>
        <v>Tier C</v>
      </c>
      <c r="Y589" s="1">
        <f>HLOOKUP(X589, Commission_Rates!A$1:C$2, 2, FALSE)</f>
        <v>0.01</v>
      </c>
      <c r="Z589" s="1">
        <f t="shared" si="27"/>
        <v>338930</v>
      </c>
      <c r="AA589" s="1">
        <f t="shared" si="28"/>
        <v>1016790</v>
      </c>
      <c r="AB589" s="1">
        <f t="shared" si="29"/>
        <v>677860</v>
      </c>
    </row>
    <row r="590" spans="1:28" x14ac:dyDescent="0.3">
      <c r="A590" s="1" t="s">
        <v>20</v>
      </c>
      <c r="B590" s="1" t="s">
        <v>50</v>
      </c>
      <c r="C590">
        <v>3</v>
      </c>
      <c r="D590">
        <v>3</v>
      </c>
      <c r="E590">
        <v>1101</v>
      </c>
      <c r="F590">
        <v>1956</v>
      </c>
      <c r="G590">
        <v>3</v>
      </c>
      <c r="H590">
        <v>1998</v>
      </c>
      <c r="I590">
        <v>2020</v>
      </c>
      <c r="J590" s="1" t="s">
        <v>22</v>
      </c>
      <c r="K590">
        <v>1</v>
      </c>
      <c r="L590" s="1" t="s">
        <v>64</v>
      </c>
      <c r="M590" s="1" t="s">
        <v>24</v>
      </c>
      <c r="N590" s="1" t="s">
        <v>46</v>
      </c>
      <c r="O590">
        <v>2</v>
      </c>
      <c r="P590">
        <v>4</v>
      </c>
      <c r="Q590" s="1" t="s">
        <v>51</v>
      </c>
      <c r="R590">
        <v>3</v>
      </c>
      <c r="S590" s="1" t="s">
        <v>27</v>
      </c>
      <c r="T590">
        <v>13582000</v>
      </c>
      <c r="U590" t="s">
        <v>183</v>
      </c>
      <c r="V590" s="1" t="s">
        <v>168</v>
      </c>
      <c r="W590" s="1" t="s">
        <v>169</v>
      </c>
      <c r="X590" s="1" t="str">
        <f>VLOOKUP(V590,Broker_Directory!A:C,3,FALSE)</f>
        <v>Tier A</v>
      </c>
      <c r="Y590" s="1">
        <f>HLOOKUP(X590, Commission_Rates!A$1:C$2, 2, FALSE)</f>
        <v>0.02</v>
      </c>
      <c r="Z590" s="1">
        <f t="shared" si="27"/>
        <v>0</v>
      </c>
      <c r="AA590" s="1">
        <f t="shared" si="28"/>
        <v>0</v>
      </c>
      <c r="AB590" s="1">
        <f t="shared" si="29"/>
        <v>0</v>
      </c>
    </row>
    <row r="591" spans="1:28" x14ac:dyDescent="0.3">
      <c r="A591" s="1" t="s">
        <v>20</v>
      </c>
      <c r="B591" s="1" t="s">
        <v>21</v>
      </c>
      <c r="C591">
        <v>2</v>
      </c>
      <c r="D591">
        <v>1</v>
      </c>
      <c r="E591">
        <v>2098</v>
      </c>
      <c r="F591">
        <v>3091</v>
      </c>
      <c r="G591">
        <v>1</v>
      </c>
      <c r="H591">
        <v>1954</v>
      </c>
      <c r="I591">
        <v>1987</v>
      </c>
      <c r="J591" s="1" t="s">
        <v>52</v>
      </c>
      <c r="K591">
        <v>0</v>
      </c>
      <c r="L591" s="1" t="s">
        <v>23</v>
      </c>
      <c r="M591" s="1" t="s">
        <v>27</v>
      </c>
      <c r="N591" s="1" t="s">
        <v>25</v>
      </c>
      <c r="O591">
        <v>9</v>
      </c>
      <c r="P591">
        <v>5</v>
      </c>
      <c r="Q591" s="1" t="s">
        <v>102</v>
      </c>
      <c r="R591">
        <v>3</v>
      </c>
      <c r="S591" s="1" t="s">
        <v>27</v>
      </c>
      <c r="T591">
        <v>25446000</v>
      </c>
      <c r="U591" t="s">
        <v>182</v>
      </c>
      <c r="V591" s="1" t="s">
        <v>179</v>
      </c>
      <c r="W591" s="1" t="s">
        <v>180</v>
      </c>
      <c r="X591" s="1" t="str">
        <f>VLOOKUP(V591,Broker_Directory!A:C,3,FALSE)</f>
        <v>Tier B</v>
      </c>
      <c r="Y591" s="1">
        <f>HLOOKUP(X591, Commission_Rates!A$1:C$2, 2, FALSE)</f>
        <v>1.4999999999999999E-2</v>
      </c>
      <c r="Z591" s="1">
        <f t="shared" si="27"/>
        <v>0</v>
      </c>
      <c r="AA591" s="1">
        <f t="shared" si="28"/>
        <v>0</v>
      </c>
      <c r="AB591" s="1">
        <f t="shared" si="29"/>
        <v>0</v>
      </c>
    </row>
    <row r="592" spans="1:28" x14ac:dyDescent="0.3">
      <c r="A592" s="1" t="s">
        <v>20</v>
      </c>
      <c r="B592" s="1" t="s">
        <v>40</v>
      </c>
      <c r="C592">
        <v>3</v>
      </c>
      <c r="D592">
        <v>4</v>
      </c>
      <c r="E592">
        <v>1985</v>
      </c>
      <c r="F592">
        <v>3436</v>
      </c>
      <c r="G592">
        <v>1</v>
      </c>
      <c r="H592">
        <v>1994</v>
      </c>
      <c r="I592">
        <v>2011</v>
      </c>
      <c r="J592" s="1" t="s">
        <v>30</v>
      </c>
      <c r="K592">
        <v>0</v>
      </c>
      <c r="L592" s="1" t="s">
        <v>23</v>
      </c>
      <c r="M592" s="1" t="s">
        <v>24</v>
      </c>
      <c r="N592" s="1" t="s">
        <v>35</v>
      </c>
      <c r="O592">
        <v>9</v>
      </c>
      <c r="P592">
        <v>3</v>
      </c>
      <c r="Q592" s="1" t="s">
        <v>42</v>
      </c>
      <c r="R592">
        <v>1</v>
      </c>
      <c r="S592" s="1" t="s">
        <v>24</v>
      </c>
      <c r="T592">
        <v>24200000</v>
      </c>
      <c r="U592" t="s">
        <v>183</v>
      </c>
      <c r="V592" s="1" t="s">
        <v>176</v>
      </c>
      <c r="W592" s="1" t="s">
        <v>177</v>
      </c>
      <c r="X592" s="1" t="str">
        <f>VLOOKUP(V592,Broker_Directory!A:C,3,FALSE)</f>
        <v>Tier C</v>
      </c>
      <c r="Y592" s="1">
        <f>HLOOKUP(X592, Commission_Rates!A$1:C$2, 2, FALSE)</f>
        <v>0.01</v>
      </c>
      <c r="Z592" s="1">
        <f t="shared" si="27"/>
        <v>0</v>
      </c>
      <c r="AA592" s="1">
        <f t="shared" si="28"/>
        <v>0</v>
      </c>
      <c r="AB592" s="1">
        <f t="shared" si="29"/>
        <v>0</v>
      </c>
    </row>
    <row r="593" spans="1:28" x14ac:dyDescent="0.3">
      <c r="A593" s="1" t="s">
        <v>53</v>
      </c>
      <c r="B593" s="1" t="s">
        <v>105</v>
      </c>
      <c r="C593">
        <v>2</v>
      </c>
      <c r="D593">
        <v>2</v>
      </c>
      <c r="E593">
        <v>3021</v>
      </c>
      <c r="F593">
        <v>6800</v>
      </c>
      <c r="G593">
        <v>1</v>
      </c>
      <c r="H593">
        <v>1951</v>
      </c>
      <c r="I593">
        <v>2010</v>
      </c>
      <c r="J593" s="1" t="s">
        <v>22</v>
      </c>
      <c r="K593">
        <v>2</v>
      </c>
      <c r="L593" s="1" t="s">
        <v>23</v>
      </c>
      <c r="M593" s="1" t="s">
        <v>24</v>
      </c>
      <c r="N593" s="1" t="s">
        <v>46</v>
      </c>
      <c r="O593">
        <v>1</v>
      </c>
      <c r="P593">
        <v>1</v>
      </c>
      <c r="Q593" s="1" t="s">
        <v>108</v>
      </c>
      <c r="R593">
        <v>2</v>
      </c>
      <c r="S593" s="1" t="s">
        <v>27</v>
      </c>
      <c r="T593">
        <v>27424000</v>
      </c>
      <c r="U593" t="s">
        <v>184</v>
      </c>
      <c r="V593" s="1" t="s">
        <v>171</v>
      </c>
      <c r="W593" s="1" t="s">
        <v>172</v>
      </c>
      <c r="X593" s="1" t="str">
        <f>VLOOKUP(V593,Broker_Directory!A:C,3,FALSE)</f>
        <v>Tier B</v>
      </c>
      <c r="Y593" s="1">
        <f>HLOOKUP(X593, Commission_Rates!A$1:C$2, 2, FALSE)</f>
        <v>1.4999999999999999E-2</v>
      </c>
      <c r="Z593" s="1">
        <f t="shared" si="27"/>
        <v>411360</v>
      </c>
      <c r="AA593" s="1">
        <f t="shared" si="28"/>
        <v>822720</v>
      </c>
      <c r="AB593" s="1">
        <f t="shared" si="29"/>
        <v>411360</v>
      </c>
    </row>
    <row r="594" spans="1:28" x14ac:dyDescent="0.3">
      <c r="A594" s="1" t="s">
        <v>33</v>
      </c>
      <c r="B594" s="1" t="s">
        <v>48</v>
      </c>
      <c r="C594">
        <v>4</v>
      </c>
      <c r="D594">
        <v>2</v>
      </c>
      <c r="E594">
        <v>4171</v>
      </c>
      <c r="F594">
        <v>5117</v>
      </c>
      <c r="G594">
        <v>1</v>
      </c>
      <c r="H594">
        <v>1952</v>
      </c>
      <c r="I594">
        <v>2023</v>
      </c>
      <c r="J594" s="1" t="s">
        <v>30</v>
      </c>
      <c r="K594">
        <v>1</v>
      </c>
      <c r="L594" s="1" t="s">
        <v>31</v>
      </c>
      <c r="M594" s="1" t="s">
        <v>24</v>
      </c>
      <c r="N594" s="1" t="s">
        <v>25</v>
      </c>
      <c r="O594">
        <v>1</v>
      </c>
      <c r="P594">
        <v>2</v>
      </c>
      <c r="Q594" s="1" t="s">
        <v>68</v>
      </c>
      <c r="R594">
        <v>3</v>
      </c>
      <c r="S594" s="1" t="s">
        <v>27</v>
      </c>
      <c r="T594">
        <v>35878500</v>
      </c>
      <c r="U594" t="s">
        <v>183</v>
      </c>
      <c r="V594" s="1" t="s">
        <v>171</v>
      </c>
      <c r="W594" s="1" t="s">
        <v>172</v>
      </c>
      <c r="X594" s="1" t="str">
        <f>VLOOKUP(V594,Broker_Directory!A:C,3,FALSE)</f>
        <v>Tier B</v>
      </c>
      <c r="Y594" s="1">
        <f>HLOOKUP(X594, Commission_Rates!A$1:C$2, 2, FALSE)</f>
        <v>1.4999999999999999E-2</v>
      </c>
      <c r="Z594" s="1">
        <f t="shared" si="27"/>
        <v>0</v>
      </c>
      <c r="AA594" s="1">
        <f t="shared" si="28"/>
        <v>0</v>
      </c>
      <c r="AB594" s="1">
        <f t="shared" si="29"/>
        <v>0</v>
      </c>
    </row>
    <row r="595" spans="1:28" x14ac:dyDescent="0.3">
      <c r="A595" s="1" t="s">
        <v>53</v>
      </c>
      <c r="B595" s="1" t="s">
        <v>100</v>
      </c>
      <c r="C595">
        <v>3</v>
      </c>
      <c r="D595">
        <v>4</v>
      </c>
      <c r="E595">
        <v>2376</v>
      </c>
      <c r="F595">
        <v>5410</v>
      </c>
      <c r="G595">
        <v>2</v>
      </c>
      <c r="H595">
        <v>1951</v>
      </c>
      <c r="I595">
        <v>1995</v>
      </c>
      <c r="J595" s="1" t="s">
        <v>30</v>
      </c>
      <c r="K595">
        <v>2</v>
      </c>
      <c r="L595" s="1" t="s">
        <v>41</v>
      </c>
      <c r="M595" s="1" t="s">
        <v>24</v>
      </c>
      <c r="N595" s="1" t="s">
        <v>46</v>
      </c>
      <c r="O595">
        <v>10</v>
      </c>
      <c r="P595">
        <v>4</v>
      </c>
      <c r="Q595" s="1" t="s">
        <v>131</v>
      </c>
      <c r="R595">
        <v>1</v>
      </c>
      <c r="S595" s="1" t="s">
        <v>27</v>
      </c>
      <c r="T595">
        <v>21734000</v>
      </c>
      <c r="U595" t="s">
        <v>184</v>
      </c>
      <c r="V595" s="1" t="s">
        <v>176</v>
      </c>
      <c r="W595" s="1" t="s">
        <v>177</v>
      </c>
      <c r="X595" s="1" t="str">
        <f>VLOOKUP(V595,Broker_Directory!A:C,3,FALSE)</f>
        <v>Tier C</v>
      </c>
      <c r="Y595" s="1">
        <f>HLOOKUP(X595, Commission_Rates!A$1:C$2, 2, FALSE)</f>
        <v>0.01</v>
      </c>
      <c r="Z595" s="1">
        <f t="shared" si="27"/>
        <v>217340</v>
      </c>
      <c r="AA595" s="1">
        <f t="shared" si="28"/>
        <v>652020</v>
      </c>
      <c r="AB595" s="1">
        <f t="shared" si="29"/>
        <v>434680</v>
      </c>
    </row>
    <row r="596" spans="1:28" x14ac:dyDescent="0.3">
      <c r="A596" s="1" t="s">
        <v>28</v>
      </c>
      <c r="B596" s="1" t="s">
        <v>110</v>
      </c>
      <c r="C596">
        <v>3</v>
      </c>
      <c r="D596">
        <v>4</v>
      </c>
      <c r="E596">
        <v>553</v>
      </c>
      <c r="F596">
        <v>4606</v>
      </c>
      <c r="G596">
        <v>3</v>
      </c>
      <c r="H596">
        <v>2005</v>
      </c>
      <c r="I596">
        <v>2015</v>
      </c>
      <c r="J596" s="1" t="s">
        <v>52</v>
      </c>
      <c r="K596">
        <v>0</v>
      </c>
      <c r="L596" s="1" t="s">
        <v>31</v>
      </c>
      <c r="M596" s="1" t="s">
        <v>27</v>
      </c>
      <c r="N596" s="1" t="s">
        <v>35</v>
      </c>
      <c r="O596">
        <v>1</v>
      </c>
      <c r="P596">
        <v>2</v>
      </c>
      <c r="Q596" s="1" t="s">
        <v>155</v>
      </c>
      <c r="R596">
        <v>1</v>
      </c>
      <c r="S596" s="1" t="s">
        <v>27</v>
      </c>
      <c r="T596">
        <v>5875000</v>
      </c>
      <c r="U596" t="s">
        <v>182</v>
      </c>
      <c r="V596" s="1" t="s">
        <v>171</v>
      </c>
      <c r="W596" s="1" t="s">
        <v>172</v>
      </c>
      <c r="X596" s="1" t="str">
        <f>VLOOKUP(V596,Broker_Directory!A:C,3,FALSE)</f>
        <v>Tier B</v>
      </c>
      <c r="Y596" s="1">
        <f>HLOOKUP(X596, Commission_Rates!A$1:C$2, 2, FALSE)</f>
        <v>1.4999999999999999E-2</v>
      </c>
      <c r="Z596" s="1">
        <f t="shared" si="27"/>
        <v>0</v>
      </c>
      <c r="AA596" s="1">
        <f t="shared" si="28"/>
        <v>0</v>
      </c>
      <c r="AB596" s="1">
        <f t="shared" si="29"/>
        <v>0</v>
      </c>
    </row>
    <row r="597" spans="1:28" x14ac:dyDescent="0.3">
      <c r="A597" s="1" t="s">
        <v>53</v>
      </c>
      <c r="B597" s="1" t="s">
        <v>89</v>
      </c>
      <c r="C597">
        <v>4</v>
      </c>
      <c r="D597">
        <v>4</v>
      </c>
      <c r="E597">
        <v>2563</v>
      </c>
      <c r="F597">
        <v>5146</v>
      </c>
      <c r="G597">
        <v>1</v>
      </c>
      <c r="H597">
        <v>1955</v>
      </c>
      <c r="I597">
        <v>2020</v>
      </c>
      <c r="J597" s="1" t="s">
        <v>30</v>
      </c>
      <c r="K597">
        <v>0</v>
      </c>
      <c r="L597" s="1" t="s">
        <v>41</v>
      </c>
      <c r="M597" s="1" t="s">
        <v>27</v>
      </c>
      <c r="N597" s="1" t="s">
        <v>35</v>
      </c>
      <c r="O597">
        <v>5</v>
      </c>
      <c r="P597">
        <v>2</v>
      </c>
      <c r="Q597" s="1" t="s">
        <v>125</v>
      </c>
      <c r="R597">
        <v>0</v>
      </c>
      <c r="S597" s="1" t="s">
        <v>27</v>
      </c>
      <c r="T597">
        <v>23407000</v>
      </c>
      <c r="U597" t="s">
        <v>182</v>
      </c>
      <c r="V597" s="1" t="s">
        <v>171</v>
      </c>
      <c r="W597" s="1" t="s">
        <v>172</v>
      </c>
      <c r="X597" s="1" t="str">
        <f>VLOOKUP(V597,Broker_Directory!A:C,3,FALSE)</f>
        <v>Tier B</v>
      </c>
      <c r="Y597" s="1">
        <f>HLOOKUP(X597, Commission_Rates!A$1:C$2, 2, FALSE)</f>
        <v>1.4999999999999999E-2</v>
      </c>
      <c r="Z597" s="1">
        <f t="shared" si="27"/>
        <v>0</v>
      </c>
      <c r="AA597" s="1">
        <f t="shared" si="28"/>
        <v>0</v>
      </c>
      <c r="AB597" s="1">
        <f t="shared" si="29"/>
        <v>0</v>
      </c>
    </row>
    <row r="598" spans="1:28" x14ac:dyDescent="0.3">
      <c r="A598" s="1" t="s">
        <v>28</v>
      </c>
      <c r="B598" s="1" t="s">
        <v>29</v>
      </c>
      <c r="C598">
        <v>2</v>
      </c>
      <c r="D598">
        <v>3</v>
      </c>
      <c r="E598">
        <v>4872</v>
      </c>
      <c r="F598">
        <v>6254</v>
      </c>
      <c r="G598">
        <v>2</v>
      </c>
      <c r="H598">
        <v>2012</v>
      </c>
      <c r="I598">
        <v>2015</v>
      </c>
      <c r="J598" s="1" t="s">
        <v>58</v>
      </c>
      <c r="K598">
        <v>2</v>
      </c>
      <c r="L598" s="1" t="s">
        <v>23</v>
      </c>
      <c r="M598" s="1" t="s">
        <v>27</v>
      </c>
      <c r="N598" s="1" t="s">
        <v>25</v>
      </c>
      <c r="O598">
        <v>3</v>
      </c>
      <c r="P598">
        <v>2</v>
      </c>
      <c r="Q598" s="1" t="s">
        <v>32</v>
      </c>
      <c r="R598">
        <v>0</v>
      </c>
      <c r="S598" s="1" t="s">
        <v>27</v>
      </c>
      <c r="T598">
        <v>49025000</v>
      </c>
      <c r="U598" t="s">
        <v>183</v>
      </c>
      <c r="V598" s="1" t="s">
        <v>174</v>
      </c>
      <c r="W598" s="1" t="s">
        <v>175</v>
      </c>
      <c r="X598" s="1" t="str">
        <f>VLOOKUP(V598,Broker_Directory!A:C,3,FALSE)</f>
        <v>Tier A</v>
      </c>
      <c r="Y598" s="1">
        <f>HLOOKUP(X598, Commission_Rates!A$1:C$2, 2, FALSE)</f>
        <v>0.02</v>
      </c>
      <c r="Z598" s="1">
        <f t="shared" si="27"/>
        <v>0</v>
      </c>
      <c r="AA598" s="1">
        <f t="shared" si="28"/>
        <v>0</v>
      </c>
      <c r="AB598" s="1">
        <f t="shared" si="29"/>
        <v>0</v>
      </c>
    </row>
    <row r="599" spans="1:28" x14ac:dyDescent="0.3">
      <c r="A599" s="1" t="s">
        <v>53</v>
      </c>
      <c r="B599" s="1" t="s">
        <v>105</v>
      </c>
      <c r="C599">
        <v>4</v>
      </c>
      <c r="D599">
        <v>3</v>
      </c>
      <c r="E599">
        <v>305</v>
      </c>
      <c r="F599">
        <v>1172</v>
      </c>
      <c r="G599">
        <v>2</v>
      </c>
      <c r="H599">
        <v>1967</v>
      </c>
      <c r="I599">
        <v>1988</v>
      </c>
      <c r="J599" s="1" t="s">
        <v>30</v>
      </c>
      <c r="K599">
        <v>1</v>
      </c>
      <c r="L599" s="1" t="s">
        <v>23</v>
      </c>
      <c r="M599" s="1" t="s">
        <v>27</v>
      </c>
      <c r="N599" s="1" t="s">
        <v>25</v>
      </c>
      <c r="O599">
        <v>3</v>
      </c>
      <c r="P599">
        <v>3</v>
      </c>
      <c r="Q599" s="1" t="s">
        <v>108</v>
      </c>
      <c r="R599">
        <v>2</v>
      </c>
      <c r="S599" s="1" t="s">
        <v>24</v>
      </c>
      <c r="T599">
        <v>3230000</v>
      </c>
      <c r="U599" t="s">
        <v>184</v>
      </c>
      <c r="V599" s="1" t="s">
        <v>174</v>
      </c>
      <c r="W599" s="1" t="s">
        <v>175</v>
      </c>
      <c r="X599" s="1" t="str">
        <f>VLOOKUP(V599,Broker_Directory!A:C,3,FALSE)</f>
        <v>Tier A</v>
      </c>
      <c r="Y599" s="1">
        <f>HLOOKUP(X599, Commission_Rates!A$1:C$2, 2, FALSE)</f>
        <v>0.02</v>
      </c>
      <c r="Z599" s="1">
        <f t="shared" si="27"/>
        <v>64600</v>
      </c>
      <c r="AA599" s="1">
        <f t="shared" si="28"/>
        <v>96900</v>
      </c>
      <c r="AB599" s="1">
        <f t="shared" si="29"/>
        <v>32300</v>
      </c>
    </row>
    <row r="600" spans="1:28" x14ac:dyDescent="0.3">
      <c r="A600" s="1" t="s">
        <v>20</v>
      </c>
      <c r="B600" s="1" t="s">
        <v>50</v>
      </c>
      <c r="C600">
        <v>3</v>
      </c>
      <c r="D600">
        <v>2</v>
      </c>
      <c r="E600">
        <v>3464</v>
      </c>
      <c r="F600">
        <v>6975</v>
      </c>
      <c r="G600">
        <v>2</v>
      </c>
      <c r="H600">
        <v>1962</v>
      </c>
      <c r="I600">
        <v>1994</v>
      </c>
      <c r="J600" s="1" t="s">
        <v>30</v>
      </c>
      <c r="K600">
        <v>2</v>
      </c>
      <c r="L600" s="1" t="s">
        <v>31</v>
      </c>
      <c r="M600" s="1" t="s">
        <v>27</v>
      </c>
      <c r="N600" s="1" t="s">
        <v>35</v>
      </c>
      <c r="O600">
        <v>5</v>
      </c>
      <c r="P600">
        <v>4</v>
      </c>
      <c r="Q600" s="1" t="s">
        <v>112</v>
      </c>
      <c r="R600">
        <v>1</v>
      </c>
      <c r="S600" s="1" t="s">
        <v>27</v>
      </c>
      <c r="T600">
        <v>41833000</v>
      </c>
      <c r="U600" t="s">
        <v>183</v>
      </c>
      <c r="V600" s="1" t="s">
        <v>176</v>
      </c>
      <c r="W600" s="1" t="s">
        <v>177</v>
      </c>
      <c r="X600" s="1" t="str">
        <f>VLOOKUP(V600,Broker_Directory!A:C,3,FALSE)</f>
        <v>Tier C</v>
      </c>
      <c r="Y600" s="1">
        <f>HLOOKUP(X600, Commission_Rates!A$1:C$2, 2, FALSE)</f>
        <v>0.01</v>
      </c>
      <c r="Z600" s="1">
        <f t="shared" si="27"/>
        <v>0</v>
      </c>
      <c r="AA600" s="1">
        <f t="shared" si="28"/>
        <v>0</v>
      </c>
      <c r="AB600" s="1">
        <f t="shared" si="29"/>
        <v>0</v>
      </c>
    </row>
    <row r="601" spans="1:28" x14ac:dyDescent="0.3">
      <c r="A601" s="1" t="s">
        <v>28</v>
      </c>
      <c r="B601" s="1" t="s">
        <v>29</v>
      </c>
      <c r="C601">
        <v>5</v>
      </c>
      <c r="D601">
        <v>2</v>
      </c>
      <c r="E601">
        <v>2766</v>
      </c>
      <c r="F601">
        <v>5314</v>
      </c>
      <c r="G601">
        <v>1</v>
      </c>
      <c r="H601">
        <v>1988</v>
      </c>
      <c r="I601">
        <v>2023</v>
      </c>
      <c r="J601" s="1" t="s">
        <v>22</v>
      </c>
      <c r="K601">
        <v>1</v>
      </c>
      <c r="L601" s="1" t="s">
        <v>41</v>
      </c>
      <c r="M601" s="1" t="s">
        <v>27</v>
      </c>
      <c r="N601" s="1" t="s">
        <v>25</v>
      </c>
      <c r="O601">
        <v>2</v>
      </c>
      <c r="P601">
        <v>4</v>
      </c>
      <c r="Q601" s="1" t="s">
        <v>81</v>
      </c>
      <c r="R601">
        <v>2</v>
      </c>
      <c r="S601" s="1" t="s">
        <v>27</v>
      </c>
      <c r="T601">
        <v>28095000</v>
      </c>
      <c r="U601" t="s">
        <v>184</v>
      </c>
      <c r="V601" s="1" t="s">
        <v>176</v>
      </c>
      <c r="W601" s="1" t="s">
        <v>177</v>
      </c>
      <c r="X601" s="1" t="str">
        <f>VLOOKUP(V601,Broker_Directory!A:C,3,FALSE)</f>
        <v>Tier C</v>
      </c>
      <c r="Y601" s="1">
        <f>HLOOKUP(X601, Commission_Rates!A$1:C$2, 2, FALSE)</f>
        <v>0.01</v>
      </c>
      <c r="Z601" s="1">
        <f t="shared" si="27"/>
        <v>280950</v>
      </c>
      <c r="AA601" s="1">
        <f t="shared" si="28"/>
        <v>842850</v>
      </c>
      <c r="AB601" s="1">
        <f t="shared" si="29"/>
        <v>561900</v>
      </c>
    </row>
    <row r="602" spans="1:28" x14ac:dyDescent="0.3">
      <c r="A602" s="1" t="s">
        <v>37</v>
      </c>
      <c r="B602" s="1" t="s">
        <v>38</v>
      </c>
      <c r="C602">
        <v>4</v>
      </c>
      <c r="D602">
        <v>4</v>
      </c>
      <c r="E602">
        <v>3744</v>
      </c>
      <c r="F602">
        <v>7154</v>
      </c>
      <c r="G602">
        <v>2</v>
      </c>
      <c r="H602">
        <v>1953</v>
      </c>
      <c r="I602">
        <v>2023</v>
      </c>
      <c r="J602" s="1" t="s">
        <v>58</v>
      </c>
      <c r="K602">
        <v>3</v>
      </c>
      <c r="L602" s="1" t="s">
        <v>23</v>
      </c>
      <c r="M602" s="1" t="s">
        <v>24</v>
      </c>
      <c r="N602" s="1" t="s">
        <v>35</v>
      </c>
      <c r="O602">
        <v>4</v>
      </c>
      <c r="P602">
        <v>1</v>
      </c>
      <c r="Q602" s="1" t="s">
        <v>39</v>
      </c>
      <c r="R602">
        <v>1</v>
      </c>
      <c r="S602" s="1" t="s">
        <v>27</v>
      </c>
      <c r="T602">
        <v>30352000</v>
      </c>
      <c r="U602" t="s">
        <v>182</v>
      </c>
      <c r="V602" s="1" t="s">
        <v>176</v>
      </c>
      <c r="W602" s="1" t="s">
        <v>177</v>
      </c>
      <c r="X602" s="1" t="str">
        <f>VLOOKUP(V602,Broker_Directory!A:C,3,FALSE)</f>
        <v>Tier C</v>
      </c>
      <c r="Y602" s="1">
        <f>HLOOKUP(X602, Commission_Rates!A$1:C$2, 2, FALSE)</f>
        <v>0.01</v>
      </c>
      <c r="Z602" s="1">
        <f t="shared" si="27"/>
        <v>0</v>
      </c>
      <c r="AA602" s="1">
        <f t="shared" si="28"/>
        <v>0</v>
      </c>
      <c r="AB602" s="1">
        <f t="shared" si="29"/>
        <v>0</v>
      </c>
    </row>
    <row r="603" spans="1:28" x14ac:dyDescent="0.3">
      <c r="A603" s="1" t="s">
        <v>20</v>
      </c>
      <c r="B603" s="1" t="s">
        <v>50</v>
      </c>
      <c r="C603">
        <v>2</v>
      </c>
      <c r="D603">
        <v>4</v>
      </c>
      <c r="E603">
        <v>348</v>
      </c>
      <c r="F603">
        <v>7980</v>
      </c>
      <c r="G603">
        <v>3</v>
      </c>
      <c r="H603">
        <v>2008</v>
      </c>
      <c r="I603">
        <v>2008</v>
      </c>
      <c r="J603" s="1" t="s">
        <v>58</v>
      </c>
      <c r="K603">
        <v>0</v>
      </c>
      <c r="L603" s="1" t="s">
        <v>64</v>
      </c>
      <c r="M603" s="1" t="s">
        <v>24</v>
      </c>
      <c r="N603" s="1" t="s">
        <v>46</v>
      </c>
      <c r="O603">
        <v>9</v>
      </c>
      <c r="P603">
        <v>0</v>
      </c>
      <c r="Q603" s="1" t="s">
        <v>51</v>
      </c>
      <c r="R603">
        <v>3</v>
      </c>
      <c r="S603" s="1" t="s">
        <v>27</v>
      </c>
      <c r="T603">
        <v>4526000</v>
      </c>
      <c r="U603" t="s">
        <v>183</v>
      </c>
      <c r="V603" s="1" t="s">
        <v>179</v>
      </c>
      <c r="W603" s="1" t="s">
        <v>180</v>
      </c>
      <c r="X603" s="1" t="str">
        <f>VLOOKUP(V603,Broker_Directory!A:C,3,FALSE)</f>
        <v>Tier B</v>
      </c>
      <c r="Y603" s="1">
        <f>HLOOKUP(X603, Commission_Rates!A$1:C$2, 2, FALSE)</f>
        <v>1.4999999999999999E-2</v>
      </c>
      <c r="Z603" s="1">
        <f t="shared" si="27"/>
        <v>0</v>
      </c>
      <c r="AA603" s="1">
        <f t="shared" si="28"/>
        <v>0</v>
      </c>
      <c r="AB603" s="1">
        <f t="shared" si="29"/>
        <v>0</v>
      </c>
    </row>
    <row r="604" spans="1:28" x14ac:dyDescent="0.3">
      <c r="A604" s="1" t="s">
        <v>20</v>
      </c>
      <c r="B604" s="1" t="s">
        <v>21</v>
      </c>
      <c r="C604">
        <v>5</v>
      </c>
      <c r="D604">
        <v>1</v>
      </c>
      <c r="E604">
        <v>1979</v>
      </c>
      <c r="F604">
        <v>6258</v>
      </c>
      <c r="G604">
        <v>1</v>
      </c>
      <c r="H604">
        <v>2021</v>
      </c>
      <c r="I604">
        <v>2025</v>
      </c>
      <c r="J604" s="1" t="s">
        <v>22</v>
      </c>
      <c r="K604">
        <v>1</v>
      </c>
      <c r="L604" s="1" t="s">
        <v>31</v>
      </c>
      <c r="M604" s="1" t="s">
        <v>24</v>
      </c>
      <c r="N604" s="1" t="s">
        <v>46</v>
      </c>
      <c r="O604">
        <v>10</v>
      </c>
      <c r="P604">
        <v>2</v>
      </c>
      <c r="Q604" s="1" t="s">
        <v>26</v>
      </c>
      <c r="R604">
        <v>3</v>
      </c>
      <c r="S604" s="1" t="s">
        <v>24</v>
      </c>
      <c r="T604">
        <v>24168000</v>
      </c>
      <c r="U604" t="s">
        <v>183</v>
      </c>
      <c r="V604" s="1" t="s">
        <v>179</v>
      </c>
      <c r="W604" s="1" t="s">
        <v>180</v>
      </c>
      <c r="X604" s="1" t="str">
        <f>VLOOKUP(V604,Broker_Directory!A:C,3,FALSE)</f>
        <v>Tier B</v>
      </c>
      <c r="Y604" s="1">
        <f>HLOOKUP(X604, Commission_Rates!A$1:C$2, 2, FALSE)</f>
        <v>1.4999999999999999E-2</v>
      </c>
      <c r="Z604" s="1">
        <f t="shared" si="27"/>
        <v>0</v>
      </c>
      <c r="AA604" s="1">
        <f t="shared" si="28"/>
        <v>0</v>
      </c>
      <c r="AB604" s="1">
        <f t="shared" si="29"/>
        <v>0</v>
      </c>
    </row>
    <row r="605" spans="1:28" x14ac:dyDescent="0.3">
      <c r="A605" s="1" t="s">
        <v>20</v>
      </c>
      <c r="B605" s="1" t="s">
        <v>21</v>
      </c>
      <c r="C605">
        <v>1</v>
      </c>
      <c r="D605">
        <v>2</v>
      </c>
      <c r="E605">
        <v>1291</v>
      </c>
      <c r="F605">
        <v>9857</v>
      </c>
      <c r="G605">
        <v>1</v>
      </c>
      <c r="H605">
        <v>1981</v>
      </c>
      <c r="I605">
        <v>1993</v>
      </c>
      <c r="J605" s="1" t="s">
        <v>58</v>
      </c>
      <c r="K605">
        <v>3</v>
      </c>
      <c r="L605" s="1" t="s">
        <v>23</v>
      </c>
      <c r="M605" s="1" t="s">
        <v>27</v>
      </c>
      <c r="N605" s="1" t="s">
        <v>46</v>
      </c>
      <c r="O605">
        <v>0</v>
      </c>
      <c r="P605">
        <v>0</v>
      </c>
      <c r="Q605" s="1" t="s">
        <v>114</v>
      </c>
      <c r="R605">
        <v>3</v>
      </c>
      <c r="S605" s="1" t="s">
        <v>27</v>
      </c>
      <c r="T605">
        <v>15667000</v>
      </c>
      <c r="U605" t="s">
        <v>182</v>
      </c>
      <c r="V605" s="1" t="s">
        <v>168</v>
      </c>
      <c r="W605" s="1" t="s">
        <v>169</v>
      </c>
      <c r="X605" s="1" t="str">
        <f>VLOOKUP(V605,Broker_Directory!A:C,3,FALSE)</f>
        <v>Tier A</v>
      </c>
      <c r="Y605" s="1">
        <f>HLOOKUP(X605, Commission_Rates!A$1:C$2, 2, FALSE)</f>
        <v>0.02</v>
      </c>
      <c r="Z605" s="1">
        <f t="shared" si="27"/>
        <v>0</v>
      </c>
      <c r="AA605" s="1">
        <f t="shared" si="28"/>
        <v>0</v>
      </c>
      <c r="AB605" s="1">
        <f t="shared" si="29"/>
        <v>0</v>
      </c>
    </row>
    <row r="606" spans="1:28" x14ac:dyDescent="0.3">
      <c r="A606" s="1" t="s">
        <v>28</v>
      </c>
      <c r="B606" s="1" t="s">
        <v>110</v>
      </c>
      <c r="C606">
        <v>5</v>
      </c>
      <c r="D606">
        <v>3</v>
      </c>
      <c r="E606">
        <v>3897</v>
      </c>
      <c r="F606">
        <v>9338</v>
      </c>
      <c r="G606">
        <v>3</v>
      </c>
      <c r="H606">
        <v>1965</v>
      </c>
      <c r="I606">
        <v>1991</v>
      </c>
      <c r="J606" s="1" t="s">
        <v>52</v>
      </c>
      <c r="K606">
        <v>0</v>
      </c>
      <c r="L606" s="1" t="s">
        <v>31</v>
      </c>
      <c r="M606" s="1" t="s">
        <v>24</v>
      </c>
      <c r="N606" s="1" t="s">
        <v>35</v>
      </c>
      <c r="O606">
        <v>10</v>
      </c>
      <c r="P606">
        <v>1</v>
      </c>
      <c r="Q606" s="1" t="s">
        <v>117</v>
      </c>
      <c r="R606">
        <v>1</v>
      </c>
      <c r="S606" s="1" t="s">
        <v>27</v>
      </c>
      <c r="T606">
        <v>39410000</v>
      </c>
      <c r="U606" t="s">
        <v>184</v>
      </c>
      <c r="V606" s="1" t="s">
        <v>171</v>
      </c>
      <c r="W606" s="1" t="s">
        <v>172</v>
      </c>
      <c r="X606" s="1" t="str">
        <f>VLOOKUP(V606,Broker_Directory!A:C,3,FALSE)</f>
        <v>Tier B</v>
      </c>
      <c r="Y606" s="1">
        <f>HLOOKUP(X606, Commission_Rates!A$1:C$2, 2, FALSE)</f>
        <v>1.4999999999999999E-2</v>
      </c>
      <c r="Z606" s="1">
        <f t="shared" si="27"/>
        <v>591150</v>
      </c>
      <c r="AA606" s="1">
        <f t="shared" si="28"/>
        <v>1182300</v>
      </c>
      <c r="AB606" s="1">
        <f t="shared" si="29"/>
        <v>591150</v>
      </c>
    </row>
    <row r="607" spans="1:28" x14ac:dyDescent="0.3">
      <c r="A607" s="1" t="s">
        <v>37</v>
      </c>
      <c r="B607" s="1" t="s">
        <v>38</v>
      </c>
      <c r="C607">
        <v>3</v>
      </c>
      <c r="D607">
        <v>1</v>
      </c>
      <c r="E607">
        <v>4338</v>
      </c>
      <c r="F607">
        <v>7397</v>
      </c>
      <c r="G607">
        <v>3</v>
      </c>
      <c r="H607">
        <v>1985</v>
      </c>
      <c r="I607">
        <v>2009</v>
      </c>
      <c r="J607" s="1" t="s">
        <v>22</v>
      </c>
      <c r="K607">
        <v>0</v>
      </c>
      <c r="L607" s="1" t="s">
        <v>41</v>
      </c>
      <c r="M607" s="1" t="s">
        <v>27</v>
      </c>
      <c r="N607" s="1" t="s">
        <v>46</v>
      </c>
      <c r="O607">
        <v>2</v>
      </c>
      <c r="P607">
        <v>0</v>
      </c>
      <c r="Q607" s="1" t="s">
        <v>39</v>
      </c>
      <c r="R607">
        <v>3</v>
      </c>
      <c r="S607" s="1" t="s">
        <v>24</v>
      </c>
      <c r="T607">
        <v>35039000</v>
      </c>
      <c r="U607" t="s">
        <v>184</v>
      </c>
      <c r="V607" s="1" t="s">
        <v>174</v>
      </c>
      <c r="W607" s="1" t="s">
        <v>175</v>
      </c>
      <c r="X607" s="1" t="str">
        <f>VLOOKUP(V607,Broker_Directory!A:C,3,FALSE)</f>
        <v>Tier A</v>
      </c>
      <c r="Y607" s="1">
        <f>HLOOKUP(X607, Commission_Rates!A$1:C$2, 2, FALSE)</f>
        <v>0.02</v>
      </c>
      <c r="Z607" s="1">
        <f t="shared" si="27"/>
        <v>700780</v>
      </c>
      <c r="AA607" s="1">
        <f t="shared" si="28"/>
        <v>1051170</v>
      </c>
      <c r="AB607" s="1">
        <f t="shared" si="29"/>
        <v>350390</v>
      </c>
    </row>
    <row r="608" spans="1:28" x14ac:dyDescent="0.3">
      <c r="A608" s="1" t="s">
        <v>33</v>
      </c>
      <c r="B608" s="1" t="s">
        <v>98</v>
      </c>
      <c r="C608">
        <v>1</v>
      </c>
      <c r="D608">
        <v>3</v>
      </c>
      <c r="E608">
        <v>579</v>
      </c>
      <c r="F608">
        <v>7911</v>
      </c>
      <c r="G608">
        <v>1</v>
      </c>
      <c r="H608">
        <v>1995</v>
      </c>
      <c r="I608">
        <v>2002</v>
      </c>
      <c r="J608" s="1" t="s">
        <v>22</v>
      </c>
      <c r="K608">
        <v>3</v>
      </c>
      <c r="L608" s="1" t="s">
        <v>64</v>
      </c>
      <c r="M608" s="1" t="s">
        <v>24</v>
      </c>
      <c r="N608" s="1" t="s">
        <v>25</v>
      </c>
      <c r="O608">
        <v>5</v>
      </c>
      <c r="P608">
        <v>4</v>
      </c>
      <c r="Q608" s="1" t="s">
        <v>123</v>
      </c>
      <c r="R608">
        <v>2</v>
      </c>
      <c r="S608" s="1" t="s">
        <v>27</v>
      </c>
      <c r="T608">
        <v>5211500</v>
      </c>
      <c r="U608" t="s">
        <v>183</v>
      </c>
      <c r="V608" s="1" t="s">
        <v>174</v>
      </c>
      <c r="W608" s="1" t="s">
        <v>175</v>
      </c>
      <c r="X608" s="1" t="str">
        <f>VLOOKUP(V608,Broker_Directory!A:C,3,FALSE)</f>
        <v>Tier A</v>
      </c>
      <c r="Y608" s="1">
        <f>HLOOKUP(X608, Commission_Rates!A$1:C$2, 2, FALSE)</f>
        <v>0.02</v>
      </c>
      <c r="Z608" s="1">
        <f t="shared" si="27"/>
        <v>0</v>
      </c>
      <c r="AA608" s="1">
        <f t="shared" si="28"/>
        <v>0</v>
      </c>
      <c r="AB608" s="1">
        <f t="shared" si="29"/>
        <v>0</v>
      </c>
    </row>
    <row r="609" spans="1:28" x14ac:dyDescent="0.3">
      <c r="A609" s="1" t="s">
        <v>33</v>
      </c>
      <c r="B609" s="1" t="s">
        <v>48</v>
      </c>
      <c r="C609">
        <v>2</v>
      </c>
      <c r="D609">
        <v>2</v>
      </c>
      <c r="E609">
        <v>3182</v>
      </c>
      <c r="F609">
        <v>8605</v>
      </c>
      <c r="G609">
        <v>3</v>
      </c>
      <c r="H609">
        <v>2022</v>
      </c>
      <c r="I609">
        <v>2023</v>
      </c>
      <c r="J609" s="1" t="s">
        <v>22</v>
      </c>
      <c r="K609">
        <v>1</v>
      </c>
      <c r="L609" s="1" t="s">
        <v>64</v>
      </c>
      <c r="M609" s="1" t="s">
        <v>27</v>
      </c>
      <c r="N609" s="1" t="s">
        <v>46</v>
      </c>
      <c r="O609">
        <v>1</v>
      </c>
      <c r="P609">
        <v>5</v>
      </c>
      <c r="Q609" s="1" t="s">
        <v>57</v>
      </c>
      <c r="R609">
        <v>3</v>
      </c>
      <c r="S609" s="1" t="s">
        <v>27</v>
      </c>
      <c r="T609">
        <v>27312000</v>
      </c>
      <c r="U609" t="s">
        <v>182</v>
      </c>
      <c r="V609" s="1" t="s">
        <v>171</v>
      </c>
      <c r="W609" s="1" t="s">
        <v>172</v>
      </c>
      <c r="X609" s="1" t="str">
        <f>VLOOKUP(V609,Broker_Directory!A:C,3,FALSE)</f>
        <v>Tier B</v>
      </c>
      <c r="Y609" s="1">
        <f>HLOOKUP(X609, Commission_Rates!A$1:C$2, 2, FALSE)</f>
        <v>1.4999999999999999E-2</v>
      </c>
      <c r="Z609" s="1">
        <f t="shared" si="27"/>
        <v>0</v>
      </c>
      <c r="AA609" s="1">
        <f t="shared" si="28"/>
        <v>0</v>
      </c>
      <c r="AB609" s="1">
        <f t="shared" si="29"/>
        <v>0</v>
      </c>
    </row>
    <row r="610" spans="1:28" x14ac:dyDescent="0.3">
      <c r="A610" s="1" t="s">
        <v>33</v>
      </c>
      <c r="B610" s="1" t="s">
        <v>75</v>
      </c>
      <c r="C610">
        <v>5</v>
      </c>
      <c r="D610">
        <v>3</v>
      </c>
      <c r="E610">
        <v>1360</v>
      </c>
      <c r="F610">
        <v>6719</v>
      </c>
      <c r="G610">
        <v>3</v>
      </c>
      <c r="H610">
        <v>2024</v>
      </c>
      <c r="I610">
        <v>2024</v>
      </c>
      <c r="J610" s="1" t="s">
        <v>22</v>
      </c>
      <c r="K610">
        <v>0</v>
      </c>
      <c r="L610" s="1" t="s">
        <v>23</v>
      </c>
      <c r="M610" s="1" t="s">
        <v>24</v>
      </c>
      <c r="N610" s="1" t="s">
        <v>35</v>
      </c>
      <c r="O610">
        <v>2</v>
      </c>
      <c r="P610">
        <v>1</v>
      </c>
      <c r="Q610" s="1" t="s">
        <v>76</v>
      </c>
      <c r="R610">
        <v>0</v>
      </c>
      <c r="S610" s="1" t="s">
        <v>27</v>
      </c>
      <c r="T610">
        <v>11985000</v>
      </c>
      <c r="U610" t="s">
        <v>183</v>
      </c>
      <c r="V610" s="1" t="s">
        <v>171</v>
      </c>
      <c r="W610" s="1" t="s">
        <v>172</v>
      </c>
      <c r="X610" s="1" t="str">
        <f>VLOOKUP(V610,Broker_Directory!A:C,3,FALSE)</f>
        <v>Tier B</v>
      </c>
      <c r="Y610" s="1">
        <f>HLOOKUP(X610, Commission_Rates!A$1:C$2, 2, FALSE)</f>
        <v>1.4999999999999999E-2</v>
      </c>
      <c r="Z610" s="1">
        <f t="shared" si="27"/>
        <v>0</v>
      </c>
      <c r="AA610" s="1">
        <f t="shared" si="28"/>
        <v>0</v>
      </c>
      <c r="AB610" s="1">
        <f t="shared" si="29"/>
        <v>0</v>
      </c>
    </row>
    <row r="611" spans="1:28" x14ac:dyDescent="0.3">
      <c r="A611" s="1" t="s">
        <v>37</v>
      </c>
      <c r="B611" s="1" t="s">
        <v>38</v>
      </c>
      <c r="C611">
        <v>2</v>
      </c>
      <c r="D611">
        <v>2</v>
      </c>
      <c r="E611">
        <v>1163</v>
      </c>
      <c r="F611">
        <v>4063</v>
      </c>
      <c r="G611">
        <v>3</v>
      </c>
      <c r="H611">
        <v>1999</v>
      </c>
      <c r="I611">
        <v>2022</v>
      </c>
      <c r="J611" s="1" t="s">
        <v>22</v>
      </c>
      <c r="K611">
        <v>0</v>
      </c>
      <c r="L611" s="1" t="s">
        <v>23</v>
      </c>
      <c r="M611" s="1" t="s">
        <v>27</v>
      </c>
      <c r="N611" s="1" t="s">
        <v>25</v>
      </c>
      <c r="O611">
        <v>0</v>
      </c>
      <c r="P611">
        <v>5</v>
      </c>
      <c r="Q611" s="1" t="s">
        <v>93</v>
      </c>
      <c r="R611">
        <v>3</v>
      </c>
      <c r="S611" s="1" t="s">
        <v>27</v>
      </c>
      <c r="T611">
        <v>9644000</v>
      </c>
      <c r="U611" t="s">
        <v>184</v>
      </c>
      <c r="V611" s="1" t="s">
        <v>174</v>
      </c>
      <c r="W611" s="1" t="s">
        <v>175</v>
      </c>
      <c r="X611" s="1" t="str">
        <f>VLOOKUP(V611,Broker_Directory!A:C,3,FALSE)</f>
        <v>Tier A</v>
      </c>
      <c r="Y611" s="1">
        <f>HLOOKUP(X611, Commission_Rates!A$1:C$2, 2, FALSE)</f>
        <v>0.02</v>
      </c>
      <c r="Z611" s="1">
        <f t="shared" si="27"/>
        <v>192880</v>
      </c>
      <c r="AA611" s="1">
        <f t="shared" si="28"/>
        <v>289320</v>
      </c>
      <c r="AB611" s="1">
        <f t="shared" si="29"/>
        <v>96440</v>
      </c>
    </row>
    <row r="612" spans="1:28" x14ac:dyDescent="0.3">
      <c r="A612" s="1" t="s">
        <v>33</v>
      </c>
      <c r="B612" s="1" t="s">
        <v>48</v>
      </c>
      <c r="C612">
        <v>2</v>
      </c>
      <c r="D612">
        <v>3</v>
      </c>
      <c r="E612">
        <v>1181</v>
      </c>
      <c r="F612">
        <v>8595</v>
      </c>
      <c r="G612">
        <v>2</v>
      </c>
      <c r="H612">
        <v>1967</v>
      </c>
      <c r="I612">
        <v>2006</v>
      </c>
      <c r="J612" s="1" t="s">
        <v>52</v>
      </c>
      <c r="K612">
        <v>1</v>
      </c>
      <c r="L612" s="1" t="s">
        <v>64</v>
      </c>
      <c r="M612" s="1" t="s">
        <v>27</v>
      </c>
      <c r="N612" s="1" t="s">
        <v>46</v>
      </c>
      <c r="O612">
        <v>10</v>
      </c>
      <c r="P612">
        <v>2</v>
      </c>
      <c r="Q612" s="1" t="s">
        <v>84</v>
      </c>
      <c r="R612">
        <v>1</v>
      </c>
      <c r="S612" s="1" t="s">
        <v>24</v>
      </c>
      <c r="T612">
        <v>10333500</v>
      </c>
      <c r="U612" t="s">
        <v>182</v>
      </c>
      <c r="V612" s="1" t="s">
        <v>168</v>
      </c>
      <c r="W612" s="1" t="s">
        <v>169</v>
      </c>
      <c r="X612" s="1" t="str">
        <f>VLOOKUP(V612,Broker_Directory!A:C,3,FALSE)</f>
        <v>Tier A</v>
      </c>
      <c r="Y612" s="1">
        <f>HLOOKUP(X612, Commission_Rates!A$1:C$2, 2, FALSE)</f>
        <v>0.02</v>
      </c>
      <c r="Z612" s="1">
        <f t="shared" si="27"/>
        <v>0</v>
      </c>
      <c r="AA612" s="1">
        <f t="shared" si="28"/>
        <v>0</v>
      </c>
      <c r="AB612" s="1">
        <f t="shared" si="29"/>
        <v>0</v>
      </c>
    </row>
    <row r="613" spans="1:28" x14ac:dyDescent="0.3">
      <c r="A613" s="1" t="s">
        <v>37</v>
      </c>
      <c r="B613" s="1" t="s">
        <v>45</v>
      </c>
      <c r="C613">
        <v>2</v>
      </c>
      <c r="D613">
        <v>1</v>
      </c>
      <c r="E613">
        <v>498</v>
      </c>
      <c r="F613">
        <v>2124</v>
      </c>
      <c r="G613">
        <v>1</v>
      </c>
      <c r="H613">
        <v>1954</v>
      </c>
      <c r="I613">
        <v>1970</v>
      </c>
      <c r="J613" s="1" t="s">
        <v>58</v>
      </c>
      <c r="K613">
        <v>2</v>
      </c>
      <c r="L613" s="1" t="s">
        <v>41</v>
      </c>
      <c r="M613" s="1" t="s">
        <v>24</v>
      </c>
      <c r="N613" s="1" t="s">
        <v>46</v>
      </c>
      <c r="O613">
        <v>2</v>
      </c>
      <c r="P613">
        <v>5</v>
      </c>
      <c r="Q613" s="1" t="s">
        <v>122</v>
      </c>
      <c r="R613">
        <v>1</v>
      </c>
      <c r="S613" s="1" t="s">
        <v>24</v>
      </c>
      <c r="T613">
        <v>4224000</v>
      </c>
      <c r="U613" t="s">
        <v>182</v>
      </c>
      <c r="V613" s="1" t="s">
        <v>168</v>
      </c>
      <c r="W613" s="1" t="s">
        <v>169</v>
      </c>
      <c r="X613" s="1" t="str">
        <f>VLOOKUP(V613,Broker_Directory!A:C,3,FALSE)</f>
        <v>Tier A</v>
      </c>
      <c r="Y613" s="1">
        <f>HLOOKUP(X613, Commission_Rates!A$1:C$2, 2, FALSE)</f>
        <v>0.02</v>
      </c>
      <c r="Z613" s="1">
        <f t="shared" si="27"/>
        <v>0</v>
      </c>
      <c r="AA613" s="1">
        <f t="shared" si="28"/>
        <v>0</v>
      </c>
      <c r="AB613" s="1">
        <f t="shared" si="29"/>
        <v>0</v>
      </c>
    </row>
    <row r="614" spans="1:28" x14ac:dyDescent="0.3">
      <c r="A614" s="1" t="s">
        <v>33</v>
      </c>
      <c r="B614" s="1" t="s">
        <v>98</v>
      </c>
      <c r="C614">
        <v>5</v>
      </c>
      <c r="D614">
        <v>3</v>
      </c>
      <c r="E614">
        <v>3220</v>
      </c>
      <c r="F614">
        <v>8336</v>
      </c>
      <c r="G614">
        <v>3</v>
      </c>
      <c r="H614">
        <v>1967</v>
      </c>
      <c r="I614">
        <v>2017</v>
      </c>
      <c r="J614" s="1" t="s">
        <v>58</v>
      </c>
      <c r="K614">
        <v>3</v>
      </c>
      <c r="L614" s="1" t="s">
        <v>41</v>
      </c>
      <c r="M614" s="1" t="s">
        <v>27</v>
      </c>
      <c r="N614" s="1" t="s">
        <v>25</v>
      </c>
      <c r="O614">
        <v>9</v>
      </c>
      <c r="P614">
        <v>0</v>
      </c>
      <c r="Q614" s="1" t="s">
        <v>123</v>
      </c>
      <c r="R614">
        <v>2</v>
      </c>
      <c r="S614" s="1" t="s">
        <v>24</v>
      </c>
      <c r="T614">
        <v>27925000</v>
      </c>
      <c r="U614" t="s">
        <v>183</v>
      </c>
      <c r="V614" s="1" t="s">
        <v>179</v>
      </c>
      <c r="W614" s="1" t="s">
        <v>180</v>
      </c>
      <c r="X614" s="1" t="str">
        <f>VLOOKUP(V614,Broker_Directory!A:C,3,FALSE)</f>
        <v>Tier B</v>
      </c>
      <c r="Y614" s="1">
        <f>HLOOKUP(X614, Commission_Rates!A$1:C$2, 2, FALSE)</f>
        <v>1.4999999999999999E-2</v>
      </c>
      <c r="Z614" s="1">
        <f t="shared" si="27"/>
        <v>0</v>
      </c>
      <c r="AA614" s="1">
        <f t="shared" si="28"/>
        <v>0</v>
      </c>
      <c r="AB614" s="1">
        <f t="shared" si="29"/>
        <v>0</v>
      </c>
    </row>
    <row r="615" spans="1:28" x14ac:dyDescent="0.3">
      <c r="A615" s="1" t="s">
        <v>20</v>
      </c>
      <c r="B615" s="1" t="s">
        <v>50</v>
      </c>
      <c r="C615">
        <v>2</v>
      </c>
      <c r="D615">
        <v>1</v>
      </c>
      <c r="E615">
        <v>4728</v>
      </c>
      <c r="F615">
        <v>7488</v>
      </c>
      <c r="G615">
        <v>1</v>
      </c>
      <c r="H615">
        <v>1978</v>
      </c>
      <c r="I615">
        <v>1995</v>
      </c>
      <c r="J615" s="1" t="s">
        <v>30</v>
      </c>
      <c r="K615">
        <v>3</v>
      </c>
      <c r="L615" s="1" t="s">
        <v>64</v>
      </c>
      <c r="M615" s="1" t="s">
        <v>24</v>
      </c>
      <c r="N615" s="1" t="s">
        <v>25</v>
      </c>
      <c r="O615">
        <v>4</v>
      </c>
      <c r="P615">
        <v>0</v>
      </c>
      <c r="Q615" s="1" t="s">
        <v>112</v>
      </c>
      <c r="R615">
        <v>2</v>
      </c>
      <c r="S615" s="1" t="s">
        <v>27</v>
      </c>
      <c r="T615">
        <v>57016000</v>
      </c>
      <c r="U615" t="s">
        <v>182</v>
      </c>
      <c r="V615" s="1" t="s">
        <v>171</v>
      </c>
      <c r="W615" s="1" t="s">
        <v>172</v>
      </c>
      <c r="X615" s="1" t="str">
        <f>VLOOKUP(V615,Broker_Directory!A:C,3,FALSE)</f>
        <v>Tier B</v>
      </c>
      <c r="Y615" s="1">
        <f>HLOOKUP(X615, Commission_Rates!A$1:C$2, 2, FALSE)</f>
        <v>1.4999999999999999E-2</v>
      </c>
      <c r="Z615" s="1">
        <f t="shared" si="27"/>
        <v>0</v>
      </c>
      <c r="AA615" s="1">
        <f t="shared" si="28"/>
        <v>0</v>
      </c>
      <c r="AB615" s="1">
        <f t="shared" si="29"/>
        <v>0</v>
      </c>
    </row>
    <row r="616" spans="1:28" x14ac:dyDescent="0.3">
      <c r="A616" s="1" t="s">
        <v>33</v>
      </c>
      <c r="B616" s="1" t="s">
        <v>48</v>
      </c>
      <c r="C616">
        <v>5</v>
      </c>
      <c r="D616">
        <v>1</v>
      </c>
      <c r="E616">
        <v>4158</v>
      </c>
      <c r="F616">
        <v>6362</v>
      </c>
      <c r="G616">
        <v>3</v>
      </c>
      <c r="H616">
        <v>1953</v>
      </c>
      <c r="I616">
        <v>1956</v>
      </c>
      <c r="J616" s="1" t="s">
        <v>30</v>
      </c>
      <c r="K616">
        <v>3</v>
      </c>
      <c r="L616" s="1" t="s">
        <v>64</v>
      </c>
      <c r="M616" s="1" t="s">
        <v>24</v>
      </c>
      <c r="N616" s="1" t="s">
        <v>46</v>
      </c>
      <c r="O616">
        <v>0</v>
      </c>
      <c r="P616">
        <v>1</v>
      </c>
      <c r="Q616" s="1" t="s">
        <v>84</v>
      </c>
      <c r="R616">
        <v>2</v>
      </c>
      <c r="S616" s="1" t="s">
        <v>24</v>
      </c>
      <c r="T616">
        <v>35788000</v>
      </c>
      <c r="U616" t="s">
        <v>184</v>
      </c>
      <c r="V616" s="1" t="s">
        <v>168</v>
      </c>
      <c r="W616" s="1" t="s">
        <v>169</v>
      </c>
      <c r="X616" s="1" t="str">
        <f>VLOOKUP(V616,Broker_Directory!A:C,3,FALSE)</f>
        <v>Tier A</v>
      </c>
      <c r="Y616" s="1">
        <f>HLOOKUP(X616, Commission_Rates!A$1:C$2, 2, FALSE)</f>
        <v>0.02</v>
      </c>
      <c r="Z616" s="1">
        <f t="shared" si="27"/>
        <v>715760</v>
      </c>
      <c r="AA616" s="1">
        <f t="shared" si="28"/>
        <v>1073640</v>
      </c>
      <c r="AB616" s="1">
        <f t="shared" si="29"/>
        <v>357880</v>
      </c>
    </row>
    <row r="617" spans="1:28" x14ac:dyDescent="0.3">
      <c r="A617" s="1" t="s">
        <v>28</v>
      </c>
      <c r="B617" s="1" t="s">
        <v>29</v>
      </c>
      <c r="C617">
        <v>1</v>
      </c>
      <c r="D617">
        <v>1</v>
      </c>
      <c r="E617">
        <v>3133</v>
      </c>
      <c r="F617">
        <v>3762</v>
      </c>
      <c r="G617">
        <v>2</v>
      </c>
      <c r="H617">
        <v>1960</v>
      </c>
      <c r="I617">
        <v>2020</v>
      </c>
      <c r="J617" s="1" t="s">
        <v>52</v>
      </c>
      <c r="K617">
        <v>2</v>
      </c>
      <c r="L617" s="1" t="s">
        <v>23</v>
      </c>
      <c r="M617" s="1" t="s">
        <v>24</v>
      </c>
      <c r="N617" s="1" t="s">
        <v>25</v>
      </c>
      <c r="O617">
        <v>7</v>
      </c>
      <c r="P617">
        <v>4</v>
      </c>
      <c r="Q617" s="1" t="s">
        <v>149</v>
      </c>
      <c r="R617">
        <v>2</v>
      </c>
      <c r="S617" s="1" t="s">
        <v>27</v>
      </c>
      <c r="T617">
        <v>31580000</v>
      </c>
      <c r="U617" t="s">
        <v>183</v>
      </c>
      <c r="V617" s="1" t="s">
        <v>168</v>
      </c>
      <c r="W617" s="1" t="s">
        <v>169</v>
      </c>
      <c r="X617" s="1" t="str">
        <f>VLOOKUP(V617,Broker_Directory!A:C,3,FALSE)</f>
        <v>Tier A</v>
      </c>
      <c r="Y617" s="1">
        <f>HLOOKUP(X617, Commission_Rates!A$1:C$2, 2, FALSE)</f>
        <v>0.02</v>
      </c>
      <c r="Z617" s="1">
        <f t="shared" si="27"/>
        <v>0</v>
      </c>
      <c r="AA617" s="1">
        <f t="shared" si="28"/>
        <v>0</v>
      </c>
      <c r="AB617" s="1">
        <f t="shared" si="29"/>
        <v>0</v>
      </c>
    </row>
    <row r="618" spans="1:28" x14ac:dyDescent="0.3">
      <c r="A618" s="1" t="s">
        <v>37</v>
      </c>
      <c r="B618" s="1" t="s">
        <v>38</v>
      </c>
      <c r="C618">
        <v>2</v>
      </c>
      <c r="D618">
        <v>1</v>
      </c>
      <c r="E618">
        <v>753</v>
      </c>
      <c r="F618">
        <v>1234</v>
      </c>
      <c r="G618">
        <v>1</v>
      </c>
      <c r="H618">
        <v>2018</v>
      </c>
      <c r="I618">
        <v>2023</v>
      </c>
      <c r="J618" s="1" t="s">
        <v>58</v>
      </c>
      <c r="K618">
        <v>3</v>
      </c>
      <c r="L618" s="1" t="s">
        <v>23</v>
      </c>
      <c r="M618" s="1" t="s">
        <v>27</v>
      </c>
      <c r="N618" s="1" t="s">
        <v>46</v>
      </c>
      <c r="O618">
        <v>2</v>
      </c>
      <c r="P618">
        <v>3</v>
      </c>
      <c r="Q618" s="1" t="s">
        <v>78</v>
      </c>
      <c r="R618">
        <v>1</v>
      </c>
      <c r="S618" s="1" t="s">
        <v>24</v>
      </c>
      <c r="T618">
        <v>6239000</v>
      </c>
      <c r="U618" t="s">
        <v>183</v>
      </c>
      <c r="V618" s="1" t="s">
        <v>176</v>
      </c>
      <c r="W618" s="1" t="s">
        <v>177</v>
      </c>
      <c r="X618" s="1" t="str">
        <f>VLOOKUP(V618,Broker_Directory!A:C,3,FALSE)</f>
        <v>Tier C</v>
      </c>
      <c r="Y618" s="1">
        <f>HLOOKUP(X618, Commission_Rates!A$1:C$2, 2, FALSE)</f>
        <v>0.01</v>
      </c>
      <c r="Z618" s="1">
        <f t="shared" si="27"/>
        <v>0</v>
      </c>
      <c r="AA618" s="1">
        <f t="shared" si="28"/>
        <v>0</v>
      </c>
      <c r="AB618" s="1">
        <f t="shared" si="29"/>
        <v>0</v>
      </c>
    </row>
    <row r="619" spans="1:28" x14ac:dyDescent="0.3">
      <c r="A619" s="1" t="s">
        <v>37</v>
      </c>
      <c r="B619" s="1" t="s">
        <v>87</v>
      </c>
      <c r="C619">
        <v>5</v>
      </c>
      <c r="D619">
        <v>3</v>
      </c>
      <c r="E619">
        <v>3181</v>
      </c>
      <c r="F619">
        <v>4817</v>
      </c>
      <c r="G619">
        <v>2</v>
      </c>
      <c r="H619">
        <v>2005</v>
      </c>
      <c r="I619">
        <v>2005</v>
      </c>
      <c r="J619" s="1" t="s">
        <v>52</v>
      </c>
      <c r="K619">
        <v>1</v>
      </c>
      <c r="L619" s="1" t="s">
        <v>23</v>
      </c>
      <c r="M619" s="1" t="s">
        <v>24</v>
      </c>
      <c r="N619" s="1" t="s">
        <v>25</v>
      </c>
      <c r="O619">
        <v>6</v>
      </c>
      <c r="P619">
        <v>5</v>
      </c>
      <c r="Q619" s="1" t="s">
        <v>141</v>
      </c>
      <c r="R619">
        <v>0</v>
      </c>
      <c r="S619" s="1" t="s">
        <v>24</v>
      </c>
      <c r="T619">
        <v>25978000</v>
      </c>
      <c r="U619" t="s">
        <v>183</v>
      </c>
      <c r="V619" s="1" t="s">
        <v>171</v>
      </c>
      <c r="W619" s="1" t="s">
        <v>172</v>
      </c>
      <c r="X619" s="1" t="str">
        <f>VLOOKUP(V619,Broker_Directory!A:C,3,FALSE)</f>
        <v>Tier B</v>
      </c>
      <c r="Y619" s="1">
        <f>HLOOKUP(X619, Commission_Rates!A$1:C$2, 2, FALSE)</f>
        <v>1.4999999999999999E-2</v>
      </c>
      <c r="Z619" s="1">
        <f t="shared" si="27"/>
        <v>0</v>
      </c>
      <c r="AA619" s="1">
        <f t="shared" si="28"/>
        <v>0</v>
      </c>
      <c r="AB619" s="1">
        <f t="shared" si="29"/>
        <v>0</v>
      </c>
    </row>
    <row r="620" spans="1:28" x14ac:dyDescent="0.3">
      <c r="A620" s="1" t="s">
        <v>20</v>
      </c>
      <c r="B620" s="1" t="s">
        <v>21</v>
      </c>
      <c r="C620">
        <v>1</v>
      </c>
      <c r="D620">
        <v>2</v>
      </c>
      <c r="E620">
        <v>3892</v>
      </c>
      <c r="F620">
        <v>5421</v>
      </c>
      <c r="G620">
        <v>2</v>
      </c>
      <c r="H620">
        <v>1955</v>
      </c>
      <c r="I620">
        <v>1994</v>
      </c>
      <c r="J620" s="1" t="s">
        <v>30</v>
      </c>
      <c r="K620">
        <v>1</v>
      </c>
      <c r="L620" s="1" t="s">
        <v>64</v>
      </c>
      <c r="M620" s="1" t="s">
        <v>24</v>
      </c>
      <c r="N620" s="1" t="s">
        <v>35</v>
      </c>
      <c r="O620">
        <v>6</v>
      </c>
      <c r="P620">
        <v>3</v>
      </c>
      <c r="Q620" s="1" t="s">
        <v>26</v>
      </c>
      <c r="R620">
        <v>0</v>
      </c>
      <c r="S620" s="1" t="s">
        <v>24</v>
      </c>
      <c r="T620">
        <v>46929000</v>
      </c>
      <c r="U620" t="s">
        <v>184</v>
      </c>
      <c r="V620" s="1" t="s">
        <v>168</v>
      </c>
      <c r="W620" s="1" t="s">
        <v>169</v>
      </c>
      <c r="X620" s="1" t="str">
        <f>VLOOKUP(V620,Broker_Directory!A:C,3,FALSE)</f>
        <v>Tier A</v>
      </c>
      <c r="Y620" s="1">
        <f>HLOOKUP(X620, Commission_Rates!A$1:C$2, 2, FALSE)</f>
        <v>0.02</v>
      </c>
      <c r="Z620" s="1">
        <f t="shared" si="27"/>
        <v>938580</v>
      </c>
      <c r="AA620" s="1">
        <f t="shared" si="28"/>
        <v>1407870</v>
      </c>
      <c r="AB620" s="1">
        <f t="shared" si="29"/>
        <v>469290</v>
      </c>
    </row>
    <row r="621" spans="1:28" x14ac:dyDescent="0.3">
      <c r="A621" s="1" t="s">
        <v>53</v>
      </c>
      <c r="B621" s="1" t="s">
        <v>100</v>
      </c>
      <c r="C621">
        <v>2</v>
      </c>
      <c r="D621">
        <v>4</v>
      </c>
      <c r="E621">
        <v>3224</v>
      </c>
      <c r="F621">
        <v>5078</v>
      </c>
      <c r="G621">
        <v>2</v>
      </c>
      <c r="H621">
        <v>1988</v>
      </c>
      <c r="I621">
        <v>2010</v>
      </c>
      <c r="J621" s="1" t="s">
        <v>30</v>
      </c>
      <c r="K621">
        <v>1</v>
      </c>
      <c r="L621" s="1" t="s">
        <v>64</v>
      </c>
      <c r="M621" s="1" t="s">
        <v>27</v>
      </c>
      <c r="N621" s="1" t="s">
        <v>35</v>
      </c>
      <c r="O621">
        <v>8</v>
      </c>
      <c r="P621">
        <v>4</v>
      </c>
      <c r="Q621" s="1" t="s">
        <v>131</v>
      </c>
      <c r="R621">
        <v>0</v>
      </c>
      <c r="S621" s="1" t="s">
        <v>27</v>
      </c>
      <c r="T621">
        <v>29276000</v>
      </c>
      <c r="U621" t="s">
        <v>182</v>
      </c>
      <c r="V621" s="1" t="s">
        <v>179</v>
      </c>
      <c r="W621" s="1" t="s">
        <v>180</v>
      </c>
      <c r="X621" s="1" t="str">
        <f>VLOOKUP(V621,Broker_Directory!A:C,3,FALSE)</f>
        <v>Tier B</v>
      </c>
      <c r="Y621" s="1">
        <f>HLOOKUP(X621, Commission_Rates!A$1:C$2, 2, FALSE)</f>
        <v>1.4999999999999999E-2</v>
      </c>
      <c r="Z621" s="1">
        <f t="shared" si="27"/>
        <v>0</v>
      </c>
      <c r="AA621" s="1">
        <f t="shared" si="28"/>
        <v>0</v>
      </c>
      <c r="AB621" s="1">
        <f t="shared" si="29"/>
        <v>0</v>
      </c>
    </row>
    <row r="622" spans="1:28" x14ac:dyDescent="0.3">
      <c r="A622" s="1" t="s">
        <v>37</v>
      </c>
      <c r="B622" s="1" t="s">
        <v>45</v>
      </c>
      <c r="C622">
        <v>4</v>
      </c>
      <c r="D622">
        <v>3</v>
      </c>
      <c r="E622">
        <v>942</v>
      </c>
      <c r="F622">
        <v>4327</v>
      </c>
      <c r="G622">
        <v>1</v>
      </c>
      <c r="H622">
        <v>2016</v>
      </c>
      <c r="I622">
        <v>2018</v>
      </c>
      <c r="J622" s="1" t="s">
        <v>30</v>
      </c>
      <c r="K622">
        <v>1</v>
      </c>
      <c r="L622" s="1" t="s">
        <v>23</v>
      </c>
      <c r="M622" s="1" t="s">
        <v>27</v>
      </c>
      <c r="N622" s="1" t="s">
        <v>35</v>
      </c>
      <c r="O622">
        <v>2</v>
      </c>
      <c r="P622">
        <v>0</v>
      </c>
      <c r="Q622" s="1" t="s">
        <v>124</v>
      </c>
      <c r="R622">
        <v>3</v>
      </c>
      <c r="S622" s="1" t="s">
        <v>27</v>
      </c>
      <c r="T622">
        <v>7891000</v>
      </c>
      <c r="U622" t="s">
        <v>184</v>
      </c>
      <c r="V622" s="1" t="s">
        <v>179</v>
      </c>
      <c r="W622" s="1" t="s">
        <v>180</v>
      </c>
      <c r="X622" s="1" t="str">
        <f>VLOOKUP(V622,Broker_Directory!A:C,3,FALSE)</f>
        <v>Tier B</v>
      </c>
      <c r="Y622" s="1">
        <f>HLOOKUP(X622, Commission_Rates!A$1:C$2, 2, FALSE)</f>
        <v>1.4999999999999999E-2</v>
      </c>
      <c r="Z622" s="1">
        <f t="shared" si="27"/>
        <v>118365</v>
      </c>
      <c r="AA622" s="1">
        <f t="shared" si="28"/>
        <v>236730</v>
      </c>
      <c r="AB622" s="1">
        <f t="shared" si="29"/>
        <v>118365</v>
      </c>
    </row>
    <row r="623" spans="1:28" x14ac:dyDescent="0.3">
      <c r="A623" s="1" t="s">
        <v>20</v>
      </c>
      <c r="B623" s="1" t="s">
        <v>21</v>
      </c>
      <c r="C623">
        <v>4</v>
      </c>
      <c r="D623">
        <v>1</v>
      </c>
      <c r="E623">
        <v>2514</v>
      </c>
      <c r="F623">
        <v>4841</v>
      </c>
      <c r="G623">
        <v>3</v>
      </c>
      <c r="H623">
        <v>1999</v>
      </c>
      <c r="I623">
        <v>2007</v>
      </c>
      <c r="J623" s="1" t="s">
        <v>58</v>
      </c>
      <c r="K623">
        <v>0</v>
      </c>
      <c r="L623" s="1" t="s">
        <v>64</v>
      </c>
      <c r="M623" s="1" t="s">
        <v>27</v>
      </c>
      <c r="N623" s="1" t="s">
        <v>46</v>
      </c>
      <c r="O623">
        <v>0</v>
      </c>
      <c r="P623">
        <v>3</v>
      </c>
      <c r="Q623" s="1" t="s">
        <v>102</v>
      </c>
      <c r="R623">
        <v>3</v>
      </c>
      <c r="S623" s="1" t="s">
        <v>24</v>
      </c>
      <c r="T623">
        <v>30553000</v>
      </c>
      <c r="U623" t="s">
        <v>184</v>
      </c>
      <c r="V623" s="1" t="s">
        <v>171</v>
      </c>
      <c r="W623" s="1" t="s">
        <v>172</v>
      </c>
      <c r="X623" s="1" t="str">
        <f>VLOOKUP(V623,Broker_Directory!A:C,3,FALSE)</f>
        <v>Tier B</v>
      </c>
      <c r="Y623" s="1">
        <f>HLOOKUP(X623, Commission_Rates!A$1:C$2, 2, FALSE)</f>
        <v>1.4999999999999999E-2</v>
      </c>
      <c r="Z623" s="1">
        <f t="shared" si="27"/>
        <v>458295</v>
      </c>
      <c r="AA623" s="1">
        <f t="shared" si="28"/>
        <v>916590</v>
      </c>
      <c r="AB623" s="1">
        <f t="shared" si="29"/>
        <v>458295</v>
      </c>
    </row>
    <row r="624" spans="1:28" x14ac:dyDescent="0.3">
      <c r="A624" s="1" t="s">
        <v>28</v>
      </c>
      <c r="B624" s="1" t="s">
        <v>110</v>
      </c>
      <c r="C624">
        <v>4</v>
      </c>
      <c r="D624">
        <v>2</v>
      </c>
      <c r="E624">
        <v>3831</v>
      </c>
      <c r="F624">
        <v>8243</v>
      </c>
      <c r="G624">
        <v>1</v>
      </c>
      <c r="H624">
        <v>1989</v>
      </c>
      <c r="I624">
        <v>1990</v>
      </c>
      <c r="J624" s="1" t="s">
        <v>30</v>
      </c>
      <c r="K624">
        <v>0</v>
      </c>
      <c r="L624" s="1" t="s">
        <v>64</v>
      </c>
      <c r="M624" s="1" t="s">
        <v>27</v>
      </c>
      <c r="N624" s="1" t="s">
        <v>35</v>
      </c>
      <c r="O624">
        <v>3</v>
      </c>
      <c r="P624">
        <v>0</v>
      </c>
      <c r="Q624" s="1" t="s">
        <v>111</v>
      </c>
      <c r="R624">
        <v>3</v>
      </c>
      <c r="S624" s="1" t="s">
        <v>27</v>
      </c>
      <c r="T624">
        <v>38635000</v>
      </c>
      <c r="U624" t="s">
        <v>183</v>
      </c>
      <c r="V624" s="1" t="s">
        <v>171</v>
      </c>
      <c r="W624" s="1" t="s">
        <v>172</v>
      </c>
      <c r="X624" s="1" t="str">
        <f>VLOOKUP(V624,Broker_Directory!A:C,3,FALSE)</f>
        <v>Tier B</v>
      </c>
      <c r="Y624" s="1">
        <f>HLOOKUP(X624, Commission_Rates!A$1:C$2, 2, FALSE)</f>
        <v>1.4999999999999999E-2</v>
      </c>
      <c r="Z624" s="1">
        <f t="shared" si="27"/>
        <v>0</v>
      </c>
      <c r="AA624" s="1">
        <f t="shared" si="28"/>
        <v>0</v>
      </c>
      <c r="AB624" s="1">
        <f t="shared" si="29"/>
        <v>0</v>
      </c>
    </row>
    <row r="625" spans="1:28" x14ac:dyDescent="0.3">
      <c r="A625" s="1" t="s">
        <v>20</v>
      </c>
      <c r="B625" s="1" t="s">
        <v>21</v>
      </c>
      <c r="C625">
        <v>5</v>
      </c>
      <c r="D625">
        <v>4</v>
      </c>
      <c r="E625">
        <v>2654</v>
      </c>
      <c r="F625">
        <v>9736</v>
      </c>
      <c r="G625">
        <v>3</v>
      </c>
      <c r="H625">
        <v>2009</v>
      </c>
      <c r="I625">
        <v>2021</v>
      </c>
      <c r="J625" s="1" t="s">
        <v>30</v>
      </c>
      <c r="K625">
        <v>1</v>
      </c>
      <c r="L625" s="1" t="s">
        <v>41</v>
      </c>
      <c r="M625" s="1" t="s">
        <v>27</v>
      </c>
      <c r="N625" s="1" t="s">
        <v>35</v>
      </c>
      <c r="O625">
        <v>3</v>
      </c>
      <c r="P625">
        <v>1</v>
      </c>
      <c r="Q625" s="1" t="s">
        <v>26</v>
      </c>
      <c r="R625">
        <v>2</v>
      </c>
      <c r="S625" s="1" t="s">
        <v>27</v>
      </c>
      <c r="T625">
        <v>32308000</v>
      </c>
      <c r="U625" t="s">
        <v>182</v>
      </c>
      <c r="V625" s="1" t="s">
        <v>168</v>
      </c>
      <c r="W625" s="1" t="s">
        <v>169</v>
      </c>
      <c r="X625" s="1" t="str">
        <f>VLOOKUP(V625,Broker_Directory!A:C,3,FALSE)</f>
        <v>Tier A</v>
      </c>
      <c r="Y625" s="1">
        <f>HLOOKUP(X625, Commission_Rates!A$1:C$2, 2, FALSE)</f>
        <v>0.02</v>
      </c>
      <c r="Z625" s="1">
        <f t="shared" si="27"/>
        <v>0</v>
      </c>
      <c r="AA625" s="1">
        <f t="shared" si="28"/>
        <v>0</v>
      </c>
      <c r="AB625" s="1">
        <f t="shared" si="29"/>
        <v>0</v>
      </c>
    </row>
    <row r="626" spans="1:28" x14ac:dyDescent="0.3">
      <c r="A626" s="1" t="s">
        <v>20</v>
      </c>
      <c r="B626" s="1" t="s">
        <v>40</v>
      </c>
      <c r="C626">
        <v>5</v>
      </c>
      <c r="D626">
        <v>3</v>
      </c>
      <c r="E626">
        <v>3065</v>
      </c>
      <c r="F626">
        <v>7793</v>
      </c>
      <c r="G626">
        <v>2</v>
      </c>
      <c r="H626">
        <v>1954</v>
      </c>
      <c r="I626">
        <v>1988</v>
      </c>
      <c r="J626" s="1" t="s">
        <v>30</v>
      </c>
      <c r="K626">
        <v>2</v>
      </c>
      <c r="L626" s="1" t="s">
        <v>64</v>
      </c>
      <c r="M626" s="1" t="s">
        <v>24</v>
      </c>
      <c r="N626" s="1" t="s">
        <v>25</v>
      </c>
      <c r="O626">
        <v>4</v>
      </c>
      <c r="P626">
        <v>4</v>
      </c>
      <c r="Q626" s="1" t="s">
        <v>42</v>
      </c>
      <c r="R626">
        <v>2</v>
      </c>
      <c r="S626" s="1" t="s">
        <v>24</v>
      </c>
      <c r="T626">
        <v>37340000</v>
      </c>
      <c r="U626" t="s">
        <v>182</v>
      </c>
      <c r="V626" s="1" t="s">
        <v>179</v>
      </c>
      <c r="W626" s="1" t="s">
        <v>180</v>
      </c>
      <c r="X626" s="1" t="str">
        <f>VLOOKUP(V626,Broker_Directory!A:C,3,FALSE)</f>
        <v>Tier B</v>
      </c>
      <c r="Y626" s="1">
        <f>HLOOKUP(X626, Commission_Rates!A$1:C$2, 2, FALSE)</f>
        <v>1.4999999999999999E-2</v>
      </c>
      <c r="Z626" s="1">
        <f t="shared" si="27"/>
        <v>0</v>
      </c>
      <c r="AA626" s="1">
        <f t="shared" si="28"/>
        <v>0</v>
      </c>
      <c r="AB626" s="1">
        <f t="shared" si="29"/>
        <v>0</v>
      </c>
    </row>
    <row r="627" spans="1:28" x14ac:dyDescent="0.3">
      <c r="A627" s="1" t="s">
        <v>37</v>
      </c>
      <c r="B627" s="1" t="s">
        <v>72</v>
      </c>
      <c r="C627">
        <v>1</v>
      </c>
      <c r="D627">
        <v>4</v>
      </c>
      <c r="E627">
        <v>372</v>
      </c>
      <c r="F627">
        <v>8064</v>
      </c>
      <c r="G627">
        <v>1</v>
      </c>
      <c r="H627">
        <v>1995</v>
      </c>
      <c r="I627">
        <v>2024</v>
      </c>
      <c r="J627" s="1" t="s">
        <v>52</v>
      </c>
      <c r="K627">
        <v>3</v>
      </c>
      <c r="L627" s="1" t="s">
        <v>23</v>
      </c>
      <c r="M627" s="1" t="s">
        <v>24</v>
      </c>
      <c r="N627" s="1" t="s">
        <v>46</v>
      </c>
      <c r="O627">
        <v>9</v>
      </c>
      <c r="P627">
        <v>4</v>
      </c>
      <c r="Q627" s="1" t="s">
        <v>127</v>
      </c>
      <c r="R627">
        <v>0</v>
      </c>
      <c r="S627" s="1" t="s">
        <v>27</v>
      </c>
      <c r="T627">
        <v>3191000</v>
      </c>
      <c r="U627" t="s">
        <v>182</v>
      </c>
      <c r="V627" s="1" t="s">
        <v>171</v>
      </c>
      <c r="W627" s="1" t="s">
        <v>172</v>
      </c>
      <c r="X627" s="1" t="str">
        <f>VLOOKUP(V627,Broker_Directory!A:C,3,FALSE)</f>
        <v>Tier B</v>
      </c>
      <c r="Y627" s="1">
        <f>HLOOKUP(X627, Commission_Rates!A$1:C$2, 2, FALSE)</f>
        <v>1.4999999999999999E-2</v>
      </c>
      <c r="Z627" s="1">
        <f t="shared" si="27"/>
        <v>0</v>
      </c>
      <c r="AA627" s="1">
        <f t="shared" si="28"/>
        <v>0</v>
      </c>
      <c r="AB627" s="1">
        <f t="shared" si="29"/>
        <v>0</v>
      </c>
    </row>
    <row r="628" spans="1:28" x14ac:dyDescent="0.3">
      <c r="A628" s="1" t="s">
        <v>28</v>
      </c>
      <c r="B628" s="1" t="s">
        <v>79</v>
      </c>
      <c r="C628">
        <v>3</v>
      </c>
      <c r="D628">
        <v>3</v>
      </c>
      <c r="E628">
        <v>4354</v>
      </c>
      <c r="F628">
        <v>5446</v>
      </c>
      <c r="G628">
        <v>1</v>
      </c>
      <c r="H628">
        <v>1972</v>
      </c>
      <c r="I628">
        <v>1980</v>
      </c>
      <c r="J628" s="1" t="s">
        <v>58</v>
      </c>
      <c r="K628">
        <v>1</v>
      </c>
      <c r="L628" s="1" t="s">
        <v>23</v>
      </c>
      <c r="M628" s="1" t="s">
        <v>24</v>
      </c>
      <c r="N628" s="1" t="s">
        <v>25</v>
      </c>
      <c r="O628">
        <v>10</v>
      </c>
      <c r="P628">
        <v>4</v>
      </c>
      <c r="Q628" s="1" t="s">
        <v>109</v>
      </c>
      <c r="R628">
        <v>2</v>
      </c>
      <c r="S628" s="1" t="s">
        <v>24</v>
      </c>
      <c r="T628">
        <v>43980000</v>
      </c>
      <c r="U628" t="s">
        <v>182</v>
      </c>
      <c r="V628" s="1" t="s">
        <v>176</v>
      </c>
      <c r="W628" s="1" t="s">
        <v>177</v>
      </c>
      <c r="X628" s="1" t="str">
        <f>VLOOKUP(V628,Broker_Directory!A:C,3,FALSE)</f>
        <v>Tier C</v>
      </c>
      <c r="Y628" s="1">
        <f>HLOOKUP(X628, Commission_Rates!A$1:C$2, 2, FALSE)</f>
        <v>0.01</v>
      </c>
      <c r="Z628" s="1">
        <f t="shared" si="27"/>
        <v>0</v>
      </c>
      <c r="AA628" s="1">
        <f t="shared" si="28"/>
        <v>0</v>
      </c>
      <c r="AB628" s="1">
        <f t="shared" si="29"/>
        <v>0</v>
      </c>
    </row>
    <row r="629" spans="1:28" x14ac:dyDescent="0.3">
      <c r="A629" s="1" t="s">
        <v>33</v>
      </c>
      <c r="B629" s="1" t="s">
        <v>75</v>
      </c>
      <c r="C629">
        <v>1</v>
      </c>
      <c r="D629">
        <v>3</v>
      </c>
      <c r="E629">
        <v>2408</v>
      </c>
      <c r="F629">
        <v>2590</v>
      </c>
      <c r="G629">
        <v>3</v>
      </c>
      <c r="H629">
        <v>1995</v>
      </c>
      <c r="I629">
        <v>1996</v>
      </c>
      <c r="J629" s="1" t="s">
        <v>52</v>
      </c>
      <c r="K629">
        <v>2</v>
      </c>
      <c r="L629" s="1" t="s">
        <v>23</v>
      </c>
      <c r="M629" s="1" t="s">
        <v>24</v>
      </c>
      <c r="N629" s="1" t="s">
        <v>35</v>
      </c>
      <c r="O629">
        <v>7</v>
      </c>
      <c r="P629">
        <v>0</v>
      </c>
      <c r="Q629" s="1" t="s">
        <v>76</v>
      </c>
      <c r="R629">
        <v>1</v>
      </c>
      <c r="S629" s="1" t="s">
        <v>24</v>
      </c>
      <c r="T629">
        <v>20758000</v>
      </c>
      <c r="U629" t="s">
        <v>183</v>
      </c>
      <c r="V629" s="1" t="s">
        <v>176</v>
      </c>
      <c r="W629" s="1" t="s">
        <v>177</v>
      </c>
      <c r="X629" s="1" t="str">
        <f>VLOOKUP(V629,Broker_Directory!A:C,3,FALSE)</f>
        <v>Tier C</v>
      </c>
      <c r="Y629" s="1">
        <f>HLOOKUP(X629, Commission_Rates!A$1:C$2, 2, FALSE)</f>
        <v>0.01</v>
      </c>
      <c r="Z629" s="1">
        <f t="shared" si="27"/>
        <v>0</v>
      </c>
      <c r="AA629" s="1">
        <f t="shared" si="28"/>
        <v>0</v>
      </c>
      <c r="AB629" s="1">
        <f t="shared" si="29"/>
        <v>0</v>
      </c>
    </row>
    <row r="630" spans="1:28" x14ac:dyDescent="0.3">
      <c r="A630" s="1" t="s">
        <v>53</v>
      </c>
      <c r="B630" s="1" t="s">
        <v>100</v>
      </c>
      <c r="C630">
        <v>3</v>
      </c>
      <c r="D630">
        <v>4</v>
      </c>
      <c r="E630">
        <v>884</v>
      </c>
      <c r="F630">
        <v>7921</v>
      </c>
      <c r="G630">
        <v>2</v>
      </c>
      <c r="H630">
        <v>1968</v>
      </c>
      <c r="I630">
        <v>1968</v>
      </c>
      <c r="J630" s="1" t="s">
        <v>30</v>
      </c>
      <c r="K630">
        <v>2</v>
      </c>
      <c r="L630" s="1" t="s">
        <v>64</v>
      </c>
      <c r="M630" s="1" t="s">
        <v>27</v>
      </c>
      <c r="N630" s="1" t="s">
        <v>35</v>
      </c>
      <c r="O630">
        <v>5</v>
      </c>
      <c r="P630">
        <v>3</v>
      </c>
      <c r="Q630" s="1" t="s">
        <v>151</v>
      </c>
      <c r="R630">
        <v>0</v>
      </c>
      <c r="S630" s="1" t="s">
        <v>24</v>
      </c>
      <c r="T630">
        <v>8316000</v>
      </c>
      <c r="U630" t="s">
        <v>184</v>
      </c>
      <c r="V630" s="1" t="s">
        <v>179</v>
      </c>
      <c r="W630" s="1" t="s">
        <v>180</v>
      </c>
      <c r="X630" s="1" t="str">
        <f>VLOOKUP(V630,Broker_Directory!A:C,3,FALSE)</f>
        <v>Tier B</v>
      </c>
      <c r="Y630" s="1">
        <f>HLOOKUP(X630, Commission_Rates!A$1:C$2, 2, FALSE)</f>
        <v>1.4999999999999999E-2</v>
      </c>
      <c r="Z630" s="1">
        <f t="shared" si="27"/>
        <v>124740</v>
      </c>
      <c r="AA630" s="1">
        <f t="shared" si="28"/>
        <v>249480</v>
      </c>
      <c r="AB630" s="1">
        <f t="shared" si="29"/>
        <v>124740</v>
      </c>
    </row>
    <row r="631" spans="1:28" x14ac:dyDescent="0.3">
      <c r="A631" s="1" t="s">
        <v>53</v>
      </c>
      <c r="B631" s="1" t="s">
        <v>105</v>
      </c>
      <c r="C631">
        <v>3</v>
      </c>
      <c r="D631">
        <v>2</v>
      </c>
      <c r="E631">
        <v>509</v>
      </c>
      <c r="F631">
        <v>2299</v>
      </c>
      <c r="G631">
        <v>3</v>
      </c>
      <c r="H631">
        <v>1977</v>
      </c>
      <c r="I631">
        <v>1996</v>
      </c>
      <c r="J631" s="1" t="s">
        <v>30</v>
      </c>
      <c r="K631">
        <v>1</v>
      </c>
      <c r="L631" s="1" t="s">
        <v>41</v>
      </c>
      <c r="M631" s="1" t="s">
        <v>24</v>
      </c>
      <c r="N631" s="1" t="s">
        <v>35</v>
      </c>
      <c r="O631">
        <v>2</v>
      </c>
      <c r="P631">
        <v>3</v>
      </c>
      <c r="Q631" s="1" t="s">
        <v>108</v>
      </c>
      <c r="R631">
        <v>0</v>
      </c>
      <c r="S631" s="1" t="s">
        <v>24</v>
      </c>
      <c r="T631">
        <v>4926000</v>
      </c>
      <c r="U631" t="s">
        <v>182</v>
      </c>
      <c r="V631" s="1" t="s">
        <v>168</v>
      </c>
      <c r="W631" s="1" t="s">
        <v>169</v>
      </c>
      <c r="X631" s="1" t="str">
        <f>VLOOKUP(V631,Broker_Directory!A:C,3,FALSE)</f>
        <v>Tier A</v>
      </c>
      <c r="Y631" s="1">
        <f>HLOOKUP(X631, Commission_Rates!A$1:C$2, 2, FALSE)</f>
        <v>0.02</v>
      </c>
      <c r="Z631" s="1">
        <f t="shared" si="27"/>
        <v>0</v>
      </c>
      <c r="AA631" s="1">
        <f t="shared" si="28"/>
        <v>0</v>
      </c>
      <c r="AB631" s="1">
        <f t="shared" si="29"/>
        <v>0</v>
      </c>
    </row>
    <row r="632" spans="1:28" x14ac:dyDescent="0.3">
      <c r="A632" s="1" t="s">
        <v>33</v>
      </c>
      <c r="B632" s="1" t="s">
        <v>43</v>
      </c>
      <c r="C632">
        <v>5</v>
      </c>
      <c r="D632">
        <v>4</v>
      </c>
      <c r="E632">
        <v>4715</v>
      </c>
      <c r="F632">
        <v>5758</v>
      </c>
      <c r="G632">
        <v>3</v>
      </c>
      <c r="H632">
        <v>1956</v>
      </c>
      <c r="I632">
        <v>2015</v>
      </c>
      <c r="J632" s="1" t="s">
        <v>22</v>
      </c>
      <c r="K632">
        <v>2</v>
      </c>
      <c r="L632" s="1" t="s">
        <v>64</v>
      </c>
      <c r="M632" s="1" t="s">
        <v>24</v>
      </c>
      <c r="N632" s="1" t="s">
        <v>35</v>
      </c>
      <c r="O632">
        <v>4</v>
      </c>
      <c r="P632">
        <v>1</v>
      </c>
      <c r="Q632" s="1" t="s">
        <v>71</v>
      </c>
      <c r="R632">
        <v>1</v>
      </c>
      <c r="S632" s="1" t="s">
        <v>27</v>
      </c>
      <c r="T632">
        <v>40547500</v>
      </c>
      <c r="U632" t="s">
        <v>182</v>
      </c>
      <c r="V632" s="1" t="s">
        <v>174</v>
      </c>
      <c r="W632" s="1" t="s">
        <v>175</v>
      </c>
      <c r="X632" s="1" t="str">
        <f>VLOOKUP(V632,Broker_Directory!A:C,3,FALSE)</f>
        <v>Tier A</v>
      </c>
      <c r="Y632" s="1">
        <f>HLOOKUP(X632, Commission_Rates!A$1:C$2, 2, FALSE)</f>
        <v>0.02</v>
      </c>
      <c r="Z632" s="1">
        <f t="shared" si="27"/>
        <v>0</v>
      </c>
      <c r="AA632" s="1">
        <f t="shared" si="28"/>
        <v>0</v>
      </c>
      <c r="AB632" s="1">
        <f t="shared" si="29"/>
        <v>0</v>
      </c>
    </row>
    <row r="633" spans="1:28" x14ac:dyDescent="0.3">
      <c r="A633" s="1" t="s">
        <v>28</v>
      </c>
      <c r="B633" s="1" t="s">
        <v>29</v>
      </c>
      <c r="C633">
        <v>3</v>
      </c>
      <c r="D633">
        <v>1</v>
      </c>
      <c r="E633">
        <v>2274</v>
      </c>
      <c r="F633">
        <v>5969</v>
      </c>
      <c r="G633">
        <v>3</v>
      </c>
      <c r="H633">
        <v>2002</v>
      </c>
      <c r="I633">
        <v>2012</v>
      </c>
      <c r="J633" s="1" t="s">
        <v>58</v>
      </c>
      <c r="K633">
        <v>2</v>
      </c>
      <c r="L633" s="1" t="s">
        <v>23</v>
      </c>
      <c r="M633" s="1" t="s">
        <v>27</v>
      </c>
      <c r="N633" s="1" t="s">
        <v>35</v>
      </c>
      <c r="O633">
        <v>7</v>
      </c>
      <c r="P633">
        <v>4</v>
      </c>
      <c r="Q633" s="1" t="s">
        <v>149</v>
      </c>
      <c r="R633">
        <v>3</v>
      </c>
      <c r="S633" s="1" t="s">
        <v>27</v>
      </c>
      <c r="T633">
        <v>23025000</v>
      </c>
      <c r="U633" t="s">
        <v>182</v>
      </c>
      <c r="V633" s="1" t="s">
        <v>174</v>
      </c>
      <c r="W633" s="1" t="s">
        <v>175</v>
      </c>
      <c r="X633" s="1" t="str">
        <f>VLOOKUP(V633,Broker_Directory!A:C,3,FALSE)</f>
        <v>Tier A</v>
      </c>
      <c r="Y633" s="1">
        <f>HLOOKUP(X633, Commission_Rates!A$1:C$2, 2, FALSE)</f>
        <v>0.02</v>
      </c>
      <c r="Z633" s="1">
        <f t="shared" si="27"/>
        <v>0</v>
      </c>
      <c r="AA633" s="1">
        <f t="shared" si="28"/>
        <v>0</v>
      </c>
      <c r="AB633" s="1">
        <f t="shared" si="29"/>
        <v>0</v>
      </c>
    </row>
    <row r="634" spans="1:28" x14ac:dyDescent="0.3">
      <c r="A634" s="1" t="s">
        <v>28</v>
      </c>
      <c r="B634" s="1" t="s">
        <v>95</v>
      </c>
      <c r="C634">
        <v>2</v>
      </c>
      <c r="D634">
        <v>2</v>
      </c>
      <c r="E634">
        <v>3639</v>
      </c>
      <c r="F634">
        <v>9211</v>
      </c>
      <c r="G634">
        <v>3</v>
      </c>
      <c r="H634">
        <v>1967</v>
      </c>
      <c r="I634">
        <v>2004</v>
      </c>
      <c r="J634" s="1" t="s">
        <v>30</v>
      </c>
      <c r="K634">
        <v>2</v>
      </c>
      <c r="L634" s="1" t="s">
        <v>64</v>
      </c>
      <c r="M634" s="1" t="s">
        <v>27</v>
      </c>
      <c r="N634" s="1" t="s">
        <v>25</v>
      </c>
      <c r="O634">
        <v>1</v>
      </c>
      <c r="P634">
        <v>3</v>
      </c>
      <c r="Q634" s="1" t="s">
        <v>146</v>
      </c>
      <c r="R634">
        <v>1</v>
      </c>
      <c r="S634" s="1" t="s">
        <v>27</v>
      </c>
      <c r="T634">
        <v>36700000</v>
      </c>
      <c r="U634" t="s">
        <v>183</v>
      </c>
      <c r="V634" s="1" t="s">
        <v>171</v>
      </c>
      <c r="W634" s="1" t="s">
        <v>172</v>
      </c>
      <c r="X634" s="1" t="str">
        <f>VLOOKUP(V634,Broker_Directory!A:C,3,FALSE)</f>
        <v>Tier B</v>
      </c>
      <c r="Y634" s="1">
        <f>HLOOKUP(X634, Commission_Rates!A$1:C$2, 2, FALSE)</f>
        <v>1.4999999999999999E-2</v>
      </c>
      <c r="Z634" s="1">
        <f t="shared" si="27"/>
        <v>0</v>
      </c>
      <c r="AA634" s="1">
        <f t="shared" si="28"/>
        <v>0</v>
      </c>
      <c r="AB634" s="1">
        <f t="shared" si="29"/>
        <v>0</v>
      </c>
    </row>
    <row r="635" spans="1:28" x14ac:dyDescent="0.3">
      <c r="A635" s="1" t="s">
        <v>28</v>
      </c>
      <c r="B635" s="1" t="s">
        <v>110</v>
      </c>
      <c r="C635">
        <v>4</v>
      </c>
      <c r="D635">
        <v>1</v>
      </c>
      <c r="E635">
        <v>1666</v>
      </c>
      <c r="F635">
        <v>3695</v>
      </c>
      <c r="G635">
        <v>2</v>
      </c>
      <c r="H635">
        <v>1983</v>
      </c>
      <c r="I635">
        <v>2017</v>
      </c>
      <c r="J635" s="1" t="s">
        <v>22</v>
      </c>
      <c r="K635">
        <v>0</v>
      </c>
      <c r="L635" s="1" t="s">
        <v>31</v>
      </c>
      <c r="M635" s="1" t="s">
        <v>24</v>
      </c>
      <c r="N635" s="1" t="s">
        <v>46</v>
      </c>
      <c r="O635">
        <v>0</v>
      </c>
      <c r="P635">
        <v>5</v>
      </c>
      <c r="Q635" s="1" t="s">
        <v>117</v>
      </c>
      <c r="R635">
        <v>0</v>
      </c>
      <c r="S635" s="1" t="s">
        <v>24</v>
      </c>
      <c r="T635">
        <v>17005000</v>
      </c>
      <c r="U635" t="s">
        <v>183</v>
      </c>
      <c r="V635" s="1" t="s">
        <v>176</v>
      </c>
      <c r="W635" s="1" t="s">
        <v>177</v>
      </c>
      <c r="X635" s="1" t="str">
        <f>VLOOKUP(V635,Broker_Directory!A:C,3,FALSE)</f>
        <v>Tier C</v>
      </c>
      <c r="Y635" s="1">
        <f>HLOOKUP(X635, Commission_Rates!A$1:C$2, 2, FALSE)</f>
        <v>0.01</v>
      </c>
      <c r="Z635" s="1">
        <f t="shared" si="27"/>
        <v>0</v>
      </c>
      <c r="AA635" s="1">
        <f t="shared" si="28"/>
        <v>0</v>
      </c>
      <c r="AB635" s="1">
        <f t="shared" si="29"/>
        <v>0</v>
      </c>
    </row>
    <row r="636" spans="1:28" x14ac:dyDescent="0.3">
      <c r="A636" s="1" t="s">
        <v>33</v>
      </c>
      <c r="B636" s="1" t="s">
        <v>43</v>
      </c>
      <c r="C636">
        <v>4</v>
      </c>
      <c r="D636">
        <v>4</v>
      </c>
      <c r="E636">
        <v>3202</v>
      </c>
      <c r="F636">
        <v>4296</v>
      </c>
      <c r="G636">
        <v>2</v>
      </c>
      <c r="H636">
        <v>2021</v>
      </c>
      <c r="I636">
        <v>2021</v>
      </c>
      <c r="J636" s="1" t="s">
        <v>30</v>
      </c>
      <c r="K636">
        <v>0</v>
      </c>
      <c r="L636" s="1" t="s">
        <v>64</v>
      </c>
      <c r="M636" s="1" t="s">
        <v>27</v>
      </c>
      <c r="N636" s="1" t="s">
        <v>35</v>
      </c>
      <c r="O636">
        <v>9</v>
      </c>
      <c r="P636">
        <v>4</v>
      </c>
      <c r="Q636" s="1" t="s">
        <v>83</v>
      </c>
      <c r="R636">
        <v>0</v>
      </c>
      <c r="S636" s="1" t="s">
        <v>24</v>
      </c>
      <c r="T636">
        <v>27627000</v>
      </c>
      <c r="U636" t="s">
        <v>184</v>
      </c>
      <c r="V636" s="1" t="s">
        <v>171</v>
      </c>
      <c r="W636" s="1" t="s">
        <v>172</v>
      </c>
      <c r="X636" s="1" t="str">
        <f>VLOOKUP(V636,Broker_Directory!A:C,3,FALSE)</f>
        <v>Tier B</v>
      </c>
      <c r="Y636" s="1">
        <f>HLOOKUP(X636, Commission_Rates!A$1:C$2, 2, FALSE)</f>
        <v>1.4999999999999999E-2</v>
      </c>
      <c r="Z636" s="1">
        <f t="shared" si="27"/>
        <v>414405</v>
      </c>
      <c r="AA636" s="1">
        <f t="shared" si="28"/>
        <v>828810</v>
      </c>
      <c r="AB636" s="1">
        <f t="shared" si="29"/>
        <v>414405</v>
      </c>
    </row>
    <row r="637" spans="1:28" x14ac:dyDescent="0.3">
      <c r="A637" s="1" t="s">
        <v>53</v>
      </c>
      <c r="B637" s="1" t="s">
        <v>54</v>
      </c>
      <c r="C637">
        <v>4</v>
      </c>
      <c r="D637">
        <v>4</v>
      </c>
      <c r="E637">
        <v>3869</v>
      </c>
      <c r="F637">
        <v>6288</v>
      </c>
      <c r="G637">
        <v>2</v>
      </c>
      <c r="H637">
        <v>1967</v>
      </c>
      <c r="I637">
        <v>2012</v>
      </c>
      <c r="J637" s="1" t="s">
        <v>52</v>
      </c>
      <c r="K637">
        <v>0</v>
      </c>
      <c r="L637" s="1" t="s">
        <v>31</v>
      </c>
      <c r="M637" s="1" t="s">
        <v>24</v>
      </c>
      <c r="N637" s="1" t="s">
        <v>35</v>
      </c>
      <c r="O637">
        <v>9</v>
      </c>
      <c r="P637">
        <v>2</v>
      </c>
      <c r="Q637" s="1" t="s">
        <v>55</v>
      </c>
      <c r="R637">
        <v>3</v>
      </c>
      <c r="S637" s="1" t="s">
        <v>27</v>
      </c>
      <c r="T637">
        <v>35251000</v>
      </c>
      <c r="U637" t="s">
        <v>184</v>
      </c>
      <c r="V637" s="1" t="s">
        <v>179</v>
      </c>
      <c r="W637" s="1" t="s">
        <v>180</v>
      </c>
      <c r="X637" s="1" t="str">
        <f>VLOOKUP(V637,Broker_Directory!A:C,3,FALSE)</f>
        <v>Tier B</v>
      </c>
      <c r="Y637" s="1">
        <f>HLOOKUP(X637, Commission_Rates!A$1:C$2, 2, FALSE)</f>
        <v>1.4999999999999999E-2</v>
      </c>
      <c r="Z637" s="1">
        <f t="shared" si="27"/>
        <v>528765</v>
      </c>
      <c r="AA637" s="1">
        <f t="shared" si="28"/>
        <v>1057530</v>
      </c>
      <c r="AB637" s="1">
        <f t="shared" si="29"/>
        <v>528765</v>
      </c>
    </row>
    <row r="638" spans="1:28" x14ac:dyDescent="0.3">
      <c r="A638" s="1" t="s">
        <v>37</v>
      </c>
      <c r="B638" s="1" t="s">
        <v>62</v>
      </c>
      <c r="C638">
        <v>5</v>
      </c>
      <c r="D638">
        <v>3</v>
      </c>
      <c r="E638">
        <v>1093</v>
      </c>
      <c r="F638">
        <v>4948</v>
      </c>
      <c r="G638">
        <v>2</v>
      </c>
      <c r="H638">
        <v>2013</v>
      </c>
      <c r="I638">
        <v>2017</v>
      </c>
      <c r="J638" s="1" t="s">
        <v>58</v>
      </c>
      <c r="K638">
        <v>3</v>
      </c>
      <c r="L638" s="1" t="s">
        <v>64</v>
      </c>
      <c r="M638" s="1" t="s">
        <v>27</v>
      </c>
      <c r="N638" s="1" t="s">
        <v>46</v>
      </c>
      <c r="O638">
        <v>5</v>
      </c>
      <c r="P638">
        <v>1</v>
      </c>
      <c r="Q638" s="1" t="s">
        <v>63</v>
      </c>
      <c r="R638">
        <v>0</v>
      </c>
      <c r="S638" s="1" t="s">
        <v>24</v>
      </c>
      <c r="T638">
        <v>9174000</v>
      </c>
      <c r="U638" t="s">
        <v>182</v>
      </c>
      <c r="V638" s="1" t="s">
        <v>171</v>
      </c>
      <c r="W638" s="1" t="s">
        <v>172</v>
      </c>
      <c r="X638" s="1" t="str">
        <f>VLOOKUP(V638,Broker_Directory!A:C,3,FALSE)</f>
        <v>Tier B</v>
      </c>
      <c r="Y638" s="1">
        <f>HLOOKUP(X638, Commission_Rates!A$1:C$2, 2, FALSE)</f>
        <v>1.4999999999999999E-2</v>
      </c>
      <c r="Z638" s="1">
        <f t="shared" si="27"/>
        <v>0</v>
      </c>
      <c r="AA638" s="1">
        <f t="shared" si="28"/>
        <v>0</v>
      </c>
      <c r="AB638" s="1">
        <f t="shared" si="29"/>
        <v>0</v>
      </c>
    </row>
    <row r="639" spans="1:28" x14ac:dyDescent="0.3">
      <c r="A639" s="1" t="s">
        <v>37</v>
      </c>
      <c r="B639" s="1" t="s">
        <v>45</v>
      </c>
      <c r="C639">
        <v>3</v>
      </c>
      <c r="D639">
        <v>3</v>
      </c>
      <c r="E639">
        <v>1114</v>
      </c>
      <c r="F639">
        <v>6854</v>
      </c>
      <c r="G639">
        <v>2</v>
      </c>
      <c r="H639">
        <v>1971</v>
      </c>
      <c r="I639">
        <v>1977</v>
      </c>
      <c r="J639" s="1" t="s">
        <v>30</v>
      </c>
      <c r="K639">
        <v>2</v>
      </c>
      <c r="L639" s="1" t="s">
        <v>41</v>
      </c>
      <c r="M639" s="1" t="s">
        <v>27</v>
      </c>
      <c r="N639" s="1" t="s">
        <v>25</v>
      </c>
      <c r="O639">
        <v>2</v>
      </c>
      <c r="P639">
        <v>2</v>
      </c>
      <c r="Q639" s="1" t="s">
        <v>77</v>
      </c>
      <c r="R639">
        <v>0</v>
      </c>
      <c r="S639" s="1" t="s">
        <v>24</v>
      </c>
      <c r="T639">
        <v>9317000</v>
      </c>
      <c r="U639" t="s">
        <v>183</v>
      </c>
      <c r="V639" s="1" t="s">
        <v>168</v>
      </c>
      <c r="W639" s="1" t="s">
        <v>169</v>
      </c>
      <c r="X639" s="1" t="str">
        <f>VLOOKUP(V639,Broker_Directory!A:C,3,FALSE)</f>
        <v>Tier A</v>
      </c>
      <c r="Y639" s="1">
        <f>HLOOKUP(X639, Commission_Rates!A$1:C$2, 2, FALSE)</f>
        <v>0.02</v>
      </c>
      <c r="Z639" s="1">
        <f t="shared" si="27"/>
        <v>0</v>
      </c>
      <c r="AA639" s="1">
        <f t="shared" si="28"/>
        <v>0</v>
      </c>
      <c r="AB639" s="1">
        <f t="shared" si="29"/>
        <v>0</v>
      </c>
    </row>
    <row r="640" spans="1:28" x14ac:dyDescent="0.3">
      <c r="A640" s="1" t="s">
        <v>53</v>
      </c>
      <c r="B640" s="1" t="s">
        <v>66</v>
      </c>
      <c r="C640">
        <v>1</v>
      </c>
      <c r="D640">
        <v>2</v>
      </c>
      <c r="E640">
        <v>4823</v>
      </c>
      <c r="F640">
        <v>9040</v>
      </c>
      <c r="G640">
        <v>1</v>
      </c>
      <c r="H640">
        <v>1953</v>
      </c>
      <c r="I640">
        <v>1957</v>
      </c>
      <c r="J640" s="1" t="s">
        <v>52</v>
      </c>
      <c r="K640">
        <v>0</v>
      </c>
      <c r="L640" s="1" t="s">
        <v>41</v>
      </c>
      <c r="M640" s="1" t="s">
        <v>24</v>
      </c>
      <c r="N640" s="1" t="s">
        <v>46</v>
      </c>
      <c r="O640">
        <v>3</v>
      </c>
      <c r="P640">
        <v>2</v>
      </c>
      <c r="Q640" s="1" t="s">
        <v>91</v>
      </c>
      <c r="R640">
        <v>3</v>
      </c>
      <c r="S640" s="1" t="s">
        <v>24</v>
      </c>
      <c r="T640">
        <v>43657000</v>
      </c>
      <c r="U640" t="s">
        <v>183</v>
      </c>
      <c r="V640" s="1" t="s">
        <v>179</v>
      </c>
      <c r="W640" s="1" t="s">
        <v>180</v>
      </c>
      <c r="X640" s="1" t="str">
        <f>VLOOKUP(V640,Broker_Directory!A:C,3,FALSE)</f>
        <v>Tier B</v>
      </c>
      <c r="Y640" s="1">
        <f>HLOOKUP(X640, Commission_Rates!A$1:C$2, 2, FALSE)</f>
        <v>1.4999999999999999E-2</v>
      </c>
      <c r="Z640" s="1">
        <f t="shared" si="27"/>
        <v>0</v>
      </c>
      <c r="AA640" s="1">
        <f t="shared" si="28"/>
        <v>0</v>
      </c>
      <c r="AB640" s="1">
        <f t="shared" si="29"/>
        <v>0</v>
      </c>
    </row>
    <row r="641" spans="1:28" x14ac:dyDescent="0.3">
      <c r="A641" s="1" t="s">
        <v>37</v>
      </c>
      <c r="B641" s="1" t="s">
        <v>38</v>
      </c>
      <c r="C641">
        <v>1</v>
      </c>
      <c r="D641">
        <v>1</v>
      </c>
      <c r="E641">
        <v>3940</v>
      </c>
      <c r="F641">
        <v>7531</v>
      </c>
      <c r="G641">
        <v>2</v>
      </c>
      <c r="H641">
        <v>1983</v>
      </c>
      <c r="I641">
        <v>1987</v>
      </c>
      <c r="J641" s="1" t="s">
        <v>52</v>
      </c>
      <c r="K641">
        <v>2</v>
      </c>
      <c r="L641" s="1" t="s">
        <v>23</v>
      </c>
      <c r="M641" s="1" t="s">
        <v>27</v>
      </c>
      <c r="N641" s="1" t="s">
        <v>25</v>
      </c>
      <c r="O641">
        <v>3</v>
      </c>
      <c r="P641">
        <v>5</v>
      </c>
      <c r="Q641" s="1" t="s">
        <v>93</v>
      </c>
      <c r="R641">
        <v>2</v>
      </c>
      <c r="S641" s="1" t="s">
        <v>24</v>
      </c>
      <c r="T641">
        <v>31795000</v>
      </c>
      <c r="U641" t="s">
        <v>184</v>
      </c>
      <c r="V641" s="1" t="s">
        <v>176</v>
      </c>
      <c r="W641" s="1" t="s">
        <v>177</v>
      </c>
      <c r="X641" s="1" t="str">
        <f>VLOOKUP(V641,Broker_Directory!A:C,3,FALSE)</f>
        <v>Tier C</v>
      </c>
      <c r="Y641" s="1">
        <f>HLOOKUP(X641, Commission_Rates!A$1:C$2, 2, FALSE)</f>
        <v>0.01</v>
      </c>
      <c r="Z641" s="1">
        <f t="shared" si="27"/>
        <v>317950</v>
      </c>
      <c r="AA641" s="1">
        <f t="shared" si="28"/>
        <v>953850</v>
      </c>
      <c r="AB641" s="1">
        <f t="shared" si="29"/>
        <v>635900</v>
      </c>
    </row>
    <row r="642" spans="1:28" x14ac:dyDescent="0.3">
      <c r="A642" s="1" t="s">
        <v>33</v>
      </c>
      <c r="B642" s="1" t="s">
        <v>34</v>
      </c>
      <c r="C642">
        <v>3</v>
      </c>
      <c r="D642">
        <v>4</v>
      </c>
      <c r="E642">
        <v>4501</v>
      </c>
      <c r="F642">
        <v>5157</v>
      </c>
      <c r="G642">
        <v>3</v>
      </c>
      <c r="H642">
        <v>1990</v>
      </c>
      <c r="I642">
        <v>1991</v>
      </c>
      <c r="J642" s="1" t="s">
        <v>22</v>
      </c>
      <c r="K642">
        <v>0</v>
      </c>
      <c r="L642" s="1" t="s">
        <v>64</v>
      </c>
      <c r="M642" s="1" t="s">
        <v>24</v>
      </c>
      <c r="N642" s="1" t="s">
        <v>35</v>
      </c>
      <c r="O642">
        <v>10</v>
      </c>
      <c r="P642">
        <v>5</v>
      </c>
      <c r="Q642" s="1" t="s">
        <v>36</v>
      </c>
      <c r="R642">
        <v>0</v>
      </c>
      <c r="S642" s="1" t="s">
        <v>24</v>
      </c>
      <c r="T642">
        <v>38663500</v>
      </c>
      <c r="U642" t="s">
        <v>184</v>
      </c>
      <c r="V642" s="1" t="s">
        <v>168</v>
      </c>
      <c r="W642" s="1" t="s">
        <v>169</v>
      </c>
      <c r="X642" s="1" t="str">
        <f>VLOOKUP(V642,Broker_Directory!A:C,3,FALSE)</f>
        <v>Tier A</v>
      </c>
      <c r="Y642" s="1">
        <f>HLOOKUP(X642, Commission_Rates!A$1:C$2, 2, FALSE)</f>
        <v>0.02</v>
      </c>
      <c r="Z642" s="1">
        <f t="shared" ref="Z642:Z705" si="30">IF(U642="Sold",T642*Y642,0)</f>
        <v>773270</v>
      </c>
      <c r="AA642" s="1">
        <f t="shared" ref="AA642:AA705" si="31">IF(U642="Sold", T642 * 0.03, 0)</f>
        <v>1159905</v>
      </c>
      <c r="AB642" s="1">
        <f t="shared" ref="AB642:AB705" si="32">AA642 - Z642</f>
        <v>386635</v>
      </c>
    </row>
    <row r="643" spans="1:28" x14ac:dyDescent="0.3">
      <c r="A643" s="1" t="s">
        <v>28</v>
      </c>
      <c r="B643" s="1" t="s">
        <v>95</v>
      </c>
      <c r="C643">
        <v>4</v>
      </c>
      <c r="D643">
        <v>2</v>
      </c>
      <c r="E643">
        <v>1902</v>
      </c>
      <c r="F643">
        <v>4125</v>
      </c>
      <c r="G643">
        <v>2</v>
      </c>
      <c r="H643">
        <v>1969</v>
      </c>
      <c r="I643">
        <v>1999</v>
      </c>
      <c r="J643" s="1" t="s">
        <v>52</v>
      </c>
      <c r="K643">
        <v>3</v>
      </c>
      <c r="L643" s="1" t="s">
        <v>64</v>
      </c>
      <c r="M643" s="1" t="s">
        <v>24</v>
      </c>
      <c r="N643" s="1" t="s">
        <v>25</v>
      </c>
      <c r="O643">
        <v>10</v>
      </c>
      <c r="P643">
        <v>0</v>
      </c>
      <c r="Q643" s="1" t="s">
        <v>96</v>
      </c>
      <c r="R643">
        <v>0</v>
      </c>
      <c r="S643" s="1" t="s">
        <v>27</v>
      </c>
      <c r="T643">
        <v>19420000</v>
      </c>
      <c r="U643" t="s">
        <v>182</v>
      </c>
      <c r="V643" s="1" t="s">
        <v>168</v>
      </c>
      <c r="W643" s="1" t="s">
        <v>169</v>
      </c>
      <c r="X643" s="1" t="str">
        <f>VLOOKUP(V643,Broker_Directory!A:C,3,FALSE)</f>
        <v>Tier A</v>
      </c>
      <c r="Y643" s="1">
        <f>HLOOKUP(X643, Commission_Rates!A$1:C$2, 2, FALSE)</f>
        <v>0.02</v>
      </c>
      <c r="Z643" s="1">
        <f t="shared" si="30"/>
        <v>0</v>
      </c>
      <c r="AA643" s="1">
        <f t="shared" si="31"/>
        <v>0</v>
      </c>
      <c r="AB643" s="1">
        <f t="shared" si="32"/>
        <v>0</v>
      </c>
    </row>
    <row r="644" spans="1:28" x14ac:dyDescent="0.3">
      <c r="A644" s="1" t="s">
        <v>20</v>
      </c>
      <c r="B644" s="1" t="s">
        <v>50</v>
      </c>
      <c r="C644">
        <v>5</v>
      </c>
      <c r="D644">
        <v>2</v>
      </c>
      <c r="E644">
        <v>1759</v>
      </c>
      <c r="F644">
        <v>2444</v>
      </c>
      <c r="G644">
        <v>2</v>
      </c>
      <c r="H644">
        <v>1983</v>
      </c>
      <c r="I644">
        <v>2021</v>
      </c>
      <c r="J644" s="1" t="s">
        <v>22</v>
      </c>
      <c r="K644">
        <v>1</v>
      </c>
      <c r="L644" s="1" t="s">
        <v>64</v>
      </c>
      <c r="M644" s="1" t="s">
        <v>27</v>
      </c>
      <c r="N644" s="1" t="s">
        <v>35</v>
      </c>
      <c r="O644">
        <v>10</v>
      </c>
      <c r="P644">
        <v>1</v>
      </c>
      <c r="Q644" s="1" t="s">
        <v>51</v>
      </c>
      <c r="R644">
        <v>1</v>
      </c>
      <c r="S644" s="1" t="s">
        <v>27</v>
      </c>
      <c r="T644">
        <v>21473000</v>
      </c>
      <c r="U644" t="s">
        <v>182</v>
      </c>
      <c r="V644" s="1" t="s">
        <v>171</v>
      </c>
      <c r="W644" s="1" t="s">
        <v>172</v>
      </c>
      <c r="X644" s="1" t="str">
        <f>VLOOKUP(V644,Broker_Directory!A:C,3,FALSE)</f>
        <v>Tier B</v>
      </c>
      <c r="Y644" s="1">
        <f>HLOOKUP(X644, Commission_Rates!A$1:C$2, 2, FALSE)</f>
        <v>1.4999999999999999E-2</v>
      </c>
      <c r="Z644" s="1">
        <f t="shared" si="30"/>
        <v>0</v>
      </c>
      <c r="AA644" s="1">
        <f t="shared" si="31"/>
        <v>0</v>
      </c>
      <c r="AB644" s="1">
        <f t="shared" si="32"/>
        <v>0</v>
      </c>
    </row>
    <row r="645" spans="1:28" x14ac:dyDescent="0.3">
      <c r="A645" s="1" t="s">
        <v>37</v>
      </c>
      <c r="B645" s="1" t="s">
        <v>72</v>
      </c>
      <c r="C645">
        <v>4</v>
      </c>
      <c r="D645">
        <v>3</v>
      </c>
      <c r="E645">
        <v>4751</v>
      </c>
      <c r="F645">
        <v>8741</v>
      </c>
      <c r="G645">
        <v>2</v>
      </c>
      <c r="H645">
        <v>1962</v>
      </c>
      <c r="I645">
        <v>1989</v>
      </c>
      <c r="J645" s="1" t="s">
        <v>58</v>
      </c>
      <c r="K645">
        <v>2</v>
      </c>
      <c r="L645" s="1" t="s">
        <v>41</v>
      </c>
      <c r="M645" s="1" t="s">
        <v>27</v>
      </c>
      <c r="N645" s="1" t="s">
        <v>46</v>
      </c>
      <c r="O645">
        <v>3</v>
      </c>
      <c r="P645">
        <v>5</v>
      </c>
      <c r="Q645" s="1" t="s">
        <v>94</v>
      </c>
      <c r="R645">
        <v>0</v>
      </c>
      <c r="S645" s="1" t="s">
        <v>24</v>
      </c>
      <c r="T645">
        <v>38388000</v>
      </c>
      <c r="U645" t="s">
        <v>183</v>
      </c>
      <c r="V645" s="1" t="s">
        <v>174</v>
      </c>
      <c r="W645" s="1" t="s">
        <v>175</v>
      </c>
      <c r="X645" s="1" t="str">
        <f>VLOOKUP(V645,Broker_Directory!A:C,3,FALSE)</f>
        <v>Tier A</v>
      </c>
      <c r="Y645" s="1">
        <f>HLOOKUP(X645, Commission_Rates!A$1:C$2, 2, FALSE)</f>
        <v>0.02</v>
      </c>
      <c r="Z645" s="1">
        <f t="shared" si="30"/>
        <v>0</v>
      </c>
      <c r="AA645" s="1">
        <f t="shared" si="31"/>
        <v>0</v>
      </c>
      <c r="AB645" s="1">
        <f t="shared" si="32"/>
        <v>0</v>
      </c>
    </row>
    <row r="646" spans="1:28" x14ac:dyDescent="0.3">
      <c r="A646" s="1" t="s">
        <v>37</v>
      </c>
      <c r="B646" s="1" t="s">
        <v>38</v>
      </c>
      <c r="C646">
        <v>1</v>
      </c>
      <c r="D646">
        <v>3</v>
      </c>
      <c r="E646">
        <v>3561</v>
      </c>
      <c r="F646">
        <v>9384</v>
      </c>
      <c r="G646">
        <v>1</v>
      </c>
      <c r="H646">
        <v>2011</v>
      </c>
      <c r="I646">
        <v>2025</v>
      </c>
      <c r="J646" s="1" t="s">
        <v>22</v>
      </c>
      <c r="K646">
        <v>1</v>
      </c>
      <c r="L646" s="1" t="s">
        <v>23</v>
      </c>
      <c r="M646" s="1" t="s">
        <v>27</v>
      </c>
      <c r="N646" s="1" t="s">
        <v>46</v>
      </c>
      <c r="O646">
        <v>8</v>
      </c>
      <c r="P646">
        <v>1</v>
      </c>
      <c r="Q646" s="1" t="s">
        <v>78</v>
      </c>
      <c r="R646">
        <v>0</v>
      </c>
      <c r="S646" s="1" t="s">
        <v>27</v>
      </c>
      <c r="T646">
        <v>28648000</v>
      </c>
      <c r="U646" t="s">
        <v>182</v>
      </c>
      <c r="V646" s="1" t="s">
        <v>179</v>
      </c>
      <c r="W646" s="1" t="s">
        <v>180</v>
      </c>
      <c r="X646" s="1" t="str">
        <f>VLOOKUP(V646,Broker_Directory!A:C,3,FALSE)</f>
        <v>Tier B</v>
      </c>
      <c r="Y646" s="1">
        <f>HLOOKUP(X646, Commission_Rates!A$1:C$2, 2, FALSE)</f>
        <v>1.4999999999999999E-2</v>
      </c>
      <c r="Z646" s="1">
        <f t="shared" si="30"/>
        <v>0</v>
      </c>
      <c r="AA646" s="1">
        <f t="shared" si="31"/>
        <v>0</v>
      </c>
      <c r="AB646" s="1">
        <f t="shared" si="32"/>
        <v>0</v>
      </c>
    </row>
    <row r="647" spans="1:28" x14ac:dyDescent="0.3">
      <c r="A647" s="1" t="s">
        <v>53</v>
      </c>
      <c r="B647" s="1" t="s">
        <v>89</v>
      </c>
      <c r="C647">
        <v>4</v>
      </c>
      <c r="D647">
        <v>4</v>
      </c>
      <c r="E647">
        <v>3920</v>
      </c>
      <c r="F647">
        <v>7453</v>
      </c>
      <c r="G647">
        <v>2</v>
      </c>
      <c r="H647">
        <v>1983</v>
      </c>
      <c r="I647">
        <v>1985</v>
      </c>
      <c r="J647" s="1" t="s">
        <v>30</v>
      </c>
      <c r="K647">
        <v>3</v>
      </c>
      <c r="L647" s="1" t="s">
        <v>31</v>
      </c>
      <c r="M647" s="1" t="s">
        <v>27</v>
      </c>
      <c r="N647" s="1" t="s">
        <v>35</v>
      </c>
      <c r="O647">
        <v>0</v>
      </c>
      <c r="P647">
        <v>2</v>
      </c>
      <c r="Q647" s="1" t="s">
        <v>157</v>
      </c>
      <c r="R647">
        <v>3</v>
      </c>
      <c r="S647" s="1" t="s">
        <v>24</v>
      </c>
      <c r="T647">
        <v>35735000</v>
      </c>
      <c r="U647" t="s">
        <v>184</v>
      </c>
      <c r="V647" s="1" t="s">
        <v>168</v>
      </c>
      <c r="W647" s="1" t="s">
        <v>169</v>
      </c>
      <c r="X647" s="1" t="str">
        <f>VLOOKUP(V647,Broker_Directory!A:C,3,FALSE)</f>
        <v>Tier A</v>
      </c>
      <c r="Y647" s="1">
        <f>HLOOKUP(X647, Commission_Rates!A$1:C$2, 2, FALSE)</f>
        <v>0.02</v>
      </c>
      <c r="Z647" s="1">
        <f t="shared" si="30"/>
        <v>714700</v>
      </c>
      <c r="AA647" s="1">
        <f t="shared" si="31"/>
        <v>1072050</v>
      </c>
      <c r="AB647" s="1">
        <f t="shared" si="32"/>
        <v>357350</v>
      </c>
    </row>
    <row r="648" spans="1:28" x14ac:dyDescent="0.3">
      <c r="A648" s="1" t="s">
        <v>33</v>
      </c>
      <c r="B648" s="1" t="s">
        <v>75</v>
      </c>
      <c r="C648">
        <v>5</v>
      </c>
      <c r="D648">
        <v>2</v>
      </c>
      <c r="E648">
        <v>1203</v>
      </c>
      <c r="F648">
        <v>6654</v>
      </c>
      <c r="G648">
        <v>1</v>
      </c>
      <c r="H648">
        <v>2019</v>
      </c>
      <c r="I648">
        <v>0</v>
      </c>
      <c r="J648" s="1" t="s">
        <v>58</v>
      </c>
      <c r="K648">
        <v>3</v>
      </c>
      <c r="L648" s="1" t="s">
        <v>23</v>
      </c>
      <c r="M648" s="1" t="s">
        <v>27</v>
      </c>
      <c r="N648" s="1" t="s">
        <v>46</v>
      </c>
      <c r="O648">
        <v>8</v>
      </c>
      <c r="P648">
        <v>0</v>
      </c>
      <c r="Q648" s="1" t="s">
        <v>76</v>
      </c>
      <c r="R648">
        <v>1</v>
      </c>
      <c r="S648" s="1" t="s">
        <v>27</v>
      </c>
      <c r="T648">
        <v>10570500</v>
      </c>
      <c r="U648" t="s">
        <v>182</v>
      </c>
      <c r="V648" s="1" t="s">
        <v>168</v>
      </c>
      <c r="W648" s="1" t="s">
        <v>169</v>
      </c>
      <c r="X648" s="1" t="str">
        <f>VLOOKUP(V648,Broker_Directory!A:C,3,FALSE)</f>
        <v>Tier A</v>
      </c>
      <c r="Y648" s="1">
        <f>HLOOKUP(X648, Commission_Rates!A$1:C$2, 2, FALSE)</f>
        <v>0.02</v>
      </c>
      <c r="Z648" s="1">
        <f t="shared" si="30"/>
        <v>0</v>
      </c>
      <c r="AA648" s="1">
        <f t="shared" si="31"/>
        <v>0</v>
      </c>
      <c r="AB648" s="1">
        <f t="shared" si="32"/>
        <v>0</v>
      </c>
    </row>
    <row r="649" spans="1:28" x14ac:dyDescent="0.3">
      <c r="A649" s="1" t="s">
        <v>33</v>
      </c>
      <c r="B649" s="1" t="s">
        <v>75</v>
      </c>
      <c r="C649">
        <v>2</v>
      </c>
      <c r="D649">
        <v>4</v>
      </c>
      <c r="E649">
        <v>2178</v>
      </c>
      <c r="F649">
        <v>4605</v>
      </c>
      <c r="G649">
        <v>1</v>
      </c>
      <c r="H649">
        <v>1997</v>
      </c>
      <c r="I649">
        <v>2006</v>
      </c>
      <c r="J649" s="1" t="s">
        <v>22</v>
      </c>
      <c r="K649">
        <v>1</v>
      </c>
      <c r="L649" s="1" t="s">
        <v>31</v>
      </c>
      <c r="M649" s="1" t="s">
        <v>24</v>
      </c>
      <c r="N649" s="1" t="s">
        <v>25</v>
      </c>
      <c r="O649">
        <v>0</v>
      </c>
      <c r="P649">
        <v>4</v>
      </c>
      <c r="Q649" s="1" t="s">
        <v>76</v>
      </c>
      <c r="R649">
        <v>3</v>
      </c>
      <c r="S649" s="1" t="s">
        <v>27</v>
      </c>
      <c r="T649">
        <v>18898000</v>
      </c>
      <c r="U649" t="s">
        <v>184</v>
      </c>
      <c r="V649" s="1" t="s">
        <v>168</v>
      </c>
      <c r="W649" s="1" t="s">
        <v>169</v>
      </c>
      <c r="X649" s="1" t="str">
        <f>VLOOKUP(V649,Broker_Directory!A:C,3,FALSE)</f>
        <v>Tier A</v>
      </c>
      <c r="Y649" s="1">
        <f>HLOOKUP(X649, Commission_Rates!A$1:C$2, 2, FALSE)</f>
        <v>0.02</v>
      </c>
      <c r="Z649" s="1">
        <f t="shared" si="30"/>
        <v>377960</v>
      </c>
      <c r="AA649" s="1">
        <f t="shared" si="31"/>
        <v>566940</v>
      </c>
      <c r="AB649" s="1">
        <f t="shared" si="32"/>
        <v>188980</v>
      </c>
    </row>
    <row r="650" spans="1:28" x14ac:dyDescent="0.3">
      <c r="A650" s="1" t="s">
        <v>20</v>
      </c>
      <c r="B650" s="1" t="s">
        <v>40</v>
      </c>
      <c r="C650">
        <v>3</v>
      </c>
      <c r="D650">
        <v>3</v>
      </c>
      <c r="E650">
        <v>498</v>
      </c>
      <c r="F650">
        <v>4316</v>
      </c>
      <c r="G650">
        <v>3</v>
      </c>
      <c r="H650">
        <v>1981</v>
      </c>
      <c r="I650">
        <v>1982</v>
      </c>
      <c r="J650" s="1" t="s">
        <v>30</v>
      </c>
      <c r="K650">
        <v>0</v>
      </c>
      <c r="L650" s="1" t="s">
        <v>41</v>
      </c>
      <c r="M650" s="1" t="s">
        <v>27</v>
      </c>
      <c r="N650" s="1" t="s">
        <v>25</v>
      </c>
      <c r="O650">
        <v>4</v>
      </c>
      <c r="P650">
        <v>0</v>
      </c>
      <c r="Q650" s="1" t="s">
        <v>115</v>
      </c>
      <c r="R650">
        <v>0</v>
      </c>
      <c r="S650" s="1" t="s">
        <v>27</v>
      </c>
      <c r="T650">
        <v>6351000</v>
      </c>
      <c r="U650" t="s">
        <v>183</v>
      </c>
      <c r="V650" s="1" t="s">
        <v>171</v>
      </c>
      <c r="W650" s="1" t="s">
        <v>172</v>
      </c>
      <c r="X650" s="1" t="str">
        <f>VLOOKUP(V650,Broker_Directory!A:C,3,FALSE)</f>
        <v>Tier B</v>
      </c>
      <c r="Y650" s="1">
        <f>HLOOKUP(X650, Commission_Rates!A$1:C$2, 2, FALSE)</f>
        <v>1.4999999999999999E-2</v>
      </c>
      <c r="Z650" s="1">
        <f t="shared" si="30"/>
        <v>0</v>
      </c>
      <c r="AA650" s="1">
        <f t="shared" si="31"/>
        <v>0</v>
      </c>
      <c r="AB650" s="1">
        <f t="shared" si="32"/>
        <v>0</v>
      </c>
    </row>
    <row r="651" spans="1:28" x14ac:dyDescent="0.3">
      <c r="A651" s="1" t="s">
        <v>20</v>
      </c>
      <c r="B651" s="1" t="s">
        <v>21</v>
      </c>
      <c r="C651">
        <v>5</v>
      </c>
      <c r="D651">
        <v>2</v>
      </c>
      <c r="E651">
        <v>1082</v>
      </c>
      <c r="F651">
        <v>7540</v>
      </c>
      <c r="G651">
        <v>1</v>
      </c>
      <c r="H651">
        <v>1989</v>
      </c>
      <c r="I651">
        <v>2008</v>
      </c>
      <c r="J651" s="1" t="s">
        <v>22</v>
      </c>
      <c r="K651">
        <v>0</v>
      </c>
      <c r="L651" s="1" t="s">
        <v>64</v>
      </c>
      <c r="M651" s="1" t="s">
        <v>27</v>
      </c>
      <c r="N651" s="1" t="s">
        <v>46</v>
      </c>
      <c r="O651">
        <v>3</v>
      </c>
      <c r="P651">
        <v>0</v>
      </c>
      <c r="Q651" s="1" t="s">
        <v>114</v>
      </c>
      <c r="R651">
        <v>3</v>
      </c>
      <c r="S651" s="1" t="s">
        <v>27</v>
      </c>
      <c r="T651">
        <v>13359000</v>
      </c>
      <c r="U651" t="s">
        <v>184</v>
      </c>
      <c r="V651" s="1" t="s">
        <v>176</v>
      </c>
      <c r="W651" s="1" t="s">
        <v>177</v>
      </c>
      <c r="X651" s="1" t="str">
        <f>VLOOKUP(V651,Broker_Directory!A:C,3,FALSE)</f>
        <v>Tier C</v>
      </c>
      <c r="Y651" s="1">
        <f>HLOOKUP(X651, Commission_Rates!A$1:C$2, 2, FALSE)</f>
        <v>0.01</v>
      </c>
      <c r="Z651" s="1">
        <f t="shared" si="30"/>
        <v>133590</v>
      </c>
      <c r="AA651" s="1">
        <f t="shared" si="31"/>
        <v>400770</v>
      </c>
      <c r="AB651" s="1">
        <f t="shared" si="32"/>
        <v>267180</v>
      </c>
    </row>
    <row r="652" spans="1:28" x14ac:dyDescent="0.3">
      <c r="A652" s="1" t="s">
        <v>53</v>
      </c>
      <c r="B652" s="1" t="s">
        <v>54</v>
      </c>
      <c r="C652">
        <v>1</v>
      </c>
      <c r="D652">
        <v>2</v>
      </c>
      <c r="E652">
        <v>3628</v>
      </c>
      <c r="F652">
        <v>8273</v>
      </c>
      <c r="G652">
        <v>2</v>
      </c>
      <c r="H652">
        <v>2011</v>
      </c>
      <c r="I652">
        <v>2019</v>
      </c>
      <c r="J652" s="1" t="s">
        <v>52</v>
      </c>
      <c r="K652">
        <v>3</v>
      </c>
      <c r="L652" s="1" t="s">
        <v>23</v>
      </c>
      <c r="M652" s="1" t="s">
        <v>27</v>
      </c>
      <c r="N652" s="1" t="s">
        <v>35</v>
      </c>
      <c r="O652">
        <v>6</v>
      </c>
      <c r="P652">
        <v>2</v>
      </c>
      <c r="Q652" s="1" t="s">
        <v>156</v>
      </c>
      <c r="R652">
        <v>3</v>
      </c>
      <c r="S652" s="1" t="s">
        <v>24</v>
      </c>
      <c r="T652">
        <v>32897000</v>
      </c>
      <c r="U652" t="s">
        <v>183</v>
      </c>
      <c r="V652" s="1" t="s">
        <v>171</v>
      </c>
      <c r="W652" s="1" t="s">
        <v>172</v>
      </c>
      <c r="X652" s="1" t="str">
        <f>VLOOKUP(V652,Broker_Directory!A:C,3,FALSE)</f>
        <v>Tier B</v>
      </c>
      <c r="Y652" s="1">
        <f>HLOOKUP(X652, Commission_Rates!A$1:C$2, 2, FALSE)</f>
        <v>1.4999999999999999E-2</v>
      </c>
      <c r="Z652" s="1">
        <f t="shared" si="30"/>
        <v>0</v>
      </c>
      <c r="AA652" s="1">
        <f t="shared" si="31"/>
        <v>0</v>
      </c>
      <c r="AB652" s="1">
        <f t="shared" si="32"/>
        <v>0</v>
      </c>
    </row>
    <row r="653" spans="1:28" x14ac:dyDescent="0.3">
      <c r="A653" s="1" t="s">
        <v>33</v>
      </c>
      <c r="B653" s="1" t="s">
        <v>48</v>
      </c>
      <c r="C653">
        <v>4</v>
      </c>
      <c r="D653">
        <v>2</v>
      </c>
      <c r="E653">
        <v>3962</v>
      </c>
      <c r="F653">
        <v>7041</v>
      </c>
      <c r="G653">
        <v>2</v>
      </c>
      <c r="H653">
        <v>2022</v>
      </c>
      <c r="I653">
        <v>0</v>
      </c>
      <c r="J653" s="1" t="s">
        <v>30</v>
      </c>
      <c r="K653">
        <v>2</v>
      </c>
      <c r="L653" s="1" t="s">
        <v>31</v>
      </c>
      <c r="M653" s="1" t="s">
        <v>24</v>
      </c>
      <c r="N653" s="1" t="s">
        <v>25</v>
      </c>
      <c r="O653">
        <v>8</v>
      </c>
      <c r="P653">
        <v>1</v>
      </c>
      <c r="Q653" s="1" t="s">
        <v>84</v>
      </c>
      <c r="R653">
        <v>3</v>
      </c>
      <c r="S653" s="1" t="s">
        <v>24</v>
      </c>
      <c r="T653">
        <v>34172000</v>
      </c>
      <c r="U653" t="s">
        <v>184</v>
      </c>
      <c r="V653" s="1" t="s">
        <v>171</v>
      </c>
      <c r="W653" s="1" t="s">
        <v>172</v>
      </c>
      <c r="X653" s="1" t="str">
        <f>VLOOKUP(V653,Broker_Directory!A:C,3,FALSE)</f>
        <v>Tier B</v>
      </c>
      <c r="Y653" s="1">
        <f>HLOOKUP(X653, Commission_Rates!A$1:C$2, 2, FALSE)</f>
        <v>1.4999999999999999E-2</v>
      </c>
      <c r="Z653" s="1">
        <f t="shared" si="30"/>
        <v>512580</v>
      </c>
      <c r="AA653" s="1">
        <f t="shared" si="31"/>
        <v>1025160</v>
      </c>
      <c r="AB653" s="1">
        <f t="shared" si="32"/>
        <v>512580</v>
      </c>
    </row>
    <row r="654" spans="1:28" x14ac:dyDescent="0.3">
      <c r="A654" s="1" t="s">
        <v>20</v>
      </c>
      <c r="B654" s="1" t="s">
        <v>40</v>
      </c>
      <c r="C654">
        <v>4</v>
      </c>
      <c r="D654">
        <v>4</v>
      </c>
      <c r="E654">
        <v>4587</v>
      </c>
      <c r="F654">
        <v>9278</v>
      </c>
      <c r="G654">
        <v>1</v>
      </c>
      <c r="H654">
        <v>1957</v>
      </c>
      <c r="I654">
        <v>2019</v>
      </c>
      <c r="J654" s="1" t="s">
        <v>30</v>
      </c>
      <c r="K654">
        <v>3</v>
      </c>
      <c r="L654" s="1" t="s">
        <v>64</v>
      </c>
      <c r="M654" s="1" t="s">
        <v>27</v>
      </c>
      <c r="N654" s="1" t="s">
        <v>25</v>
      </c>
      <c r="O654">
        <v>0</v>
      </c>
      <c r="P654">
        <v>2</v>
      </c>
      <c r="Q654" s="1" t="s">
        <v>153</v>
      </c>
      <c r="R654">
        <v>0</v>
      </c>
      <c r="S654" s="1" t="s">
        <v>27</v>
      </c>
      <c r="T654">
        <v>55459000</v>
      </c>
      <c r="U654" t="s">
        <v>182</v>
      </c>
      <c r="V654" s="1" t="s">
        <v>168</v>
      </c>
      <c r="W654" s="1" t="s">
        <v>169</v>
      </c>
      <c r="X654" s="1" t="str">
        <f>VLOOKUP(V654,Broker_Directory!A:C,3,FALSE)</f>
        <v>Tier A</v>
      </c>
      <c r="Y654" s="1">
        <f>HLOOKUP(X654, Commission_Rates!A$1:C$2, 2, FALSE)</f>
        <v>0.02</v>
      </c>
      <c r="Z654" s="1">
        <f t="shared" si="30"/>
        <v>0</v>
      </c>
      <c r="AA654" s="1">
        <f t="shared" si="31"/>
        <v>0</v>
      </c>
      <c r="AB654" s="1">
        <f t="shared" si="32"/>
        <v>0</v>
      </c>
    </row>
    <row r="655" spans="1:28" x14ac:dyDescent="0.3">
      <c r="A655" s="1" t="s">
        <v>28</v>
      </c>
      <c r="B655" s="1" t="s">
        <v>95</v>
      </c>
      <c r="C655">
        <v>4</v>
      </c>
      <c r="D655">
        <v>4</v>
      </c>
      <c r="E655">
        <v>2864</v>
      </c>
      <c r="F655">
        <v>8255</v>
      </c>
      <c r="G655">
        <v>1</v>
      </c>
      <c r="H655">
        <v>1991</v>
      </c>
      <c r="I655">
        <v>2019</v>
      </c>
      <c r="J655" s="1" t="s">
        <v>22</v>
      </c>
      <c r="K655">
        <v>0</v>
      </c>
      <c r="L655" s="1" t="s">
        <v>23</v>
      </c>
      <c r="M655" s="1" t="s">
        <v>27</v>
      </c>
      <c r="N655" s="1" t="s">
        <v>35</v>
      </c>
      <c r="O655">
        <v>1</v>
      </c>
      <c r="P655">
        <v>3</v>
      </c>
      <c r="Q655" s="1" t="s">
        <v>96</v>
      </c>
      <c r="R655">
        <v>0</v>
      </c>
      <c r="S655" s="1" t="s">
        <v>24</v>
      </c>
      <c r="T655">
        <v>29030000</v>
      </c>
      <c r="U655" t="s">
        <v>184</v>
      </c>
      <c r="V655" s="1" t="s">
        <v>168</v>
      </c>
      <c r="W655" s="1" t="s">
        <v>169</v>
      </c>
      <c r="X655" s="1" t="str">
        <f>VLOOKUP(V655,Broker_Directory!A:C,3,FALSE)</f>
        <v>Tier A</v>
      </c>
      <c r="Y655" s="1">
        <f>HLOOKUP(X655, Commission_Rates!A$1:C$2, 2, FALSE)</f>
        <v>0.02</v>
      </c>
      <c r="Z655" s="1">
        <f t="shared" si="30"/>
        <v>580600</v>
      </c>
      <c r="AA655" s="1">
        <f t="shared" si="31"/>
        <v>870900</v>
      </c>
      <c r="AB655" s="1">
        <f t="shared" si="32"/>
        <v>290300</v>
      </c>
    </row>
    <row r="656" spans="1:28" x14ac:dyDescent="0.3">
      <c r="A656" s="1" t="s">
        <v>33</v>
      </c>
      <c r="B656" s="1" t="s">
        <v>48</v>
      </c>
      <c r="C656">
        <v>2</v>
      </c>
      <c r="D656">
        <v>2</v>
      </c>
      <c r="E656">
        <v>3884</v>
      </c>
      <c r="F656">
        <v>4865</v>
      </c>
      <c r="G656">
        <v>1</v>
      </c>
      <c r="H656">
        <v>2004</v>
      </c>
      <c r="I656">
        <v>2018</v>
      </c>
      <c r="J656" s="1" t="s">
        <v>52</v>
      </c>
      <c r="K656">
        <v>3</v>
      </c>
      <c r="L656" s="1" t="s">
        <v>31</v>
      </c>
      <c r="M656" s="1" t="s">
        <v>27</v>
      </c>
      <c r="N656" s="1" t="s">
        <v>46</v>
      </c>
      <c r="O656">
        <v>0</v>
      </c>
      <c r="P656">
        <v>2</v>
      </c>
      <c r="Q656" s="1" t="s">
        <v>49</v>
      </c>
      <c r="R656">
        <v>3</v>
      </c>
      <c r="S656" s="1" t="s">
        <v>27</v>
      </c>
      <c r="T656">
        <v>33239000</v>
      </c>
      <c r="U656" t="s">
        <v>184</v>
      </c>
      <c r="V656" s="1" t="s">
        <v>168</v>
      </c>
      <c r="W656" s="1" t="s">
        <v>169</v>
      </c>
      <c r="X656" s="1" t="str">
        <f>VLOOKUP(V656,Broker_Directory!A:C,3,FALSE)</f>
        <v>Tier A</v>
      </c>
      <c r="Y656" s="1">
        <f>HLOOKUP(X656, Commission_Rates!A$1:C$2, 2, FALSE)</f>
        <v>0.02</v>
      </c>
      <c r="Z656" s="1">
        <f t="shared" si="30"/>
        <v>664780</v>
      </c>
      <c r="AA656" s="1">
        <f t="shared" si="31"/>
        <v>997170</v>
      </c>
      <c r="AB656" s="1">
        <f t="shared" si="32"/>
        <v>332390</v>
      </c>
    </row>
    <row r="657" spans="1:28" x14ac:dyDescent="0.3">
      <c r="A657" s="1" t="s">
        <v>53</v>
      </c>
      <c r="B657" s="1" t="s">
        <v>100</v>
      </c>
      <c r="C657">
        <v>3</v>
      </c>
      <c r="D657">
        <v>3</v>
      </c>
      <c r="E657">
        <v>4918</v>
      </c>
      <c r="F657">
        <v>6327</v>
      </c>
      <c r="G657">
        <v>1</v>
      </c>
      <c r="H657">
        <v>1987</v>
      </c>
      <c r="I657">
        <v>2019</v>
      </c>
      <c r="J657" s="1" t="s">
        <v>52</v>
      </c>
      <c r="K657">
        <v>2</v>
      </c>
      <c r="L657" s="1" t="s">
        <v>64</v>
      </c>
      <c r="M657" s="1" t="s">
        <v>27</v>
      </c>
      <c r="N657" s="1" t="s">
        <v>46</v>
      </c>
      <c r="O657">
        <v>3</v>
      </c>
      <c r="P657">
        <v>2</v>
      </c>
      <c r="Q657" s="1" t="s">
        <v>101</v>
      </c>
      <c r="R657">
        <v>1</v>
      </c>
      <c r="S657" s="1" t="s">
        <v>27</v>
      </c>
      <c r="T657">
        <v>44537000</v>
      </c>
      <c r="U657" t="s">
        <v>182</v>
      </c>
      <c r="V657" s="1" t="s">
        <v>171</v>
      </c>
      <c r="W657" s="1" t="s">
        <v>172</v>
      </c>
      <c r="X657" s="1" t="str">
        <f>VLOOKUP(V657,Broker_Directory!A:C,3,FALSE)</f>
        <v>Tier B</v>
      </c>
      <c r="Y657" s="1">
        <f>HLOOKUP(X657, Commission_Rates!A$1:C$2, 2, FALSE)</f>
        <v>1.4999999999999999E-2</v>
      </c>
      <c r="Z657" s="1">
        <f t="shared" si="30"/>
        <v>0</v>
      </c>
      <c r="AA657" s="1">
        <f t="shared" si="31"/>
        <v>0</v>
      </c>
      <c r="AB657" s="1">
        <f t="shared" si="32"/>
        <v>0</v>
      </c>
    </row>
    <row r="658" spans="1:28" x14ac:dyDescent="0.3">
      <c r="A658" s="1" t="s">
        <v>20</v>
      </c>
      <c r="B658" s="1" t="s">
        <v>69</v>
      </c>
      <c r="C658">
        <v>4</v>
      </c>
      <c r="D658">
        <v>2</v>
      </c>
      <c r="E658">
        <v>1531</v>
      </c>
      <c r="F658">
        <v>9289</v>
      </c>
      <c r="G658">
        <v>1</v>
      </c>
      <c r="H658">
        <v>1950</v>
      </c>
      <c r="I658">
        <v>1988</v>
      </c>
      <c r="J658" s="1" t="s">
        <v>52</v>
      </c>
      <c r="K658">
        <v>1</v>
      </c>
      <c r="L658" s="1" t="s">
        <v>23</v>
      </c>
      <c r="M658" s="1" t="s">
        <v>27</v>
      </c>
      <c r="N658" s="1" t="s">
        <v>46</v>
      </c>
      <c r="O658">
        <v>1</v>
      </c>
      <c r="P658">
        <v>0</v>
      </c>
      <c r="Q658" s="1" t="s">
        <v>120</v>
      </c>
      <c r="R658">
        <v>1</v>
      </c>
      <c r="S658" s="1" t="s">
        <v>24</v>
      </c>
      <c r="T658">
        <v>18717000</v>
      </c>
      <c r="U658" t="s">
        <v>183</v>
      </c>
      <c r="V658" s="1" t="s">
        <v>168</v>
      </c>
      <c r="W658" s="1" t="s">
        <v>169</v>
      </c>
      <c r="X658" s="1" t="str">
        <f>VLOOKUP(V658,Broker_Directory!A:C,3,FALSE)</f>
        <v>Tier A</v>
      </c>
      <c r="Y658" s="1">
        <f>HLOOKUP(X658, Commission_Rates!A$1:C$2, 2, FALSE)</f>
        <v>0.02</v>
      </c>
      <c r="Z658" s="1">
        <f t="shared" si="30"/>
        <v>0</v>
      </c>
      <c r="AA658" s="1">
        <f t="shared" si="31"/>
        <v>0</v>
      </c>
      <c r="AB658" s="1">
        <f t="shared" si="32"/>
        <v>0</v>
      </c>
    </row>
    <row r="659" spans="1:28" x14ac:dyDescent="0.3">
      <c r="A659" s="1" t="s">
        <v>53</v>
      </c>
      <c r="B659" s="1" t="s">
        <v>100</v>
      </c>
      <c r="C659">
        <v>2</v>
      </c>
      <c r="D659">
        <v>3</v>
      </c>
      <c r="E659">
        <v>415</v>
      </c>
      <c r="F659">
        <v>3621</v>
      </c>
      <c r="G659">
        <v>2</v>
      </c>
      <c r="H659">
        <v>1986</v>
      </c>
      <c r="I659">
        <v>2012</v>
      </c>
      <c r="J659" s="1" t="s">
        <v>30</v>
      </c>
      <c r="K659">
        <v>2</v>
      </c>
      <c r="L659" s="1" t="s">
        <v>41</v>
      </c>
      <c r="M659" s="1" t="s">
        <v>27</v>
      </c>
      <c r="N659" s="1" t="s">
        <v>35</v>
      </c>
      <c r="O659">
        <v>8</v>
      </c>
      <c r="P659">
        <v>5</v>
      </c>
      <c r="Q659" s="1" t="s">
        <v>101</v>
      </c>
      <c r="R659">
        <v>0</v>
      </c>
      <c r="S659" s="1" t="s">
        <v>24</v>
      </c>
      <c r="T659">
        <v>4015000</v>
      </c>
      <c r="U659" t="s">
        <v>182</v>
      </c>
      <c r="V659" s="1" t="s">
        <v>179</v>
      </c>
      <c r="W659" s="1" t="s">
        <v>180</v>
      </c>
      <c r="X659" s="1" t="str">
        <f>VLOOKUP(V659,Broker_Directory!A:C,3,FALSE)</f>
        <v>Tier B</v>
      </c>
      <c r="Y659" s="1">
        <f>HLOOKUP(X659, Commission_Rates!A$1:C$2, 2, FALSE)</f>
        <v>1.4999999999999999E-2</v>
      </c>
      <c r="Z659" s="1">
        <f t="shared" si="30"/>
        <v>0</v>
      </c>
      <c r="AA659" s="1">
        <f t="shared" si="31"/>
        <v>0</v>
      </c>
      <c r="AB659" s="1">
        <f t="shared" si="32"/>
        <v>0</v>
      </c>
    </row>
    <row r="660" spans="1:28" x14ac:dyDescent="0.3">
      <c r="A660" s="1" t="s">
        <v>20</v>
      </c>
      <c r="B660" s="1" t="s">
        <v>40</v>
      </c>
      <c r="C660">
        <v>3</v>
      </c>
      <c r="D660">
        <v>2</v>
      </c>
      <c r="E660">
        <v>2453</v>
      </c>
      <c r="F660">
        <v>7120</v>
      </c>
      <c r="G660">
        <v>1</v>
      </c>
      <c r="H660">
        <v>1966</v>
      </c>
      <c r="I660">
        <v>2016</v>
      </c>
      <c r="J660" s="1" t="s">
        <v>22</v>
      </c>
      <c r="K660">
        <v>2</v>
      </c>
      <c r="L660" s="1" t="s">
        <v>64</v>
      </c>
      <c r="M660" s="1" t="s">
        <v>27</v>
      </c>
      <c r="N660" s="1" t="s">
        <v>25</v>
      </c>
      <c r="O660">
        <v>2</v>
      </c>
      <c r="P660">
        <v>0</v>
      </c>
      <c r="Q660" s="1" t="s">
        <v>143</v>
      </c>
      <c r="R660">
        <v>1</v>
      </c>
      <c r="S660" s="1" t="s">
        <v>24</v>
      </c>
      <c r="T660">
        <v>29806000</v>
      </c>
      <c r="U660" t="s">
        <v>183</v>
      </c>
      <c r="V660" s="1" t="s">
        <v>168</v>
      </c>
      <c r="W660" s="1" t="s">
        <v>169</v>
      </c>
      <c r="X660" s="1" t="str">
        <f>VLOOKUP(V660,Broker_Directory!A:C,3,FALSE)</f>
        <v>Tier A</v>
      </c>
      <c r="Y660" s="1">
        <f>HLOOKUP(X660, Commission_Rates!A$1:C$2, 2, FALSE)</f>
        <v>0.02</v>
      </c>
      <c r="Z660" s="1">
        <f t="shared" si="30"/>
        <v>0</v>
      </c>
      <c r="AA660" s="1">
        <f t="shared" si="31"/>
        <v>0</v>
      </c>
      <c r="AB660" s="1">
        <f t="shared" si="32"/>
        <v>0</v>
      </c>
    </row>
    <row r="661" spans="1:28" x14ac:dyDescent="0.3">
      <c r="A661" s="1" t="s">
        <v>33</v>
      </c>
      <c r="B661" s="1" t="s">
        <v>75</v>
      </c>
      <c r="C661">
        <v>2</v>
      </c>
      <c r="D661">
        <v>2</v>
      </c>
      <c r="E661">
        <v>4195</v>
      </c>
      <c r="F661">
        <v>4247</v>
      </c>
      <c r="G661">
        <v>2</v>
      </c>
      <c r="H661">
        <v>1959</v>
      </c>
      <c r="I661">
        <v>1964</v>
      </c>
      <c r="J661" s="1" t="s">
        <v>52</v>
      </c>
      <c r="K661">
        <v>3</v>
      </c>
      <c r="L661" s="1" t="s">
        <v>41</v>
      </c>
      <c r="M661" s="1" t="s">
        <v>27</v>
      </c>
      <c r="N661" s="1" t="s">
        <v>46</v>
      </c>
      <c r="O661">
        <v>4</v>
      </c>
      <c r="P661">
        <v>4</v>
      </c>
      <c r="Q661" s="1" t="s">
        <v>76</v>
      </c>
      <c r="R661">
        <v>1</v>
      </c>
      <c r="S661" s="1" t="s">
        <v>27</v>
      </c>
      <c r="T661">
        <v>35872500</v>
      </c>
      <c r="U661" t="s">
        <v>182</v>
      </c>
      <c r="V661" s="1" t="s">
        <v>174</v>
      </c>
      <c r="W661" s="1" t="s">
        <v>175</v>
      </c>
      <c r="X661" s="1" t="str">
        <f>VLOOKUP(V661,Broker_Directory!A:C,3,FALSE)</f>
        <v>Tier A</v>
      </c>
      <c r="Y661" s="1">
        <f>HLOOKUP(X661, Commission_Rates!A$1:C$2, 2, FALSE)</f>
        <v>0.02</v>
      </c>
      <c r="Z661" s="1">
        <f t="shared" si="30"/>
        <v>0</v>
      </c>
      <c r="AA661" s="1">
        <f t="shared" si="31"/>
        <v>0</v>
      </c>
      <c r="AB661" s="1">
        <f t="shared" si="32"/>
        <v>0</v>
      </c>
    </row>
    <row r="662" spans="1:28" x14ac:dyDescent="0.3">
      <c r="A662" s="1" t="s">
        <v>37</v>
      </c>
      <c r="B662" s="1" t="s">
        <v>72</v>
      </c>
      <c r="C662">
        <v>4</v>
      </c>
      <c r="D662">
        <v>3</v>
      </c>
      <c r="E662">
        <v>2853</v>
      </c>
      <c r="F662">
        <v>9773</v>
      </c>
      <c r="G662">
        <v>3</v>
      </c>
      <c r="H662">
        <v>1990</v>
      </c>
      <c r="I662">
        <v>2022</v>
      </c>
      <c r="J662" s="1" t="s">
        <v>58</v>
      </c>
      <c r="K662">
        <v>1</v>
      </c>
      <c r="L662" s="1" t="s">
        <v>31</v>
      </c>
      <c r="M662" s="1" t="s">
        <v>27</v>
      </c>
      <c r="N662" s="1" t="s">
        <v>35</v>
      </c>
      <c r="O662">
        <v>2</v>
      </c>
      <c r="P662">
        <v>3</v>
      </c>
      <c r="Q662" s="1" t="s">
        <v>94</v>
      </c>
      <c r="R662">
        <v>3</v>
      </c>
      <c r="S662" s="1" t="s">
        <v>27</v>
      </c>
      <c r="T662">
        <v>23219000</v>
      </c>
      <c r="U662" t="s">
        <v>182</v>
      </c>
      <c r="V662" s="1" t="s">
        <v>176</v>
      </c>
      <c r="W662" s="1" t="s">
        <v>177</v>
      </c>
      <c r="X662" s="1" t="str">
        <f>VLOOKUP(V662,Broker_Directory!A:C,3,FALSE)</f>
        <v>Tier C</v>
      </c>
      <c r="Y662" s="1">
        <f>HLOOKUP(X662, Commission_Rates!A$1:C$2, 2, FALSE)</f>
        <v>0.01</v>
      </c>
      <c r="Z662" s="1">
        <f t="shared" si="30"/>
        <v>0</v>
      </c>
      <c r="AA662" s="1">
        <f t="shared" si="31"/>
        <v>0</v>
      </c>
      <c r="AB662" s="1">
        <f t="shared" si="32"/>
        <v>0</v>
      </c>
    </row>
    <row r="663" spans="1:28" x14ac:dyDescent="0.3">
      <c r="A663" s="1" t="s">
        <v>20</v>
      </c>
      <c r="B663" s="1" t="s">
        <v>133</v>
      </c>
      <c r="C663">
        <v>4</v>
      </c>
      <c r="D663">
        <v>3</v>
      </c>
      <c r="E663">
        <v>1758</v>
      </c>
      <c r="F663">
        <v>2222</v>
      </c>
      <c r="G663">
        <v>2</v>
      </c>
      <c r="H663">
        <v>2009</v>
      </c>
      <c r="I663">
        <v>2019</v>
      </c>
      <c r="J663" s="1" t="s">
        <v>22</v>
      </c>
      <c r="K663">
        <v>1</v>
      </c>
      <c r="L663" s="1" t="s">
        <v>31</v>
      </c>
      <c r="M663" s="1" t="s">
        <v>27</v>
      </c>
      <c r="N663" s="1" t="s">
        <v>46</v>
      </c>
      <c r="O663">
        <v>2</v>
      </c>
      <c r="P663">
        <v>5</v>
      </c>
      <c r="Q663" s="1" t="s">
        <v>162</v>
      </c>
      <c r="R663">
        <v>1</v>
      </c>
      <c r="S663" s="1" t="s">
        <v>27</v>
      </c>
      <c r="T663">
        <v>21441000</v>
      </c>
      <c r="U663" t="s">
        <v>182</v>
      </c>
      <c r="V663" s="1" t="s">
        <v>168</v>
      </c>
      <c r="W663" s="1" t="s">
        <v>169</v>
      </c>
      <c r="X663" s="1" t="str">
        <f>VLOOKUP(V663,Broker_Directory!A:C,3,FALSE)</f>
        <v>Tier A</v>
      </c>
      <c r="Y663" s="1">
        <f>HLOOKUP(X663, Commission_Rates!A$1:C$2, 2, FALSE)</f>
        <v>0.02</v>
      </c>
      <c r="Z663" s="1">
        <f t="shared" si="30"/>
        <v>0</v>
      </c>
      <c r="AA663" s="1">
        <f t="shared" si="31"/>
        <v>0</v>
      </c>
      <c r="AB663" s="1">
        <f t="shared" si="32"/>
        <v>0</v>
      </c>
    </row>
    <row r="664" spans="1:28" x14ac:dyDescent="0.3">
      <c r="A664" s="1" t="s">
        <v>53</v>
      </c>
      <c r="B664" s="1" t="s">
        <v>100</v>
      </c>
      <c r="C664">
        <v>2</v>
      </c>
      <c r="D664">
        <v>1</v>
      </c>
      <c r="E664">
        <v>2842</v>
      </c>
      <c r="F664">
        <v>5582</v>
      </c>
      <c r="G664">
        <v>1</v>
      </c>
      <c r="H664">
        <v>1997</v>
      </c>
      <c r="I664">
        <v>2025</v>
      </c>
      <c r="J664" s="1" t="s">
        <v>30</v>
      </c>
      <c r="K664">
        <v>0</v>
      </c>
      <c r="L664" s="1" t="s">
        <v>64</v>
      </c>
      <c r="M664" s="1" t="s">
        <v>24</v>
      </c>
      <c r="N664" s="1" t="s">
        <v>35</v>
      </c>
      <c r="O664">
        <v>4</v>
      </c>
      <c r="P664">
        <v>5</v>
      </c>
      <c r="Q664" s="1" t="s">
        <v>104</v>
      </c>
      <c r="R664">
        <v>3</v>
      </c>
      <c r="S664" s="1" t="s">
        <v>24</v>
      </c>
      <c r="T664">
        <v>25848000</v>
      </c>
      <c r="U664" t="s">
        <v>184</v>
      </c>
      <c r="V664" s="1" t="s">
        <v>174</v>
      </c>
      <c r="W664" s="1" t="s">
        <v>175</v>
      </c>
      <c r="X664" s="1" t="str">
        <f>VLOOKUP(V664,Broker_Directory!A:C,3,FALSE)</f>
        <v>Tier A</v>
      </c>
      <c r="Y664" s="1">
        <f>HLOOKUP(X664, Commission_Rates!A$1:C$2, 2, FALSE)</f>
        <v>0.02</v>
      </c>
      <c r="Z664" s="1">
        <f t="shared" si="30"/>
        <v>516960</v>
      </c>
      <c r="AA664" s="1">
        <f t="shared" si="31"/>
        <v>775440</v>
      </c>
      <c r="AB664" s="1">
        <f t="shared" si="32"/>
        <v>258480</v>
      </c>
    </row>
    <row r="665" spans="1:28" x14ac:dyDescent="0.3">
      <c r="A665" s="1" t="s">
        <v>53</v>
      </c>
      <c r="B665" s="1" t="s">
        <v>89</v>
      </c>
      <c r="C665">
        <v>1</v>
      </c>
      <c r="D665">
        <v>1</v>
      </c>
      <c r="E665">
        <v>4156</v>
      </c>
      <c r="F665">
        <v>9183</v>
      </c>
      <c r="G665">
        <v>3</v>
      </c>
      <c r="H665">
        <v>2008</v>
      </c>
      <c r="I665">
        <v>2022</v>
      </c>
      <c r="J665" s="1" t="s">
        <v>52</v>
      </c>
      <c r="K665">
        <v>3</v>
      </c>
      <c r="L665" s="1" t="s">
        <v>23</v>
      </c>
      <c r="M665" s="1" t="s">
        <v>24</v>
      </c>
      <c r="N665" s="1" t="s">
        <v>46</v>
      </c>
      <c r="O665">
        <v>0</v>
      </c>
      <c r="P665">
        <v>4</v>
      </c>
      <c r="Q665" s="1" t="s">
        <v>154</v>
      </c>
      <c r="R665">
        <v>1</v>
      </c>
      <c r="S665" s="1" t="s">
        <v>24</v>
      </c>
      <c r="T665">
        <v>37634000</v>
      </c>
      <c r="U665" t="s">
        <v>183</v>
      </c>
      <c r="V665" s="1" t="s">
        <v>176</v>
      </c>
      <c r="W665" s="1" t="s">
        <v>177</v>
      </c>
      <c r="X665" s="1" t="str">
        <f>VLOOKUP(V665,Broker_Directory!A:C,3,FALSE)</f>
        <v>Tier C</v>
      </c>
      <c r="Y665" s="1">
        <f>HLOOKUP(X665, Commission_Rates!A$1:C$2, 2, FALSE)</f>
        <v>0.01</v>
      </c>
      <c r="Z665" s="1">
        <f t="shared" si="30"/>
        <v>0</v>
      </c>
      <c r="AA665" s="1">
        <f t="shared" si="31"/>
        <v>0</v>
      </c>
      <c r="AB665" s="1">
        <f t="shared" si="32"/>
        <v>0</v>
      </c>
    </row>
    <row r="666" spans="1:28" x14ac:dyDescent="0.3">
      <c r="A666" s="1" t="s">
        <v>20</v>
      </c>
      <c r="B666" s="1" t="s">
        <v>50</v>
      </c>
      <c r="C666">
        <v>1</v>
      </c>
      <c r="D666">
        <v>1</v>
      </c>
      <c r="E666">
        <v>3932</v>
      </c>
      <c r="F666">
        <v>9204</v>
      </c>
      <c r="G666">
        <v>3</v>
      </c>
      <c r="H666">
        <v>1957</v>
      </c>
      <c r="I666">
        <v>1996</v>
      </c>
      <c r="J666" s="1" t="s">
        <v>58</v>
      </c>
      <c r="K666">
        <v>2</v>
      </c>
      <c r="L666" s="1" t="s">
        <v>31</v>
      </c>
      <c r="M666" s="1" t="s">
        <v>24</v>
      </c>
      <c r="N666" s="1" t="s">
        <v>46</v>
      </c>
      <c r="O666">
        <v>10</v>
      </c>
      <c r="P666">
        <v>2</v>
      </c>
      <c r="Q666" s="1" t="s">
        <v>112</v>
      </c>
      <c r="R666">
        <v>2</v>
      </c>
      <c r="S666" s="1" t="s">
        <v>24</v>
      </c>
      <c r="T666">
        <v>47429000</v>
      </c>
      <c r="U666" t="s">
        <v>182</v>
      </c>
      <c r="V666" s="1" t="s">
        <v>174</v>
      </c>
      <c r="W666" s="1" t="s">
        <v>175</v>
      </c>
      <c r="X666" s="1" t="str">
        <f>VLOOKUP(V666,Broker_Directory!A:C,3,FALSE)</f>
        <v>Tier A</v>
      </c>
      <c r="Y666" s="1">
        <f>HLOOKUP(X666, Commission_Rates!A$1:C$2, 2, FALSE)</f>
        <v>0.02</v>
      </c>
      <c r="Z666" s="1">
        <f t="shared" si="30"/>
        <v>0</v>
      </c>
      <c r="AA666" s="1">
        <f t="shared" si="31"/>
        <v>0</v>
      </c>
      <c r="AB666" s="1">
        <f t="shared" si="32"/>
        <v>0</v>
      </c>
    </row>
    <row r="667" spans="1:28" x14ac:dyDescent="0.3">
      <c r="A667" s="1" t="s">
        <v>37</v>
      </c>
      <c r="B667" s="1" t="s">
        <v>72</v>
      </c>
      <c r="C667">
        <v>1</v>
      </c>
      <c r="D667">
        <v>1</v>
      </c>
      <c r="E667">
        <v>1880</v>
      </c>
      <c r="F667">
        <v>8688</v>
      </c>
      <c r="G667">
        <v>3</v>
      </c>
      <c r="H667">
        <v>1968</v>
      </c>
      <c r="I667">
        <v>2013</v>
      </c>
      <c r="J667" s="1" t="s">
        <v>30</v>
      </c>
      <c r="K667">
        <v>0</v>
      </c>
      <c r="L667" s="1" t="s">
        <v>31</v>
      </c>
      <c r="M667" s="1" t="s">
        <v>27</v>
      </c>
      <c r="N667" s="1" t="s">
        <v>25</v>
      </c>
      <c r="O667">
        <v>4</v>
      </c>
      <c r="P667">
        <v>4</v>
      </c>
      <c r="Q667" s="1" t="s">
        <v>73</v>
      </c>
      <c r="R667">
        <v>3</v>
      </c>
      <c r="S667" s="1" t="s">
        <v>24</v>
      </c>
      <c r="T667">
        <v>15350000</v>
      </c>
      <c r="U667" t="s">
        <v>182</v>
      </c>
      <c r="V667" s="1" t="s">
        <v>176</v>
      </c>
      <c r="W667" s="1" t="s">
        <v>177</v>
      </c>
      <c r="X667" s="1" t="str">
        <f>VLOOKUP(V667,Broker_Directory!A:C,3,FALSE)</f>
        <v>Tier C</v>
      </c>
      <c r="Y667" s="1">
        <f>HLOOKUP(X667, Commission_Rates!A$1:C$2, 2, FALSE)</f>
        <v>0.01</v>
      </c>
      <c r="Z667" s="1">
        <f t="shared" si="30"/>
        <v>0</v>
      </c>
      <c r="AA667" s="1">
        <f t="shared" si="31"/>
        <v>0</v>
      </c>
      <c r="AB667" s="1">
        <f t="shared" si="32"/>
        <v>0</v>
      </c>
    </row>
    <row r="668" spans="1:28" x14ac:dyDescent="0.3">
      <c r="A668" s="1" t="s">
        <v>20</v>
      </c>
      <c r="B668" s="1" t="s">
        <v>69</v>
      </c>
      <c r="C668">
        <v>3</v>
      </c>
      <c r="D668">
        <v>3</v>
      </c>
      <c r="E668">
        <v>1264</v>
      </c>
      <c r="F668">
        <v>6908</v>
      </c>
      <c r="G668">
        <v>2</v>
      </c>
      <c r="H668">
        <v>2022</v>
      </c>
      <c r="I668">
        <v>0</v>
      </c>
      <c r="J668" s="1" t="s">
        <v>22</v>
      </c>
      <c r="K668">
        <v>0</v>
      </c>
      <c r="L668" s="1" t="s">
        <v>23</v>
      </c>
      <c r="M668" s="1" t="s">
        <v>24</v>
      </c>
      <c r="N668" s="1" t="s">
        <v>25</v>
      </c>
      <c r="O668">
        <v>1</v>
      </c>
      <c r="P668">
        <v>1</v>
      </c>
      <c r="Q668" s="1" t="s">
        <v>103</v>
      </c>
      <c r="R668">
        <v>0</v>
      </c>
      <c r="S668" s="1" t="s">
        <v>24</v>
      </c>
      <c r="T668">
        <v>15598000</v>
      </c>
      <c r="U668" t="s">
        <v>183</v>
      </c>
      <c r="V668" s="1" t="s">
        <v>179</v>
      </c>
      <c r="W668" s="1" t="s">
        <v>180</v>
      </c>
      <c r="X668" s="1" t="str">
        <f>VLOOKUP(V668,Broker_Directory!A:C,3,FALSE)</f>
        <v>Tier B</v>
      </c>
      <c r="Y668" s="1">
        <f>HLOOKUP(X668, Commission_Rates!A$1:C$2, 2, FALSE)</f>
        <v>1.4999999999999999E-2</v>
      </c>
      <c r="Z668" s="1">
        <f t="shared" si="30"/>
        <v>0</v>
      </c>
      <c r="AA668" s="1">
        <f t="shared" si="31"/>
        <v>0</v>
      </c>
      <c r="AB668" s="1">
        <f t="shared" si="32"/>
        <v>0</v>
      </c>
    </row>
    <row r="669" spans="1:28" x14ac:dyDescent="0.3">
      <c r="A669" s="1" t="s">
        <v>20</v>
      </c>
      <c r="B669" s="1" t="s">
        <v>40</v>
      </c>
      <c r="C669">
        <v>3</v>
      </c>
      <c r="D669">
        <v>4</v>
      </c>
      <c r="E669">
        <v>965</v>
      </c>
      <c r="F669">
        <v>5057</v>
      </c>
      <c r="G669">
        <v>2</v>
      </c>
      <c r="H669">
        <v>1974</v>
      </c>
      <c r="I669">
        <v>2020</v>
      </c>
      <c r="J669" s="1" t="s">
        <v>52</v>
      </c>
      <c r="K669">
        <v>2</v>
      </c>
      <c r="L669" s="1" t="s">
        <v>23</v>
      </c>
      <c r="M669" s="1" t="s">
        <v>27</v>
      </c>
      <c r="N669" s="1" t="s">
        <v>35</v>
      </c>
      <c r="O669">
        <v>4</v>
      </c>
      <c r="P669">
        <v>1</v>
      </c>
      <c r="Q669" s="1" t="s">
        <v>42</v>
      </c>
      <c r="R669">
        <v>1</v>
      </c>
      <c r="S669" s="1" t="s">
        <v>27</v>
      </c>
      <c r="T669">
        <v>11905000</v>
      </c>
      <c r="U669" t="s">
        <v>184</v>
      </c>
      <c r="V669" s="1" t="s">
        <v>174</v>
      </c>
      <c r="W669" s="1" t="s">
        <v>175</v>
      </c>
      <c r="X669" s="1" t="str">
        <f>VLOOKUP(V669,Broker_Directory!A:C,3,FALSE)</f>
        <v>Tier A</v>
      </c>
      <c r="Y669" s="1">
        <f>HLOOKUP(X669, Commission_Rates!A$1:C$2, 2, FALSE)</f>
        <v>0.02</v>
      </c>
      <c r="Z669" s="1">
        <f t="shared" si="30"/>
        <v>238100</v>
      </c>
      <c r="AA669" s="1">
        <f t="shared" si="31"/>
        <v>357150</v>
      </c>
      <c r="AB669" s="1">
        <f t="shared" si="32"/>
        <v>119050</v>
      </c>
    </row>
    <row r="670" spans="1:28" x14ac:dyDescent="0.3">
      <c r="A670" s="1" t="s">
        <v>37</v>
      </c>
      <c r="B670" s="1" t="s">
        <v>62</v>
      </c>
      <c r="C670">
        <v>2</v>
      </c>
      <c r="D670">
        <v>3</v>
      </c>
      <c r="E670">
        <v>1932</v>
      </c>
      <c r="F670">
        <v>3432</v>
      </c>
      <c r="G670">
        <v>2</v>
      </c>
      <c r="H670">
        <v>1983</v>
      </c>
      <c r="I670">
        <v>2010</v>
      </c>
      <c r="J670" s="1" t="s">
        <v>30</v>
      </c>
      <c r="K670">
        <v>0</v>
      </c>
      <c r="L670" s="1" t="s">
        <v>41</v>
      </c>
      <c r="M670" s="1" t="s">
        <v>27</v>
      </c>
      <c r="N670" s="1" t="s">
        <v>35</v>
      </c>
      <c r="O670">
        <v>5</v>
      </c>
      <c r="P670">
        <v>2</v>
      </c>
      <c r="Q670" s="1" t="s">
        <v>97</v>
      </c>
      <c r="R670">
        <v>1</v>
      </c>
      <c r="S670" s="1" t="s">
        <v>24</v>
      </c>
      <c r="T670">
        <v>15751000</v>
      </c>
      <c r="U670" t="s">
        <v>182</v>
      </c>
      <c r="V670" s="1" t="s">
        <v>176</v>
      </c>
      <c r="W670" s="1" t="s">
        <v>177</v>
      </c>
      <c r="X670" s="1" t="str">
        <f>VLOOKUP(V670,Broker_Directory!A:C,3,FALSE)</f>
        <v>Tier C</v>
      </c>
      <c r="Y670" s="1">
        <f>HLOOKUP(X670, Commission_Rates!A$1:C$2, 2, FALSE)</f>
        <v>0.01</v>
      </c>
      <c r="Z670" s="1">
        <f t="shared" si="30"/>
        <v>0</v>
      </c>
      <c r="AA670" s="1">
        <f t="shared" si="31"/>
        <v>0</v>
      </c>
      <c r="AB670" s="1">
        <f t="shared" si="32"/>
        <v>0</v>
      </c>
    </row>
    <row r="671" spans="1:28" x14ac:dyDescent="0.3">
      <c r="A671" s="1" t="s">
        <v>33</v>
      </c>
      <c r="B671" s="1" t="s">
        <v>98</v>
      </c>
      <c r="C671">
        <v>2</v>
      </c>
      <c r="D671">
        <v>2</v>
      </c>
      <c r="E671">
        <v>3854</v>
      </c>
      <c r="F671">
        <v>6745</v>
      </c>
      <c r="G671">
        <v>3</v>
      </c>
      <c r="H671">
        <v>1986</v>
      </c>
      <c r="I671">
        <v>1998</v>
      </c>
      <c r="J671" s="1" t="s">
        <v>30</v>
      </c>
      <c r="K671">
        <v>2</v>
      </c>
      <c r="L671" s="1" t="s">
        <v>23</v>
      </c>
      <c r="M671" s="1" t="s">
        <v>24</v>
      </c>
      <c r="N671" s="1" t="s">
        <v>46</v>
      </c>
      <c r="O671">
        <v>3</v>
      </c>
      <c r="P671">
        <v>3</v>
      </c>
      <c r="Q671" s="1" t="s">
        <v>150</v>
      </c>
      <c r="R671">
        <v>0</v>
      </c>
      <c r="S671" s="1" t="s">
        <v>24</v>
      </c>
      <c r="T671">
        <v>33054000</v>
      </c>
      <c r="U671" t="s">
        <v>184</v>
      </c>
      <c r="V671" s="1" t="s">
        <v>168</v>
      </c>
      <c r="W671" s="1" t="s">
        <v>169</v>
      </c>
      <c r="X671" s="1" t="str">
        <f>VLOOKUP(V671,Broker_Directory!A:C,3,FALSE)</f>
        <v>Tier A</v>
      </c>
      <c r="Y671" s="1">
        <f>HLOOKUP(X671, Commission_Rates!A$1:C$2, 2, FALSE)</f>
        <v>0.02</v>
      </c>
      <c r="Z671" s="1">
        <f t="shared" si="30"/>
        <v>661080</v>
      </c>
      <c r="AA671" s="1">
        <f t="shared" si="31"/>
        <v>991620</v>
      </c>
      <c r="AB671" s="1">
        <f t="shared" si="32"/>
        <v>330540</v>
      </c>
    </row>
    <row r="672" spans="1:28" x14ac:dyDescent="0.3">
      <c r="A672" s="1" t="s">
        <v>33</v>
      </c>
      <c r="B672" s="1" t="s">
        <v>75</v>
      </c>
      <c r="C672">
        <v>4</v>
      </c>
      <c r="D672">
        <v>2</v>
      </c>
      <c r="E672">
        <v>4127</v>
      </c>
      <c r="F672">
        <v>8984</v>
      </c>
      <c r="G672">
        <v>2</v>
      </c>
      <c r="H672">
        <v>1997</v>
      </c>
      <c r="I672">
        <v>2014</v>
      </c>
      <c r="J672" s="1" t="s">
        <v>22</v>
      </c>
      <c r="K672">
        <v>0</v>
      </c>
      <c r="L672" s="1" t="s">
        <v>64</v>
      </c>
      <c r="M672" s="1" t="s">
        <v>24</v>
      </c>
      <c r="N672" s="1" t="s">
        <v>35</v>
      </c>
      <c r="O672">
        <v>5</v>
      </c>
      <c r="P672">
        <v>0</v>
      </c>
      <c r="Q672" s="1" t="s">
        <v>135</v>
      </c>
      <c r="R672">
        <v>3</v>
      </c>
      <c r="S672" s="1" t="s">
        <v>27</v>
      </c>
      <c r="T672">
        <v>35449500</v>
      </c>
      <c r="U672" t="s">
        <v>183</v>
      </c>
      <c r="V672" s="1" t="s">
        <v>179</v>
      </c>
      <c r="W672" s="1" t="s">
        <v>180</v>
      </c>
      <c r="X672" s="1" t="str">
        <f>VLOOKUP(V672,Broker_Directory!A:C,3,FALSE)</f>
        <v>Tier B</v>
      </c>
      <c r="Y672" s="1">
        <f>HLOOKUP(X672, Commission_Rates!A$1:C$2, 2, FALSE)</f>
        <v>1.4999999999999999E-2</v>
      </c>
      <c r="Z672" s="1">
        <f t="shared" si="30"/>
        <v>0</v>
      </c>
      <c r="AA672" s="1">
        <f t="shared" si="31"/>
        <v>0</v>
      </c>
      <c r="AB672" s="1">
        <f t="shared" si="32"/>
        <v>0</v>
      </c>
    </row>
    <row r="673" spans="1:28" x14ac:dyDescent="0.3">
      <c r="A673" s="1" t="s">
        <v>53</v>
      </c>
      <c r="B673" s="1" t="s">
        <v>89</v>
      </c>
      <c r="C673">
        <v>1</v>
      </c>
      <c r="D673">
        <v>2</v>
      </c>
      <c r="E673">
        <v>3232</v>
      </c>
      <c r="F673">
        <v>5791</v>
      </c>
      <c r="G673">
        <v>1</v>
      </c>
      <c r="H673">
        <v>2009</v>
      </c>
      <c r="I673">
        <v>2025</v>
      </c>
      <c r="J673" s="1" t="s">
        <v>52</v>
      </c>
      <c r="K673">
        <v>0</v>
      </c>
      <c r="L673" s="1" t="s">
        <v>41</v>
      </c>
      <c r="M673" s="1" t="s">
        <v>27</v>
      </c>
      <c r="N673" s="1" t="s">
        <v>35</v>
      </c>
      <c r="O673">
        <v>9</v>
      </c>
      <c r="P673">
        <v>5</v>
      </c>
      <c r="Q673" s="1" t="s">
        <v>157</v>
      </c>
      <c r="R673">
        <v>3</v>
      </c>
      <c r="S673" s="1" t="s">
        <v>27</v>
      </c>
      <c r="T673">
        <v>29263000</v>
      </c>
      <c r="U673" t="s">
        <v>184</v>
      </c>
      <c r="V673" s="1" t="s">
        <v>176</v>
      </c>
      <c r="W673" s="1" t="s">
        <v>177</v>
      </c>
      <c r="X673" s="1" t="str">
        <f>VLOOKUP(V673,Broker_Directory!A:C,3,FALSE)</f>
        <v>Tier C</v>
      </c>
      <c r="Y673" s="1">
        <f>HLOOKUP(X673, Commission_Rates!A$1:C$2, 2, FALSE)</f>
        <v>0.01</v>
      </c>
      <c r="Z673" s="1">
        <f t="shared" si="30"/>
        <v>292630</v>
      </c>
      <c r="AA673" s="1">
        <f t="shared" si="31"/>
        <v>877890</v>
      </c>
      <c r="AB673" s="1">
        <f t="shared" si="32"/>
        <v>585260</v>
      </c>
    </row>
    <row r="674" spans="1:28" x14ac:dyDescent="0.3">
      <c r="A674" s="1" t="s">
        <v>28</v>
      </c>
      <c r="B674" s="1" t="s">
        <v>79</v>
      </c>
      <c r="C674">
        <v>3</v>
      </c>
      <c r="D674">
        <v>3</v>
      </c>
      <c r="E674">
        <v>4253</v>
      </c>
      <c r="F674">
        <v>9861</v>
      </c>
      <c r="G674">
        <v>2</v>
      </c>
      <c r="H674">
        <v>1988</v>
      </c>
      <c r="I674">
        <v>1989</v>
      </c>
      <c r="J674" s="1" t="s">
        <v>52</v>
      </c>
      <c r="K674">
        <v>0</v>
      </c>
      <c r="L674" s="1" t="s">
        <v>41</v>
      </c>
      <c r="M674" s="1" t="s">
        <v>27</v>
      </c>
      <c r="N674" s="1" t="s">
        <v>46</v>
      </c>
      <c r="O674">
        <v>9</v>
      </c>
      <c r="P674">
        <v>3</v>
      </c>
      <c r="Q674" s="1" t="s">
        <v>80</v>
      </c>
      <c r="R674">
        <v>1</v>
      </c>
      <c r="S674" s="1" t="s">
        <v>24</v>
      </c>
      <c r="T674">
        <v>42875000</v>
      </c>
      <c r="U674" t="s">
        <v>182</v>
      </c>
      <c r="V674" s="1" t="s">
        <v>168</v>
      </c>
      <c r="W674" s="1" t="s">
        <v>169</v>
      </c>
      <c r="X674" s="1" t="str">
        <f>VLOOKUP(V674,Broker_Directory!A:C,3,FALSE)</f>
        <v>Tier A</v>
      </c>
      <c r="Y674" s="1">
        <f>HLOOKUP(X674, Commission_Rates!A$1:C$2, 2, FALSE)</f>
        <v>0.02</v>
      </c>
      <c r="Z674" s="1">
        <f t="shared" si="30"/>
        <v>0</v>
      </c>
      <c r="AA674" s="1">
        <f t="shared" si="31"/>
        <v>0</v>
      </c>
      <c r="AB674" s="1">
        <f t="shared" si="32"/>
        <v>0</v>
      </c>
    </row>
    <row r="675" spans="1:28" x14ac:dyDescent="0.3">
      <c r="A675" s="1" t="s">
        <v>53</v>
      </c>
      <c r="B675" s="1" t="s">
        <v>100</v>
      </c>
      <c r="C675">
        <v>5</v>
      </c>
      <c r="D675">
        <v>2</v>
      </c>
      <c r="E675">
        <v>4952</v>
      </c>
      <c r="F675">
        <v>6145</v>
      </c>
      <c r="G675">
        <v>1</v>
      </c>
      <c r="H675">
        <v>1992</v>
      </c>
      <c r="I675">
        <v>1994</v>
      </c>
      <c r="J675" s="1" t="s">
        <v>58</v>
      </c>
      <c r="K675">
        <v>2</v>
      </c>
      <c r="L675" s="1" t="s">
        <v>31</v>
      </c>
      <c r="M675" s="1" t="s">
        <v>27</v>
      </c>
      <c r="N675" s="1" t="s">
        <v>46</v>
      </c>
      <c r="O675">
        <v>6</v>
      </c>
      <c r="P675">
        <v>1</v>
      </c>
      <c r="Q675" s="1" t="s">
        <v>104</v>
      </c>
      <c r="R675">
        <v>0</v>
      </c>
      <c r="S675" s="1" t="s">
        <v>24</v>
      </c>
      <c r="T675">
        <v>44948000</v>
      </c>
      <c r="U675" t="s">
        <v>184</v>
      </c>
      <c r="V675" s="1" t="s">
        <v>174</v>
      </c>
      <c r="W675" s="1" t="s">
        <v>175</v>
      </c>
      <c r="X675" s="1" t="str">
        <f>VLOOKUP(V675,Broker_Directory!A:C,3,FALSE)</f>
        <v>Tier A</v>
      </c>
      <c r="Y675" s="1">
        <f>HLOOKUP(X675, Commission_Rates!A$1:C$2, 2, FALSE)</f>
        <v>0.02</v>
      </c>
      <c r="Z675" s="1">
        <f t="shared" si="30"/>
        <v>898960</v>
      </c>
      <c r="AA675" s="1">
        <f t="shared" si="31"/>
        <v>1348440</v>
      </c>
      <c r="AB675" s="1">
        <f t="shared" si="32"/>
        <v>449480</v>
      </c>
    </row>
    <row r="676" spans="1:28" x14ac:dyDescent="0.3">
      <c r="A676" s="1" t="s">
        <v>28</v>
      </c>
      <c r="B676" s="1" t="s">
        <v>110</v>
      </c>
      <c r="C676">
        <v>3</v>
      </c>
      <c r="D676">
        <v>3</v>
      </c>
      <c r="E676">
        <v>958</v>
      </c>
      <c r="F676">
        <v>4032</v>
      </c>
      <c r="G676">
        <v>1</v>
      </c>
      <c r="H676">
        <v>1976</v>
      </c>
      <c r="I676">
        <v>2002</v>
      </c>
      <c r="J676" s="1" t="s">
        <v>58</v>
      </c>
      <c r="K676">
        <v>1</v>
      </c>
      <c r="L676" s="1" t="s">
        <v>31</v>
      </c>
      <c r="M676" s="1" t="s">
        <v>27</v>
      </c>
      <c r="N676" s="1" t="s">
        <v>25</v>
      </c>
      <c r="O676">
        <v>7</v>
      </c>
      <c r="P676">
        <v>1</v>
      </c>
      <c r="Q676" s="1" t="s">
        <v>111</v>
      </c>
      <c r="R676">
        <v>0</v>
      </c>
      <c r="S676" s="1" t="s">
        <v>27</v>
      </c>
      <c r="T676">
        <v>9915000</v>
      </c>
      <c r="U676" t="s">
        <v>183</v>
      </c>
      <c r="V676" s="1" t="s">
        <v>179</v>
      </c>
      <c r="W676" s="1" t="s">
        <v>180</v>
      </c>
      <c r="X676" s="1" t="str">
        <f>VLOOKUP(V676,Broker_Directory!A:C,3,FALSE)</f>
        <v>Tier B</v>
      </c>
      <c r="Y676" s="1">
        <f>HLOOKUP(X676, Commission_Rates!A$1:C$2, 2, FALSE)</f>
        <v>1.4999999999999999E-2</v>
      </c>
      <c r="Z676" s="1">
        <f t="shared" si="30"/>
        <v>0</v>
      </c>
      <c r="AA676" s="1">
        <f t="shared" si="31"/>
        <v>0</v>
      </c>
      <c r="AB676" s="1">
        <f t="shared" si="32"/>
        <v>0</v>
      </c>
    </row>
    <row r="677" spans="1:28" x14ac:dyDescent="0.3">
      <c r="A677" s="1" t="s">
        <v>33</v>
      </c>
      <c r="B677" s="1" t="s">
        <v>98</v>
      </c>
      <c r="C677">
        <v>2</v>
      </c>
      <c r="D677">
        <v>4</v>
      </c>
      <c r="E677">
        <v>3382</v>
      </c>
      <c r="F677">
        <v>7228</v>
      </c>
      <c r="G677">
        <v>3</v>
      </c>
      <c r="H677">
        <v>1981</v>
      </c>
      <c r="I677">
        <v>1986</v>
      </c>
      <c r="J677" s="1" t="s">
        <v>22</v>
      </c>
      <c r="K677">
        <v>1</v>
      </c>
      <c r="L677" s="1" t="s">
        <v>64</v>
      </c>
      <c r="M677" s="1" t="s">
        <v>24</v>
      </c>
      <c r="N677" s="1" t="s">
        <v>46</v>
      </c>
      <c r="O677">
        <v>5</v>
      </c>
      <c r="P677">
        <v>2</v>
      </c>
      <c r="Q677" s="1" t="s">
        <v>99</v>
      </c>
      <c r="R677">
        <v>3</v>
      </c>
      <c r="S677" s="1" t="s">
        <v>24</v>
      </c>
      <c r="T677">
        <v>29147000</v>
      </c>
      <c r="U677" t="s">
        <v>184</v>
      </c>
      <c r="V677" s="1" t="s">
        <v>168</v>
      </c>
      <c r="W677" s="1" t="s">
        <v>169</v>
      </c>
      <c r="X677" s="1" t="str">
        <f>VLOOKUP(V677,Broker_Directory!A:C,3,FALSE)</f>
        <v>Tier A</v>
      </c>
      <c r="Y677" s="1">
        <f>HLOOKUP(X677, Commission_Rates!A$1:C$2, 2, FALSE)</f>
        <v>0.02</v>
      </c>
      <c r="Z677" s="1">
        <f t="shared" si="30"/>
        <v>582940</v>
      </c>
      <c r="AA677" s="1">
        <f t="shared" si="31"/>
        <v>874410</v>
      </c>
      <c r="AB677" s="1">
        <f t="shared" si="32"/>
        <v>291470</v>
      </c>
    </row>
    <row r="678" spans="1:28" x14ac:dyDescent="0.3">
      <c r="A678" s="1" t="s">
        <v>53</v>
      </c>
      <c r="B678" s="1" t="s">
        <v>54</v>
      </c>
      <c r="C678">
        <v>5</v>
      </c>
      <c r="D678">
        <v>1</v>
      </c>
      <c r="E678">
        <v>2116</v>
      </c>
      <c r="F678">
        <v>9420</v>
      </c>
      <c r="G678">
        <v>3</v>
      </c>
      <c r="H678">
        <v>1972</v>
      </c>
      <c r="I678">
        <v>2020</v>
      </c>
      <c r="J678" s="1" t="s">
        <v>52</v>
      </c>
      <c r="K678">
        <v>2</v>
      </c>
      <c r="L678" s="1" t="s">
        <v>64</v>
      </c>
      <c r="M678" s="1" t="s">
        <v>27</v>
      </c>
      <c r="N678" s="1" t="s">
        <v>35</v>
      </c>
      <c r="O678">
        <v>0</v>
      </c>
      <c r="P678">
        <v>4</v>
      </c>
      <c r="Q678" s="1" t="s">
        <v>55</v>
      </c>
      <c r="R678">
        <v>0</v>
      </c>
      <c r="S678" s="1" t="s">
        <v>24</v>
      </c>
      <c r="T678">
        <v>19434000</v>
      </c>
      <c r="U678" t="s">
        <v>184</v>
      </c>
      <c r="V678" s="1" t="s">
        <v>176</v>
      </c>
      <c r="W678" s="1" t="s">
        <v>177</v>
      </c>
      <c r="X678" s="1" t="str">
        <f>VLOOKUP(V678,Broker_Directory!A:C,3,FALSE)</f>
        <v>Tier C</v>
      </c>
      <c r="Y678" s="1">
        <f>HLOOKUP(X678, Commission_Rates!A$1:C$2, 2, FALSE)</f>
        <v>0.01</v>
      </c>
      <c r="Z678" s="1">
        <f t="shared" si="30"/>
        <v>194340</v>
      </c>
      <c r="AA678" s="1">
        <f t="shared" si="31"/>
        <v>583020</v>
      </c>
      <c r="AB678" s="1">
        <f t="shared" si="32"/>
        <v>388680</v>
      </c>
    </row>
    <row r="679" spans="1:28" x14ac:dyDescent="0.3">
      <c r="A679" s="1" t="s">
        <v>28</v>
      </c>
      <c r="B679" s="1" t="s">
        <v>29</v>
      </c>
      <c r="C679">
        <v>2</v>
      </c>
      <c r="D679">
        <v>1</v>
      </c>
      <c r="E679">
        <v>2030</v>
      </c>
      <c r="F679">
        <v>4553</v>
      </c>
      <c r="G679">
        <v>2</v>
      </c>
      <c r="H679">
        <v>1961</v>
      </c>
      <c r="I679">
        <v>2003</v>
      </c>
      <c r="J679" s="1" t="s">
        <v>22</v>
      </c>
      <c r="K679">
        <v>1</v>
      </c>
      <c r="L679" s="1" t="s">
        <v>41</v>
      </c>
      <c r="M679" s="1" t="s">
        <v>24</v>
      </c>
      <c r="N679" s="1" t="s">
        <v>46</v>
      </c>
      <c r="O679">
        <v>4</v>
      </c>
      <c r="P679">
        <v>3</v>
      </c>
      <c r="Q679" s="1" t="s">
        <v>81</v>
      </c>
      <c r="R679">
        <v>0</v>
      </c>
      <c r="S679" s="1" t="s">
        <v>27</v>
      </c>
      <c r="T679">
        <v>20495000</v>
      </c>
      <c r="U679" t="s">
        <v>184</v>
      </c>
      <c r="V679" s="1" t="s">
        <v>168</v>
      </c>
      <c r="W679" s="1" t="s">
        <v>169</v>
      </c>
      <c r="X679" s="1" t="str">
        <f>VLOOKUP(V679,Broker_Directory!A:C,3,FALSE)</f>
        <v>Tier A</v>
      </c>
      <c r="Y679" s="1">
        <f>HLOOKUP(X679, Commission_Rates!A$1:C$2, 2, FALSE)</f>
        <v>0.02</v>
      </c>
      <c r="Z679" s="1">
        <f t="shared" si="30"/>
        <v>409900</v>
      </c>
      <c r="AA679" s="1">
        <f t="shared" si="31"/>
        <v>614850</v>
      </c>
      <c r="AB679" s="1">
        <f t="shared" si="32"/>
        <v>204950</v>
      </c>
    </row>
    <row r="680" spans="1:28" x14ac:dyDescent="0.3">
      <c r="A680" s="1" t="s">
        <v>37</v>
      </c>
      <c r="B680" s="1" t="s">
        <v>62</v>
      </c>
      <c r="C680">
        <v>2</v>
      </c>
      <c r="D680">
        <v>4</v>
      </c>
      <c r="E680">
        <v>4538</v>
      </c>
      <c r="F680">
        <v>5459</v>
      </c>
      <c r="G680">
        <v>2</v>
      </c>
      <c r="H680">
        <v>1960</v>
      </c>
      <c r="I680">
        <v>2003</v>
      </c>
      <c r="J680" s="1" t="s">
        <v>58</v>
      </c>
      <c r="K680">
        <v>3</v>
      </c>
      <c r="L680" s="1" t="s">
        <v>23</v>
      </c>
      <c r="M680" s="1" t="s">
        <v>24</v>
      </c>
      <c r="N680" s="1" t="s">
        <v>46</v>
      </c>
      <c r="O680">
        <v>2</v>
      </c>
      <c r="P680">
        <v>4</v>
      </c>
      <c r="Q680" s="1" t="s">
        <v>97</v>
      </c>
      <c r="R680">
        <v>3</v>
      </c>
      <c r="S680" s="1" t="s">
        <v>24</v>
      </c>
      <c r="T680">
        <v>36684000</v>
      </c>
      <c r="U680" t="s">
        <v>183</v>
      </c>
      <c r="V680" s="1" t="s">
        <v>174</v>
      </c>
      <c r="W680" s="1" t="s">
        <v>175</v>
      </c>
      <c r="X680" s="1" t="str">
        <f>VLOOKUP(V680,Broker_Directory!A:C,3,FALSE)</f>
        <v>Tier A</v>
      </c>
      <c r="Y680" s="1">
        <f>HLOOKUP(X680, Commission_Rates!A$1:C$2, 2, FALSE)</f>
        <v>0.02</v>
      </c>
      <c r="Z680" s="1">
        <f t="shared" si="30"/>
        <v>0</v>
      </c>
      <c r="AA680" s="1">
        <f t="shared" si="31"/>
        <v>0</v>
      </c>
      <c r="AB680" s="1">
        <f t="shared" si="32"/>
        <v>0</v>
      </c>
    </row>
    <row r="681" spans="1:28" x14ac:dyDescent="0.3">
      <c r="A681" s="1" t="s">
        <v>37</v>
      </c>
      <c r="B681" s="1" t="s">
        <v>72</v>
      </c>
      <c r="C681">
        <v>4</v>
      </c>
      <c r="D681">
        <v>1</v>
      </c>
      <c r="E681">
        <v>2781</v>
      </c>
      <c r="F681">
        <v>6312</v>
      </c>
      <c r="G681">
        <v>2</v>
      </c>
      <c r="H681">
        <v>1964</v>
      </c>
      <c r="I681">
        <v>2001</v>
      </c>
      <c r="J681" s="1" t="s">
        <v>22</v>
      </c>
      <c r="K681">
        <v>2</v>
      </c>
      <c r="L681" s="1" t="s">
        <v>41</v>
      </c>
      <c r="M681" s="1" t="s">
        <v>27</v>
      </c>
      <c r="N681" s="1" t="s">
        <v>35</v>
      </c>
      <c r="O681">
        <v>5</v>
      </c>
      <c r="P681">
        <v>0</v>
      </c>
      <c r="Q681" s="1" t="s">
        <v>73</v>
      </c>
      <c r="R681">
        <v>3</v>
      </c>
      <c r="S681" s="1" t="s">
        <v>27</v>
      </c>
      <c r="T681">
        <v>22563000</v>
      </c>
      <c r="U681" t="s">
        <v>184</v>
      </c>
      <c r="V681" s="1" t="s">
        <v>179</v>
      </c>
      <c r="W681" s="1" t="s">
        <v>180</v>
      </c>
      <c r="X681" s="1" t="str">
        <f>VLOOKUP(V681,Broker_Directory!A:C,3,FALSE)</f>
        <v>Tier B</v>
      </c>
      <c r="Y681" s="1">
        <f>HLOOKUP(X681, Commission_Rates!A$1:C$2, 2, FALSE)</f>
        <v>1.4999999999999999E-2</v>
      </c>
      <c r="Z681" s="1">
        <f t="shared" si="30"/>
        <v>338445</v>
      </c>
      <c r="AA681" s="1">
        <f t="shared" si="31"/>
        <v>676890</v>
      </c>
      <c r="AB681" s="1">
        <f t="shared" si="32"/>
        <v>338445</v>
      </c>
    </row>
    <row r="682" spans="1:28" x14ac:dyDescent="0.3">
      <c r="A682" s="1" t="s">
        <v>20</v>
      </c>
      <c r="B682" s="1" t="s">
        <v>40</v>
      </c>
      <c r="C682">
        <v>1</v>
      </c>
      <c r="D682">
        <v>3</v>
      </c>
      <c r="E682">
        <v>2412</v>
      </c>
      <c r="F682">
        <v>4080</v>
      </c>
      <c r="G682">
        <v>3</v>
      </c>
      <c r="H682">
        <v>2008</v>
      </c>
      <c r="I682">
        <v>2020</v>
      </c>
      <c r="J682" s="1" t="s">
        <v>58</v>
      </c>
      <c r="K682">
        <v>3</v>
      </c>
      <c r="L682" s="1" t="s">
        <v>64</v>
      </c>
      <c r="M682" s="1" t="s">
        <v>24</v>
      </c>
      <c r="N682" s="1" t="s">
        <v>25</v>
      </c>
      <c r="O682">
        <v>7</v>
      </c>
      <c r="P682">
        <v>3</v>
      </c>
      <c r="Q682" s="1" t="s">
        <v>42</v>
      </c>
      <c r="R682">
        <v>0</v>
      </c>
      <c r="S682" s="1" t="s">
        <v>27</v>
      </c>
      <c r="T682">
        <v>29244000</v>
      </c>
      <c r="U682" t="s">
        <v>182</v>
      </c>
      <c r="V682" s="1" t="s">
        <v>171</v>
      </c>
      <c r="W682" s="1" t="s">
        <v>172</v>
      </c>
      <c r="X682" s="1" t="str">
        <f>VLOOKUP(V682,Broker_Directory!A:C,3,FALSE)</f>
        <v>Tier B</v>
      </c>
      <c r="Y682" s="1">
        <f>HLOOKUP(X682, Commission_Rates!A$1:C$2, 2, FALSE)</f>
        <v>1.4999999999999999E-2</v>
      </c>
      <c r="Z682" s="1">
        <f t="shared" si="30"/>
        <v>0</v>
      </c>
      <c r="AA682" s="1">
        <f t="shared" si="31"/>
        <v>0</v>
      </c>
      <c r="AB682" s="1">
        <f t="shared" si="32"/>
        <v>0</v>
      </c>
    </row>
    <row r="683" spans="1:28" x14ac:dyDescent="0.3">
      <c r="A683" s="1" t="s">
        <v>53</v>
      </c>
      <c r="B683" s="1" t="s">
        <v>54</v>
      </c>
      <c r="C683">
        <v>3</v>
      </c>
      <c r="D683">
        <v>3</v>
      </c>
      <c r="E683">
        <v>492</v>
      </c>
      <c r="F683">
        <v>9434</v>
      </c>
      <c r="G683">
        <v>2</v>
      </c>
      <c r="H683">
        <v>1972</v>
      </c>
      <c r="I683">
        <v>1989</v>
      </c>
      <c r="J683" s="1" t="s">
        <v>30</v>
      </c>
      <c r="K683">
        <v>3</v>
      </c>
      <c r="L683" s="1" t="s">
        <v>23</v>
      </c>
      <c r="M683" s="1" t="s">
        <v>27</v>
      </c>
      <c r="N683" s="1" t="s">
        <v>46</v>
      </c>
      <c r="O683">
        <v>4</v>
      </c>
      <c r="P683">
        <v>5</v>
      </c>
      <c r="Q683" s="1" t="s">
        <v>156</v>
      </c>
      <c r="R683">
        <v>0</v>
      </c>
      <c r="S683" s="1" t="s">
        <v>27</v>
      </c>
      <c r="T683">
        <v>4708000</v>
      </c>
      <c r="U683" t="s">
        <v>183</v>
      </c>
      <c r="V683" s="1" t="s">
        <v>171</v>
      </c>
      <c r="W683" s="1" t="s">
        <v>172</v>
      </c>
      <c r="X683" s="1" t="str">
        <f>VLOOKUP(V683,Broker_Directory!A:C,3,FALSE)</f>
        <v>Tier B</v>
      </c>
      <c r="Y683" s="1">
        <f>HLOOKUP(X683, Commission_Rates!A$1:C$2, 2, FALSE)</f>
        <v>1.4999999999999999E-2</v>
      </c>
      <c r="Z683" s="1">
        <f t="shared" si="30"/>
        <v>0</v>
      </c>
      <c r="AA683" s="1">
        <f t="shared" si="31"/>
        <v>0</v>
      </c>
      <c r="AB683" s="1">
        <f t="shared" si="32"/>
        <v>0</v>
      </c>
    </row>
    <row r="684" spans="1:28" x14ac:dyDescent="0.3">
      <c r="A684" s="1" t="s">
        <v>20</v>
      </c>
      <c r="B684" s="1" t="s">
        <v>133</v>
      </c>
      <c r="C684">
        <v>4</v>
      </c>
      <c r="D684">
        <v>2</v>
      </c>
      <c r="E684">
        <v>1735</v>
      </c>
      <c r="F684">
        <v>3162</v>
      </c>
      <c r="G684">
        <v>3</v>
      </c>
      <c r="H684">
        <v>1962</v>
      </c>
      <c r="I684">
        <v>1977</v>
      </c>
      <c r="J684" s="1" t="s">
        <v>52</v>
      </c>
      <c r="K684">
        <v>3</v>
      </c>
      <c r="L684" s="1" t="s">
        <v>41</v>
      </c>
      <c r="M684" s="1" t="s">
        <v>27</v>
      </c>
      <c r="N684" s="1" t="s">
        <v>46</v>
      </c>
      <c r="O684">
        <v>7</v>
      </c>
      <c r="P684">
        <v>5</v>
      </c>
      <c r="Q684" s="1" t="s">
        <v>134</v>
      </c>
      <c r="R684">
        <v>3</v>
      </c>
      <c r="S684" s="1" t="s">
        <v>24</v>
      </c>
      <c r="T684">
        <v>21235000</v>
      </c>
      <c r="U684" t="s">
        <v>183</v>
      </c>
      <c r="V684" s="1" t="s">
        <v>174</v>
      </c>
      <c r="W684" s="1" t="s">
        <v>175</v>
      </c>
      <c r="X684" s="1" t="str">
        <f>VLOOKUP(V684,Broker_Directory!A:C,3,FALSE)</f>
        <v>Tier A</v>
      </c>
      <c r="Y684" s="1">
        <f>HLOOKUP(X684, Commission_Rates!A$1:C$2, 2, FALSE)</f>
        <v>0.02</v>
      </c>
      <c r="Z684" s="1">
        <f t="shared" si="30"/>
        <v>0</v>
      </c>
      <c r="AA684" s="1">
        <f t="shared" si="31"/>
        <v>0</v>
      </c>
      <c r="AB684" s="1">
        <f t="shared" si="32"/>
        <v>0</v>
      </c>
    </row>
    <row r="685" spans="1:28" x14ac:dyDescent="0.3">
      <c r="A685" s="1" t="s">
        <v>20</v>
      </c>
      <c r="B685" s="1" t="s">
        <v>69</v>
      </c>
      <c r="C685">
        <v>3</v>
      </c>
      <c r="D685">
        <v>1</v>
      </c>
      <c r="E685">
        <v>1502</v>
      </c>
      <c r="F685">
        <v>3208</v>
      </c>
      <c r="G685">
        <v>2</v>
      </c>
      <c r="H685">
        <v>2015</v>
      </c>
      <c r="I685">
        <v>2025</v>
      </c>
      <c r="J685" s="1" t="s">
        <v>58</v>
      </c>
      <c r="K685">
        <v>2</v>
      </c>
      <c r="L685" s="1" t="s">
        <v>64</v>
      </c>
      <c r="M685" s="1" t="s">
        <v>27</v>
      </c>
      <c r="N685" s="1" t="s">
        <v>46</v>
      </c>
      <c r="O685">
        <v>0</v>
      </c>
      <c r="P685">
        <v>1</v>
      </c>
      <c r="Q685" s="1" t="s">
        <v>103</v>
      </c>
      <c r="R685">
        <v>0</v>
      </c>
      <c r="S685" s="1" t="s">
        <v>27</v>
      </c>
      <c r="T685">
        <v>18244000</v>
      </c>
      <c r="U685" t="s">
        <v>182</v>
      </c>
      <c r="V685" s="1" t="s">
        <v>168</v>
      </c>
      <c r="W685" s="1" t="s">
        <v>169</v>
      </c>
      <c r="X685" s="1" t="str">
        <f>VLOOKUP(V685,Broker_Directory!A:C,3,FALSE)</f>
        <v>Tier A</v>
      </c>
      <c r="Y685" s="1">
        <f>HLOOKUP(X685, Commission_Rates!A$1:C$2, 2, FALSE)</f>
        <v>0.02</v>
      </c>
      <c r="Z685" s="1">
        <f t="shared" si="30"/>
        <v>0</v>
      </c>
      <c r="AA685" s="1">
        <f t="shared" si="31"/>
        <v>0</v>
      </c>
      <c r="AB685" s="1">
        <f t="shared" si="32"/>
        <v>0</v>
      </c>
    </row>
    <row r="686" spans="1:28" x14ac:dyDescent="0.3">
      <c r="A686" s="1" t="s">
        <v>20</v>
      </c>
      <c r="B686" s="1" t="s">
        <v>40</v>
      </c>
      <c r="C686">
        <v>5</v>
      </c>
      <c r="D686">
        <v>3</v>
      </c>
      <c r="E686">
        <v>2783</v>
      </c>
      <c r="F686">
        <v>7875</v>
      </c>
      <c r="G686">
        <v>3</v>
      </c>
      <c r="H686">
        <v>2019</v>
      </c>
      <c r="I686">
        <v>2021</v>
      </c>
      <c r="J686" s="1" t="s">
        <v>58</v>
      </c>
      <c r="K686">
        <v>2</v>
      </c>
      <c r="L686" s="1" t="s">
        <v>41</v>
      </c>
      <c r="M686" s="1" t="s">
        <v>24</v>
      </c>
      <c r="N686" s="1" t="s">
        <v>46</v>
      </c>
      <c r="O686">
        <v>4</v>
      </c>
      <c r="P686">
        <v>5</v>
      </c>
      <c r="Q686" s="1" t="s">
        <v>143</v>
      </c>
      <c r="R686">
        <v>2</v>
      </c>
      <c r="S686" s="1" t="s">
        <v>24</v>
      </c>
      <c r="T686">
        <v>33901000</v>
      </c>
      <c r="U686" t="s">
        <v>183</v>
      </c>
      <c r="V686" s="1" t="s">
        <v>171</v>
      </c>
      <c r="W686" s="1" t="s">
        <v>172</v>
      </c>
      <c r="X686" s="1" t="str">
        <f>VLOOKUP(V686,Broker_Directory!A:C,3,FALSE)</f>
        <v>Tier B</v>
      </c>
      <c r="Y686" s="1">
        <f>HLOOKUP(X686, Commission_Rates!A$1:C$2, 2, FALSE)</f>
        <v>1.4999999999999999E-2</v>
      </c>
      <c r="Z686" s="1">
        <f t="shared" si="30"/>
        <v>0</v>
      </c>
      <c r="AA686" s="1">
        <f t="shared" si="31"/>
        <v>0</v>
      </c>
      <c r="AB686" s="1">
        <f t="shared" si="32"/>
        <v>0</v>
      </c>
    </row>
    <row r="687" spans="1:28" x14ac:dyDescent="0.3">
      <c r="A687" s="1" t="s">
        <v>33</v>
      </c>
      <c r="B687" s="1" t="s">
        <v>98</v>
      </c>
      <c r="C687">
        <v>2</v>
      </c>
      <c r="D687">
        <v>3</v>
      </c>
      <c r="E687">
        <v>2533</v>
      </c>
      <c r="F687">
        <v>2624</v>
      </c>
      <c r="G687">
        <v>2</v>
      </c>
      <c r="H687">
        <v>1976</v>
      </c>
      <c r="I687">
        <v>1976</v>
      </c>
      <c r="J687" s="1" t="s">
        <v>22</v>
      </c>
      <c r="K687">
        <v>1</v>
      </c>
      <c r="L687" s="1" t="s">
        <v>64</v>
      </c>
      <c r="M687" s="1" t="s">
        <v>27</v>
      </c>
      <c r="N687" s="1" t="s">
        <v>46</v>
      </c>
      <c r="O687">
        <v>9</v>
      </c>
      <c r="P687">
        <v>5</v>
      </c>
      <c r="Q687" s="1" t="s">
        <v>150</v>
      </c>
      <c r="R687">
        <v>0</v>
      </c>
      <c r="S687" s="1" t="s">
        <v>24</v>
      </c>
      <c r="T687">
        <v>21810500</v>
      </c>
      <c r="U687" t="s">
        <v>184</v>
      </c>
      <c r="V687" s="1" t="s">
        <v>176</v>
      </c>
      <c r="W687" s="1" t="s">
        <v>177</v>
      </c>
      <c r="X687" s="1" t="str">
        <f>VLOOKUP(V687,Broker_Directory!A:C,3,FALSE)</f>
        <v>Tier C</v>
      </c>
      <c r="Y687" s="1">
        <f>HLOOKUP(X687, Commission_Rates!A$1:C$2, 2, FALSE)</f>
        <v>0.01</v>
      </c>
      <c r="Z687" s="1">
        <f t="shared" si="30"/>
        <v>218105</v>
      </c>
      <c r="AA687" s="1">
        <f t="shared" si="31"/>
        <v>654315</v>
      </c>
      <c r="AB687" s="1">
        <f t="shared" si="32"/>
        <v>436210</v>
      </c>
    </row>
    <row r="688" spans="1:28" x14ac:dyDescent="0.3">
      <c r="A688" s="1" t="s">
        <v>28</v>
      </c>
      <c r="B688" s="1" t="s">
        <v>60</v>
      </c>
      <c r="C688">
        <v>3</v>
      </c>
      <c r="D688">
        <v>2</v>
      </c>
      <c r="E688">
        <v>822</v>
      </c>
      <c r="F688">
        <v>5587</v>
      </c>
      <c r="G688">
        <v>3</v>
      </c>
      <c r="H688">
        <v>2008</v>
      </c>
      <c r="I688">
        <v>2025</v>
      </c>
      <c r="J688" s="1" t="s">
        <v>22</v>
      </c>
      <c r="K688">
        <v>2</v>
      </c>
      <c r="L688" s="1" t="s">
        <v>41</v>
      </c>
      <c r="M688" s="1" t="s">
        <v>27</v>
      </c>
      <c r="N688" s="1" t="s">
        <v>35</v>
      </c>
      <c r="O688">
        <v>0</v>
      </c>
      <c r="P688">
        <v>2</v>
      </c>
      <c r="Q688" s="1" t="s">
        <v>61</v>
      </c>
      <c r="R688">
        <v>2</v>
      </c>
      <c r="S688" s="1" t="s">
        <v>27</v>
      </c>
      <c r="T688">
        <v>8520000</v>
      </c>
      <c r="U688" t="s">
        <v>184</v>
      </c>
      <c r="V688" s="1" t="s">
        <v>168</v>
      </c>
      <c r="W688" s="1" t="s">
        <v>169</v>
      </c>
      <c r="X688" s="1" t="str">
        <f>VLOOKUP(V688,Broker_Directory!A:C,3,FALSE)</f>
        <v>Tier A</v>
      </c>
      <c r="Y688" s="1">
        <f>HLOOKUP(X688, Commission_Rates!A$1:C$2, 2, FALSE)</f>
        <v>0.02</v>
      </c>
      <c r="Z688" s="1">
        <f t="shared" si="30"/>
        <v>170400</v>
      </c>
      <c r="AA688" s="1">
        <f t="shared" si="31"/>
        <v>255600</v>
      </c>
      <c r="AB688" s="1">
        <f t="shared" si="32"/>
        <v>85200</v>
      </c>
    </row>
    <row r="689" spans="1:28" x14ac:dyDescent="0.3">
      <c r="A689" s="1" t="s">
        <v>37</v>
      </c>
      <c r="B689" s="1" t="s">
        <v>62</v>
      </c>
      <c r="C689">
        <v>4</v>
      </c>
      <c r="D689">
        <v>4</v>
      </c>
      <c r="E689">
        <v>2025</v>
      </c>
      <c r="F689">
        <v>6435</v>
      </c>
      <c r="G689">
        <v>3</v>
      </c>
      <c r="H689">
        <v>1971</v>
      </c>
      <c r="I689">
        <v>2013</v>
      </c>
      <c r="J689" s="1" t="s">
        <v>22</v>
      </c>
      <c r="K689">
        <v>2</v>
      </c>
      <c r="L689" s="1" t="s">
        <v>41</v>
      </c>
      <c r="M689" s="1" t="s">
        <v>24</v>
      </c>
      <c r="N689" s="1" t="s">
        <v>35</v>
      </c>
      <c r="O689">
        <v>9</v>
      </c>
      <c r="P689">
        <v>0</v>
      </c>
      <c r="Q689" s="1" t="s">
        <v>97</v>
      </c>
      <c r="R689">
        <v>2</v>
      </c>
      <c r="S689" s="1" t="s">
        <v>24</v>
      </c>
      <c r="T689">
        <v>16685000</v>
      </c>
      <c r="U689" t="s">
        <v>184</v>
      </c>
      <c r="V689" s="1" t="s">
        <v>176</v>
      </c>
      <c r="W689" s="1" t="s">
        <v>177</v>
      </c>
      <c r="X689" s="1" t="str">
        <f>VLOOKUP(V689,Broker_Directory!A:C,3,FALSE)</f>
        <v>Tier C</v>
      </c>
      <c r="Y689" s="1">
        <f>HLOOKUP(X689, Commission_Rates!A$1:C$2, 2, FALSE)</f>
        <v>0.01</v>
      </c>
      <c r="Z689" s="1">
        <f t="shared" si="30"/>
        <v>166850</v>
      </c>
      <c r="AA689" s="1">
        <f t="shared" si="31"/>
        <v>500550</v>
      </c>
      <c r="AB689" s="1">
        <f t="shared" si="32"/>
        <v>333700</v>
      </c>
    </row>
    <row r="690" spans="1:28" x14ac:dyDescent="0.3">
      <c r="A690" s="1" t="s">
        <v>28</v>
      </c>
      <c r="B690" s="1" t="s">
        <v>95</v>
      </c>
      <c r="C690">
        <v>3</v>
      </c>
      <c r="D690">
        <v>3</v>
      </c>
      <c r="E690">
        <v>2690</v>
      </c>
      <c r="F690">
        <v>8891</v>
      </c>
      <c r="G690">
        <v>2</v>
      </c>
      <c r="H690">
        <v>2007</v>
      </c>
      <c r="I690">
        <v>2020</v>
      </c>
      <c r="J690" s="1" t="s">
        <v>58</v>
      </c>
      <c r="K690">
        <v>1</v>
      </c>
      <c r="L690" s="1" t="s">
        <v>31</v>
      </c>
      <c r="M690" s="1" t="s">
        <v>27</v>
      </c>
      <c r="N690" s="1" t="s">
        <v>35</v>
      </c>
      <c r="O690">
        <v>6</v>
      </c>
      <c r="P690">
        <v>3</v>
      </c>
      <c r="Q690" s="1" t="s">
        <v>126</v>
      </c>
      <c r="R690">
        <v>2</v>
      </c>
      <c r="S690" s="1" t="s">
        <v>27</v>
      </c>
      <c r="T690">
        <v>27210000</v>
      </c>
      <c r="U690" t="s">
        <v>183</v>
      </c>
      <c r="V690" s="1" t="s">
        <v>171</v>
      </c>
      <c r="W690" s="1" t="s">
        <v>172</v>
      </c>
      <c r="X690" s="1" t="str">
        <f>VLOOKUP(V690,Broker_Directory!A:C,3,FALSE)</f>
        <v>Tier B</v>
      </c>
      <c r="Y690" s="1">
        <f>HLOOKUP(X690, Commission_Rates!A$1:C$2, 2, FALSE)</f>
        <v>1.4999999999999999E-2</v>
      </c>
      <c r="Z690" s="1">
        <f t="shared" si="30"/>
        <v>0</v>
      </c>
      <c r="AA690" s="1">
        <f t="shared" si="31"/>
        <v>0</v>
      </c>
      <c r="AB690" s="1">
        <f t="shared" si="32"/>
        <v>0</v>
      </c>
    </row>
    <row r="691" spans="1:28" x14ac:dyDescent="0.3">
      <c r="A691" s="1" t="s">
        <v>28</v>
      </c>
      <c r="B691" s="1" t="s">
        <v>29</v>
      </c>
      <c r="C691">
        <v>5</v>
      </c>
      <c r="D691">
        <v>2</v>
      </c>
      <c r="E691">
        <v>3400</v>
      </c>
      <c r="F691">
        <v>8423</v>
      </c>
      <c r="G691">
        <v>1</v>
      </c>
      <c r="H691">
        <v>1962</v>
      </c>
      <c r="I691">
        <v>2011</v>
      </c>
      <c r="J691" s="1" t="s">
        <v>52</v>
      </c>
      <c r="K691">
        <v>1</v>
      </c>
      <c r="L691" s="1" t="s">
        <v>23</v>
      </c>
      <c r="M691" s="1" t="s">
        <v>27</v>
      </c>
      <c r="N691" s="1" t="s">
        <v>25</v>
      </c>
      <c r="O691">
        <v>2</v>
      </c>
      <c r="P691">
        <v>5</v>
      </c>
      <c r="Q691" s="1" t="s">
        <v>81</v>
      </c>
      <c r="R691">
        <v>3</v>
      </c>
      <c r="S691" s="1" t="s">
        <v>27</v>
      </c>
      <c r="T691">
        <v>34450000</v>
      </c>
      <c r="U691" t="s">
        <v>184</v>
      </c>
      <c r="V691" s="1" t="s">
        <v>174</v>
      </c>
      <c r="W691" s="1" t="s">
        <v>175</v>
      </c>
      <c r="X691" s="1" t="str">
        <f>VLOOKUP(V691,Broker_Directory!A:C,3,FALSE)</f>
        <v>Tier A</v>
      </c>
      <c r="Y691" s="1">
        <f>HLOOKUP(X691, Commission_Rates!A$1:C$2, 2, FALSE)</f>
        <v>0.02</v>
      </c>
      <c r="Z691" s="1">
        <f t="shared" si="30"/>
        <v>689000</v>
      </c>
      <c r="AA691" s="1">
        <f t="shared" si="31"/>
        <v>1033500</v>
      </c>
      <c r="AB691" s="1">
        <f t="shared" si="32"/>
        <v>344500</v>
      </c>
    </row>
    <row r="692" spans="1:28" x14ac:dyDescent="0.3">
      <c r="A692" s="1" t="s">
        <v>28</v>
      </c>
      <c r="B692" s="1" t="s">
        <v>29</v>
      </c>
      <c r="C692">
        <v>5</v>
      </c>
      <c r="D692">
        <v>3</v>
      </c>
      <c r="E692">
        <v>2916</v>
      </c>
      <c r="F692">
        <v>9277</v>
      </c>
      <c r="G692">
        <v>2</v>
      </c>
      <c r="H692">
        <v>1963</v>
      </c>
      <c r="I692">
        <v>2002</v>
      </c>
      <c r="J692" s="1" t="s">
        <v>22</v>
      </c>
      <c r="K692">
        <v>1</v>
      </c>
      <c r="L692" s="1" t="s">
        <v>41</v>
      </c>
      <c r="M692" s="1" t="s">
        <v>27</v>
      </c>
      <c r="N692" s="1" t="s">
        <v>46</v>
      </c>
      <c r="O692">
        <v>4</v>
      </c>
      <c r="P692">
        <v>3</v>
      </c>
      <c r="Q692" s="1" t="s">
        <v>149</v>
      </c>
      <c r="R692">
        <v>1</v>
      </c>
      <c r="S692" s="1" t="s">
        <v>27</v>
      </c>
      <c r="T692">
        <v>29555000</v>
      </c>
      <c r="U692" t="s">
        <v>184</v>
      </c>
      <c r="V692" s="1" t="s">
        <v>171</v>
      </c>
      <c r="W692" s="1" t="s">
        <v>172</v>
      </c>
      <c r="X692" s="1" t="str">
        <f>VLOOKUP(V692,Broker_Directory!A:C,3,FALSE)</f>
        <v>Tier B</v>
      </c>
      <c r="Y692" s="1">
        <f>HLOOKUP(X692, Commission_Rates!A$1:C$2, 2, FALSE)</f>
        <v>1.4999999999999999E-2</v>
      </c>
      <c r="Z692" s="1">
        <f t="shared" si="30"/>
        <v>443325</v>
      </c>
      <c r="AA692" s="1">
        <f t="shared" si="31"/>
        <v>886650</v>
      </c>
      <c r="AB692" s="1">
        <f t="shared" si="32"/>
        <v>443325</v>
      </c>
    </row>
    <row r="693" spans="1:28" x14ac:dyDescent="0.3">
      <c r="A693" s="1" t="s">
        <v>53</v>
      </c>
      <c r="B693" s="1" t="s">
        <v>105</v>
      </c>
      <c r="C693">
        <v>5</v>
      </c>
      <c r="D693">
        <v>3</v>
      </c>
      <c r="E693">
        <v>4101</v>
      </c>
      <c r="F693">
        <v>9526</v>
      </c>
      <c r="G693">
        <v>1</v>
      </c>
      <c r="H693">
        <v>1962</v>
      </c>
      <c r="I693">
        <v>2010</v>
      </c>
      <c r="J693" s="1" t="s">
        <v>22</v>
      </c>
      <c r="K693">
        <v>3</v>
      </c>
      <c r="L693" s="1" t="s">
        <v>41</v>
      </c>
      <c r="M693" s="1" t="s">
        <v>24</v>
      </c>
      <c r="N693" s="1" t="s">
        <v>35</v>
      </c>
      <c r="O693">
        <v>0</v>
      </c>
      <c r="P693">
        <v>4</v>
      </c>
      <c r="Q693" s="1" t="s">
        <v>116</v>
      </c>
      <c r="R693">
        <v>1</v>
      </c>
      <c r="S693" s="1" t="s">
        <v>24</v>
      </c>
      <c r="T693">
        <v>37359000</v>
      </c>
      <c r="U693" t="s">
        <v>183</v>
      </c>
      <c r="V693" s="1" t="s">
        <v>176</v>
      </c>
      <c r="W693" s="1" t="s">
        <v>177</v>
      </c>
      <c r="X693" s="1" t="str">
        <f>VLOOKUP(V693,Broker_Directory!A:C,3,FALSE)</f>
        <v>Tier C</v>
      </c>
      <c r="Y693" s="1">
        <f>HLOOKUP(X693, Commission_Rates!A$1:C$2, 2, FALSE)</f>
        <v>0.01</v>
      </c>
      <c r="Z693" s="1">
        <f t="shared" si="30"/>
        <v>0</v>
      </c>
      <c r="AA693" s="1">
        <f t="shared" si="31"/>
        <v>0</v>
      </c>
      <c r="AB693" s="1">
        <f t="shared" si="32"/>
        <v>0</v>
      </c>
    </row>
    <row r="694" spans="1:28" x14ac:dyDescent="0.3">
      <c r="A694" s="1" t="s">
        <v>33</v>
      </c>
      <c r="B694" s="1" t="s">
        <v>43</v>
      </c>
      <c r="C694">
        <v>4</v>
      </c>
      <c r="D694">
        <v>1</v>
      </c>
      <c r="E694">
        <v>2962</v>
      </c>
      <c r="F694">
        <v>8007</v>
      </c>
      <c r="G694">
        <v>1</v>
      </c>
      <c r="H694">
        <v>1971</v>
      </c>
      <c r="I694">
        <v>2006</v>
      </c>
      <c r="J694" s="1" t="s">
        <v>22</v>
      </c>
      <c r="K694">
        <v>0</v>
      </c>
      <c r="L694" s="1" t="s">
        <v>64</v>
      </c>
      <c r="M694" s="1" t="s">
        <v>24</v>
      </c>
      <c r="N694" s="1" t="s">
        <v>35</v>
      </c>
      <c r="O694">
        <v>9</v>
      </c>
      <c r="P694">
        <v>5</v>
      </c>
      <c r="Q694" s="1" t="s">
        <v>44</v>
      </c>
      <c r="R694">
        <v>1</v>
      </c>
      <c r="S694" s="1" t="s">
        <v>24</v>
      </c>
      <c r="T694">
        <v>25517000</v>
      </c>
      <c r="U694" t="s">
        <v>184</v>
      </c>
      <c r="V694" s="1" t="s">
        <v>176</v>
      </c>
      <c r="W694" s="1" t="s">
        <v>177</v>
      </c>
      <c r="X694" s="1" t="str">
        <f>VLOOKUP(V694,Broker_Directory!A:C,3,FALSE)</f>
        <v>Tier C</v>
      </c>
      <c r="Y694" s="1">
        <f>HLOOKUP(X694, Commission_Rates!A$1:C$2, 2, FALSE)</f>
        <v>0.01</v>
      </c>
      <c r="Z694" s="1">
        <f t="shared" si="30"/>
        <v>255170</v>
      </c>
      <c r="AA694" s="1">
        <f t="shared" si="31"/>
        <v>765510</v>
      </c>
      <c r="AB694" s="1">
        <f t="shared" si="32"/>
        <v>510340</v>
      </c>
    </row>
    <row r="695" spans="1:28" x14ac:dyDescent="0.3">
      <c r="A695" s="1" t="s">
        <v>37</v>
      </c>
      <c r="B695" s="1" t="s">
        <v>38</v>
      </c>
      <c r="C695">
        <v>2</v>
      </c>
      <c r="D695">
        <v>2</v>
      </c>
      <c r="E695">
        <v>4168</v>
      </c>
      <c r="F695">
        <v>5854</v>
      </c>
      <c r="G695">
        <v>2</v>
      </c>
      <c r="H695">
        <v>1966</v>
      </c>
      <c r="I695">
        <v>1983</v>
      </c>
      <c r="J695" s="1" t="s">
        <v>58</v>
      </c>
      <c r="K695">
        <v>0</v>
      </c>
      <c r="L695" s="1" t="s">
        <v>31</v>
      </c>
      <c r="M695" s="1" t="s">
        <v>27</v>
      </c>
      <c r="N695" s="1" t="s">
        <v>46</v>
      </c>
      <c r="O695">
        <v>3</v>
      </c>
      <c r="P695">
        <v>5</v>
      </c>
      <c r="Q695" s="1" t="s">
        <v>78</v>
      </c>
      <c r="R695">
        <v>1</v>
      </c>
      <c r="S695" s="1" t="s">
        <v>24</v>
      </c>
      <c r="T695">
        <v>33609000</v>
      </c>
      <c r="U695" t="s">
        <v>183</v>
      </c>
      <c r="V695" s="1" t="s">
        <v>168</v>
      </c>
      <c r="W695" s="1" t="s">
        <v>169</v>
      </c>
      <c r="X695" s="1" t="str">
        <f>VLOOKUP(V695,Broker_Directory!A:C,3,FALSE)</f>
        <v>Tier A</v>
      </c>
      <c r="Y695" s="1">
        <f>HLOOKUP(X695, Commission_Rates!A$1:C$2, 2, FALSE)</f>
        <v>0.02</v>
      </c>
      <c r="Z695" s="1">
        <f t="shared" si="30"/>
        <v>0</v>
      </c>
      <c r="AA695" s="1">
        <f t="shared" si="31"/>
        <v>0</v>
      </c>
      <c r="AB695" s="1">
        <f t="shared" si="32"/>
        <v>0</v>
      </c>
    </row>
    <row r="696" spans="1:28" x14ac:dyDescent="0.3">
      <c r="A696" s="1" t="s">
        <v>37</v>
      </c>
      <c r="B696" s="1" t="s">
        <v>45</v>
      </c>
      <c r="C696">
        <v>1</v>
      </c>
      <c r="D696">
        <v>3</v>
      </c>
      <c r="E696">
        <v>1604</v>
      </c>
      <c r="F696">
        <v>5665</v>
      </c>
      <c r="G696">
        <v>2</v>
      </c>
      <c r="H696">
        <v>1958</v>
      </c>
      <c r="I696">
        <v>0</v>
      </c>
      <c r="J696" s="1" t="s">
        <v>58</v>
      </c>
      <c r="K696">
        <v>3</v>
      </c>
      <c r="L696" s="1" t="s">
        <v>41</v>
      </c>
      <c r="M696" s="1" t="s">
        <v>27</v>
      </c>
      <c r="N696" s="1" t="s">
        <v>25</v>
      </c>
      <c r="O696">
        <v>6</v>
      </c>
      <c r="P696">
        <v>2</v>
      </c>
      <c r="Q696" s="1" t="s">
        <v>47</v>
      </c>
      <c r="R696">
        <v>0</v>
      </c>
      <c r="S696" s="1" t="s">
        <v>27</v>
      </c>
      <c r="T696">
        <v>13087000</v>
      </c>
      <c r="U696" t="s">
        <v>184</v>
      </c>
      <c r="V696" s="1" t="s">
        <v>176</v>
      </c>
      <c r="W696" s="1" t="s">
        <v>177</v>
      </c>
      <c r="X696" s="1" t="str">
        <f>VLOOKUP(V696,Broker_Directory!A:C,3,FALSE)</f>
        <v>Tier C</v>
      </c>
      <c r="Y696" s="1">
        <f>HLOOKUP(X696, Commission_Rates!A$1:C$2, 2, FALSE)</f>
        <v>0.01</v>
      </c>
      <c r="Z696" s="1">
        <f t="shared" si="30"/>
        <v>130870</v>
      </c>
      <c r="AA696" s="1">
        <f t="shared" si="31"/>
        <v>392610</v>
      </c>
      <c r="AB696" s="1">
        <f t="shared" si="32"/>
        <v>261740</v>
      </c>
    </row>
    <row r="697" spans="1:28" x14ac:dyDescent="0.3">
      <c r="A697" s="1" t="s">
        <v>37</v>
      </c>
      <c r="B697" s="1" t="s">
        <v>87</v>
      </c>
      <c r="C697">
        <v>3</v>
      </c>
      <c r="D697">
        <v>4</v>
      </c>
      <c r="E697">
        <v>626</v>
      </c>
      <c r="F697">
        <v>6629</v>
      </c>
      <c r="G697">
        <v>2</v>
      </c>
      <c r="H697">
        <v>2015</v>
      </c>
      <c r="I697">
        <v>2024</v>
      </c>
      <c r="J697" s="1" t="s">
        <v>22</v>
      </c>
      <c r="K697">
        <v>3</v>
      </c>
      <c r="L697" s="1" t="s">
        <v>23</v>
      </c>
      <c r="M697" s="1" t="s">
        <v>24</v>
      </c>
      <c r="N697" s="1" t="s">
        <v>25</v>
      </c>
      <c r="O697">
        <v>4</v>
      </c>
      <c r="P697">
        <v>4</v>
      </c>
      <c r="Q697" s="1" t="s">
        <v>141</v>
      </c>
      <c r="R697">
        <v>1</v>
      </c>
      <c r="S697" s="1" t="s">
        <v>27</v>
      </c>
      <c r="T697">
        <v>5433000</v>
      </c>
      <c r="U697" t="s">
        <v>184</v>
      </c>
      <c r="V697" s="1" t="s">
        <v>171</v>
      </c>
      <c r="W697" s="1" t="s">
        <v>172</v>
      </c>
      <c r="X697" s="1" t="str">
        <f>VLOOKUP(V697,Broker_Directory!A:C,3,FALSE)</f>
        <v>Tier B</v>
      </c>
      <c r="Y697" s="1">
        <f>HLOOKUP(X697, Commission_Rates!A$1:C$2, 2, FALSE)</f>
        <v>1.4999999999999999E-2</v>
      </c>
      <c r="Z697" s="1">
        <f t="shared" si="30"/>
        <v>81495</v>
      </c>
      <c r="AA697" s="1">
        <f t="shared" si="31"/>
        <v>162990</v>
      </c>
      <c r="AB697" s="1">
        <f t="shared" si="32"/>
        <v>81495</v>
      </c>
    </row>
    <row r="698" spans="1:28" x14ac:dyDescent="0.3">
      <c r="A698" s="1" t="s">
        <v>37</v>
      </c>
      <c r="B698" s="1" t="s">
        <v>38</v>
      </c>
      <c r="C698">
        <v>2</v>
      </c>
      <c r="D698">
        <v>2</v>
      </c>
      <c r="E698">
        <v>4253</v>
      </c>
      <c r="F698">
        <v>6024</v>
      </c>
      <c r="G698">
        <v>2</v>
      </c>
      <c r="H698">
        <v>1962</v>
      </c>
      <c r="I698">
        <v>2003</v>
      </c>
      <c r="J698" s="1" t="s">
        <v>58</v>
      </c>
      <c r="K698">
        <v>3</v>
      </c>
      <c r="L698" s="1" t="s">
        <v>41</v>
      </c>
      <c r="M698" s="1" t="s">
        <v>24</v>
      </c>
      <c r="N698" s="1" t="s">
        <v>46</v>
      </c>
      <c r="O698">
        <v>5</v>
      </c>
      <c r="P698">
        <v>2</v>
      </c>
      <c r="Q698" s="1" t="s">
        <v>78</v>
      </c>
      <c r="R698">
        <v>2</v>
      </c>
      <c r="S698" s="1" t="s">
        <v>27</v>
      </c>
      <c r="T698">
        <v>34279000</v>
      </c>
      <c r="U698" t="s">
        <v>183</v>
      </c>
      <c r="V698" s="1" t="s">
        <v>176</v>
      </c>
      <c r="W698" s="1" t="s">
        <v>177</v>
      </c>
      <c r="X698" s="1" t="str">
        <f>VLOOKUP(V698,Broker_Directory!A:C,3,FALSE)</f>
        <v>Tier C</v>
      </c>
      <c r="Y698" s="1">
        <f>HLOOKUP(X698, Commission_Rates!A$1:C$2, 2, FALSE)</f>
        <v>0.01</v>
      </c>
      <c r="Z698" s="1">
        <f t="shared" si="30"/>
        <v>0</v>
      </c>
      <c r="AA698" s="1">
        <f t="shared" si="31"/>
        <v>0</v>
      </c>
      <c r="AB698" s="1">
        <f t="shared" si="32"/>
        <v>0</v>
      </c>
    </row>
    <row r="699" spans="1:28" x14ac:dyDescent="0.3">
      <c r="A699" s="1" t="s">
        <v>53</v>
      </c>
      <c r="B699" s="1" t="s">
        <v>100</v>
      </c>
      <c r="C699">
        <v>3</v>
      </c>
      <c r="D699">
        <v>1</v>
      </c>
      <c r="E699">
        <v>1447</v>
      </c>
      <c r="F699">
        <v>3922</v>
      </c>
      <c r="G699">
        <v>3</v>
      </c>
      <c r="H699">
        <v>1986</v>
      </c>
      <c r="I699">
        <v>1986</v>
      </c>
      <c r="J699" s="1" t="s">
        <v>52</v>
      </c>
      <c r="K699">
        <v>2</v>
      </c>
      <c r="L699" s="1" t="s">
        <v>64</v>
      </c>
      <c r="M699" s="1" t="s">
        <v>27</v>
      </c>
      <c r="N699" s="1" t="s">
        <v>46</v>
      </c>
      <c r="O699">
        <v>2</v>
      </c>
      <c r="P699">
        <v>4</v>
      </c>
      <c r="Q699" s="1" t="s">
        <v>151</v>
      </c>
      <c r="R699">
        <v>3</v>
      </c>
      <c r="S699" s="1" t="s">
        <v>27</v>
      </c>
      <c r="T699">
        <v>13308000</v>
      </c>
      <c r="U699" t="s">
        <v>182</v>
      </c>
      <c r="V699" s="1" t="s">
        <v>168</v>
      </c>
      <c r="W699" s="1" t="s">
        <v>169</v>
      </c>
      <c r="X699" s="1" t="str">
        <f>VLOOKUP(V699,Broker_Directory!A:C,3,FALSE)</f>
        <v>Tier A</v>
      </c>
      <c r="Y699" s="1">
        <f>HLOOKUP(X699, Commission_Rates!A$1:C$2, 2, FALSE)</f>
        <v>0.02</v>
      </c>
      <c r="Z699" s="1">
        <f t="shared" si="30"/>
        <v>0</v>
      </c>
      <c r="AA699" s="1">
        <f t="shared" si="31"/>
        <v>0</v>
      </c>
      <c r="AB699" s="1">
        <f t="shared" si="32"/>
        <v>0</v>
      </c>
    </row>
    <row r="700" spans="1:28" x14ac:dyDescent="0.3">
      <c r="A700" s="1" t="s">
        <v>53</v>
      </c>
      <c r="B700" s="1" t="s">
        <v>66</v>
      </c>
      <c r="C700">
        <v>2</v>
      </c>
      <c r="D700">
        <v>2</v>
      </c>
      <c r="E700">
        <v>2694</v>
      </c>
      <c r="F700">
        <v>9782</v>
      </c>
      <c r="G700">
        <v>2</v>
      </c>
      <c r="H700">
        <v>1982</v>
      </c>
      <c r="I700">
        <v>2021</v>
      </c>
      <c r="J700" s="1" t="s">
        <v>52</v>
      </c>
      <c r="K700">
        <v>0</v>
      </c>
      <c r="L700" s="1" t="s">
        <v>31</v>
      </c>
      <c r="M700" s="1" t="s">
        <v>27</v>
      </c>
      <c r="N700" s="1" t="s">
        <v>25</v>
      </c>
      <c r="O700">
        <v>9</v>
      </c>
      <c r="P700">
        <v>0</v>
      </c>
      <c r="Q700" s="1" t="s">
        <v>82</v>
      </c>
      <c r="R700">
        <v>2</v>
      </c>
      <c r="S700" s="1" t="s">
        <v>27</v>
      </c>
      <c r="T700">
        <v>24551000</v>
      </c>
      <c r="U700" t="s">
        <v>182</v>
      </c>
      <c r="V700" s="1" t="s">
        <v>176</v>
      </c>
      <c r="W700" s="1" t="s">
        <v>177</v>
      </c>
      <c r="X700" s="1" t="str">
        <f>VLOOKUP(V700,Broker_Directory!A:C,3,FALSE)</f>
        <v>Tier C</v>
      </c>
      <c r="Y700" s="1">
        <f>HLOOKUP(X700, Commission_Rates!A$1:C$2, 2, FALSE)</f>
        <v>0.01</v>
      </c>
      <c r="Z700" s="1">
        <f t="shared" si="30"/>
        <v>0</v>
      </c>
      <c r="AA700" s="1">
        <f t="shared" si="31"/>
        <v>0</v>
      </c>
      <c r="AB700" s="1">
        <f t="shared" si="32"/>
        <v>0</v>
      </c>
    </row>
    <row r="701" spans="1:28" x14ac:dyDescent="0.3">
      <c r="A701" s="1" t="s">
        <v>37</v>
      </c>
      <c r="B701" s="1" t="s">
        <v>45</v>
      </c>
      <c r="C701">
        <v>2</v>
      </c>
      <c r="D701">
        <v>3</v>
      </c>
      <c r="E701">
        <v>1576</v>
      </c>
      <c r="F701">
        <v>9835</v>
      </c>
      <c r="G701">
        <v>2</v>
      </c>
      <c r="H701">
        <v>2016</v>
      </c>
      <c r="I701">
        <v>2020</v>
      </c>
      <c r="J701" s="1" t="s">
        <v>22</v>
      </c>
      <c r="K701">
        <v>3</v>
      </c>
      <c r="L701" s="1" t="s">
        <v>31</v>
      </c>
      <c r="M701" s="1" t="s">
        <v>27</v>
      </c>
      <c r="N701" s="1" t="s">
        <v>25</v>
      </c>
      <c r="O701">
        <v>7</v>
      </c>
      <c r="P701">
        <v>3</v>
      </c>
      <c r="Q701" s="1" t="s">
        <v>47</v>
      </c>
      <c r="R701">
        <v>0</v>
      </c>
      <c r="S701" s="1" t="s">
        <v>27</v>
      </c>
      <c r="T701">
        <v>12913000</v>
      </c>
      <c r="U701" t="s">
        <v>182</v>
      </c>
      <c r="V701" s="1" t="s">
        <v>171</v>
      </c>
      <c r="W701" s="1" t="s">
        <v>172</v>
      </c>
      <c r="X701" s="1" t="str">
        <f>VLOOKUP(V701,Broker_Directory!A:C,3,FALSE)</f>
        <v>Tier B</v>
      </c>
      <c r="Y701" s="1">
        <f>HLOOKUP(X701, Commission_Rates!A$1:C$2, 2, FALSE)</f>
        <v>1.4999999999999999E-2</v>
      </c>
      <c r="Z701" s="1">
        <f t="shared" si="30"/>
        <v>0</v>
      </c>
      <c r="AA701" s="1">
        <f t="shared" si="31"/>
        <v>0</v>
      </c>
      <c r="AB701" s="1">
        <f t="shared" si="32"/>
        <v>0</v>
      </c>
    </row>
    <row r="702" spans="1:28" x14ac:dyDescent="0.3">
      <c r="A702" s="1" t="s">
        <v>28</v>
      </c>
      <c r="B702" s="1" t="s">
        <v>79</v>
      </c>
      <c r="C702">
        <v>2</v>
      </c>
      <c r="D702">
        <v>2</v>
      </c>
      <c r="E702">
        <v>1529</v>
      </c>
      <c r="F702">
        <v>6138</v>
      </c>
      <c r="G702">
        <v>3</v>
      </c>
      <c r="H702">
        <v>1965</v>
      </c>
      <c r="I702">
        <v>2005</v>
      </c>
      <c r="J702" s="1" t="s">
        <v>52</v>
      </c>
      <c r="K702">
        <v>2</v>
      </c>
      <c r="L702" s="1" t="s">
        <v>41</v>
      </c>
      <c r="M702" s="1" t="s">
        <v>27</v>
      </c>
      <c r="N702" s="1" t="s">
        <v>35</v>
      </c>
      <c r="O702">
        <v>10</v>
      </c>
      <c r="P702">
        <v>0</v>
      </c>
      <c r="Q702" s="1" t="s">
        <v>139</v>
      </c>
      <c r="R702">
        <v>1</v>
      </c>
      <c r="S702" s="1" t="s">
        <v>27</v>
      </c>
      <c r="T702">
        <v>15525000</v>
      </c>
      <c r="U702" t="s">
        <v>183</v>
      </c>
      <c r="V702" s="1" t="s">
        <v>174</v>
      </c>
      <c r="W702" s="1" t="s">
        <v>175</v>
      </c>
      <c r="X702" s="1" t="str">
        <f>VLOOKUP(V702,Broker_Directory!A:C,3,FALSE)</f>
        <v>Tier A</v>
      </c>
      <c r="Y702" s="1">
        <f>HLOOKUP(X702, Commission_Rates!A$1:C$2, 2, FALSE)</f>
        <v>0.02</v>
      </c>
      <c r="Z702" s="1">
        <f t="shared" si="30"/>
        <v>0</v>
      </c>
      <c r="AA702" s="1">
        <f t="shared" si="31"/>
        <v>0</v>
      </c>
      <c r="AB702" s="1">
        <f t="shared" si="32"/>
        <v>0</v>
      </c>
    </row>
    <row r="703" spans="1:28" x14ac:dyDescent="0.3">
      <c r="A703" s="1" t="s">
        <v>20</v>
      </c>
      <c r="B703" s="1" t="s">
        <v>50</v>
      </c>
      <c r="C703">
        <v>1</v>
      </c>
      <c r="D703">
        <v>3</v>
      </c>
      <c r="E703">
        <v>4456</v>
      </c>
      <c r="F703">
        <v>5056</v>
      </c>
      <c r="G703">
        <v>2</v>
      </c>
      <c r="H703">
        <v>2020</v>
      </c>
      <c r="I703">
        <v>2023</v>
      </c>
      <c r="J703" s="1" t="s">
        <v>58</v>
      </c>
      <c r="K703">
        <v>0</v>
      </c>
      <c r="L703" s="1" t="s">
        <v>41</v>
      </c>
      <c r="M703" s="1" t="s">
        <v>24</v>
      </c>
      <c r="N703" s="1" t="s">
        <v>25</v>
      </c>
      <c r="O703">
        <v>4</v>
      </c>
      <c r="P703">
        <v>5</v>
      </c>
      <c r="Q703" s="1" t="s">
        <v>112</v>
      </c>
      <c r="R703">
        <v>1</v>
      </c>
      <c r="S703" s="1" t="s">
        <v>24</v>
      </c>
      <c r="T703">
        <v>53817000</v>
      </c>
      <c r="U703" t="s">
        <v>184</v>
      </c>
      <c r="V703" s="1" t="s">
        <v>176</v>
      </c>
      <c r="W703" s="1" t="s">
        <v>177</v>
      </c>
      <c r="X703" s="1" t="str">
        <f>VLOOKUP(V703,Broker_Directory!A:C,3,FALSE)</f>
        <v>Tier C</v>
      </c>
      <c r="Y703" s="1">
        <f>HLOOKUP(X703, Commission_Rates!A$1:C$2, 2, FALSE)</f>
        <v>0.01</v>
      </c>
      <c r="Z703" s="1">
        <f t="shared" si="30"/>
        <v>538170</v>
      </c>
      <c r="AA703" s="1">
        <f t="shared" si="31"/>
        <v>1614510</v>
      </c>
      <c r="AB703" s="1">
        <f t="shared" si="32"/>
        <v>1076340</v>
      </c>
    </row>
    <row r="704" spans="1:28" x14ac:dyDescent="0.3">
      <c r="A704" s="1" t="s">
        <v>37</v>
      </c>
      <c r="B704" s="1" t="s">
        <v>62</v>
      </c>
      <c r="C704">
        <v>1</v>
      </c>
      <c r="D704">
        <v>3</v>
      </c>
      <c r="E704">
        <v>4821</v>
      </c>
      <c r="F704">
        <v>7144</v>
      </c>
      <c r="G704">
        <v>1</v>
      </c>
      <c r="H704">
        <v>1974</v>
      </c>
      <c r="I704">
        <v>2019</v>
      </c>
      <c r="J704" s="1" t="s">
        <v>58</v>
      </c>
      <c r="K704">
        <v>1</v>
      </c>
      <c r="L704" s="1" t="s">
        <v>64</v>
      </c>
      <c r="M704" s="1" t="s">
        <v>24</v>
      </c>
      <c r="N704" s="1" t="s">
        <v>25</v>
      </c>
      <c r="O704">
        <v>3</v>
      </c>
      <c r="P704">
        <v>1</v>
      </c>
      <c r="Q704" s="1" t="s">
        <v>97</v>
      </c>
      <c r="R704">
        <v>3</v>
      </c>
      <c r="S704" s="1" t="s">
        <v>24</v>
      </c>
      <c r="T704">
        <v>38923000</v>
      </c>
      <c r="U704" t="s">
        <v>183</v>
      </c>
      <c r="V704" s="1" t="s">
        <v>168</v>
      </c>
      <c r="W704" s="1" t="s">
        <v>169</v>
      </c>
      <c r="X704" s="1" t="str">
        <f>VLOOKUP(V704,Broker_Directory!A:C,3,FALSE)</f>
        <v>Tier A</v>
      </c>
      <c r="Y704" s="1">
        <f>HLOOKUP(X704, Commission_Rates!A$1:C$2, 2, FALSE)</f>
        <v>0.02</v>
      </c>
      <c r="Z704" s="1">
        <f t="shared" si="30"/>
        <v>0</v>
      </c>
      <c r="AA704" s="1">
        <f t="shared" si="31"/>
        <v>0</v>
      </c>
      <c r="AB704" s="1">
        <f t="shared" si="32"/>
        <v>0</v>
      </c>
    </row>
    <row r="705" spans="1:28" x14ac:dyDescent="0.3">
      <c r="A705" s="1" t="s">
        <v>33</v>
      </c>
      <c r="B705" s="1" t="s">
        <v>48</v>
      </c>
      <c r="C705">
        <v>3</v>
      </c>
      <c r="D705">
        <v>1</v>
      </c>
      <c r="E705">
        <v>1909</v>
      </c>
      <c r="F705">
        <v>5877</v>
      </c>
      <c r="G705">
        <v>1</v>
      </c>
      <c r="H705">
        <v>2006</v>
      </c>
      <c r="I705">
        <v>2007</v>
      </c>
      <c r="J705" s="1" t="s">
        <v>22</v>
      </c>
      <c r="K705">
        <v>1</v>
      </c>
      <c r="L705" s="1" t="s">
        <v>23</v>
      </c>
      <c r="M705" s="1" t="s">
        <v>24</v>
      </c>
      <c r="N705" s="1" t="s">
        <v>35</v>
      </c>
      <c r="O705">
        <v>7</v>
      </c>
      <c r="P705">
        <v>2</v>
      </c>
      <c r="Q705" s="1" t="s">
        <v>49</v>
      </c>
      <c r="R705">
        <v>3</v>
      </c>
      <c r="S705" s="1" t="s">
        <v>24</v>
      </c>
      <c r="T705">
        <v>16546500</v>
      </c>
      <c r="U705" t="s">
        <v>183</v>
      </c>
      <c r="V705" s="1" t="s">
        <v>171</v>
      </c>
      <c r="W705" s="1" t="s">
        <v>172</v>
      </c>
      <c r="X705" s="1" t="str">
        <f>VLOOKUP(V705,Broker_Directory!A:C,3,FALSE)</f>
        <v>Tier B</v>
      </c>
      <c r="Y705" s="1">
        <f>HLOOKUP(X705, Commission_Rates!A$1:C$2, 2, FALSE)</f>
        <v>1.4999999999999999E-2</v>
      </c>
      <c r="Z705" s="1">
        <f t="shared" si="30"/>
        <v>0</v>
      </c>
      <c r="AA705" s="1">
        <f t="shared" si="31"/>
        <v>0</v>
      </c>
      <c r="AB705" s="1">
        <f t="shared" si="32"/>
        <v>0</v>
      </c>
    </row>
    <row r="706" spans="1:28" x14ac:dyDescent="0.3">
      <c r="A706" s="1" t="s">
        <v>37</v>
      </c>
      <c r="B706" s="1" t="s">
        <v>62</v>
      </c>
      <c r="C706">
        <v>5</v>
      </c>
      <c r="D706">
        <v>4</v>
      </c>
      <c r="E706">
        <v>304</v>
      </c>
      <c r="F706">
        <v>4478</v>
      </c>
      <c r="G706">
        <v>2</v>
      </c>
      <c r="H706">
        <v>1984</v>
      </c>
      <c r="I706">
        <v>2014</v>
      </c>
      <c r="J706" s="1" t="s">
        <v>52</v>
      </c>
      <c r="K706">
        <v>2</v>
      </c>
      <c r="L706" s="1" t="s">
        <v>41</v>
      </c>
      <c r="M706" s="1" t="s">
        <v>27</v>
      </c>
      <c r="N706" s="1" t="s">
        <v>35</v>
      </c>
      <c r="O706">
        <v>4</v>
      </c>
      <c r="P706">
        <v>2</v>
      </c>
      <c r="Q706" s="1" t="s">
        <v>63</v>
      </c>
      <c r="R706">
        <v>2</v>
      </c>
      <c r="S706" s="1" t="s">
        <v>27</v>
      </c>
      <c r="T706">
        <v>2872000</v>
      </c>
      <c r="U706" t="s">
        <v>182</v>
      </c>
      <c r="V706" s="1" t="s">
        <v>179</v>
      </c>
      <c r="W706" s="1" t="s">
        <v>180</v>
      </c>
      <c r="X706" s="1" t="str">
        <f>VLOOKUP(V706,Broker_Directory!A:C,3,FALSE)</f>
        <v>Tier B</v>
      </c>
      <c r="Y706" s="1">
        <f>HLOOKUP(X706, Commission_Rates!A$1:C$2, 2, FALSE)</f>
        <v>1.4999999999999999E-2</v>
      </c>
      <c r="Z706" s="1">
        <f t="shared" ref="Z706:Z769" si="33">IF(U706="Sold",T706*Y706,0)</f>
        <v>0</v>
      </c>
      <c r="AA706" s="1">
        <f t="shared" ref="AA706:AA769" si="34">IF(U706="Sold", T706 * 0.03, 0)</f>
        <v>0</v>
      </c>
      <c r="AB706" s="1">
        <f t="shared" ref="AB706:AB769" si="35">AA706 - Z706</f>
        <v>0</v>
      </c>
    </row>
    <row r="707" spans="1:28" x14ac:dyDescent="0.3">
      <c r="A707" s="1" t="s">
        <v>33</v>
      </c>
      <c r="B707" s="1" t="s">
        <v>43</v>
      </c>
      <c r="C707">
        <v>3</v>
      </c>
      <c r="D707">
        <v>4</v>
      </c>
      <c r="E707">
        <v>1213</v>
      </c>
      <c r="F707">
        <v>4247</v>
      </c>
      <c r="G707">
        <v>2</v>
      </c>
      <c r="H707">
        <v>1950</v>
      </c>
      <c r="I707">
        <v>1989</v>
      </c>
      <c r="J707" s="1" t="s">
        <v>22</v>
      </c>
      <c r="K707">
        <v>3</v>
      </c>
      <c r="L707" s="1" t="s">
        <v>31</v>
      </c>
      <c r="M707" s="1" t="s">
        <v>24</v>
      </c>
      <c r="N707" s="1" t="s">
        <v>25</v>
      </c>
      <c r="O707">
        <v>6</v>
      </c>
      <c r="P707">
        <v>5</v>
      </c>
      <c r="Q707" s="1" t="s">
        <v>71</v>
      </c>
      <c r="R707">
        <v>0</v>
      </c>
      <c r="S707" s="1" t="s">
        <v>27</v>
      </c>
      <c r="T707">
        <v>10720500</v>
      </c>
      <c r="U707" t="s">
        <v>184</v>
      </c>
      <c r="V707" s="1" t="s">
        <v>179</v>
      </c>
      <c r="W707" s="1" t="s">
        <v>180</v>
      </c>
      <c r="X707" s="1" t="str">
        <f>VLOOKUP(V707,Broker_Directory!A:C,3,FALSE)</f>
        <v>Tier B</v>
      </c>
      <c r="Y707" s="1">
        <f>HLOOKUP(X707, Commission_Rates!A$1:C$2, 2, FALSE)</f>
        <v>1.4999999999999999E-2</v>
      </c>
      <c r="Z707" s="1">
        <f t="shared" si="33"/>
        <v>160807.5</v>
      </c>
      <c r="AA707" s="1">
        <f t="shared" si="34"/>
        <v>321615</v>
      </c>
      <c r="AB707" s="1">
        <f t="shared" si="35"/>
        <v>160807.5</v>
      </c>
    </row>
    <row r="708" spans="1:28" x14ac:dyDescent="0.3">
      <c r="A708" s="1" t="s">
        <v>53</v>
      </c>
      <c r="B708" s="1" t="s">
        <v>100</v>
      </c>
      <c r="C708">
        <v>2</v>
      </c>
      <c r="D708">
        <v>2</v>
      </c>
      <c r="E708">
        <v>1190</v>
      </c>
      <c r="F708">
        <v>5037</v>
      </c>
      <c r="G708">
        <v>1</v>
      </c>
      <c r="H708">
        <v>1989</v>
      </c>
      <c r="I708">
        <v>2020</v>
      </c>
      <c r="J708" s="1" t="s">
        <v>30</v>
      </c>
      <c r="K708">
        <v>2</v>
      </c>
      <c r="L708" s="1" t="s">
        <v>41</v>
      </c>
      <c r="M708" s="1" t="s">
        <v>24</v>
      </c>
      <c r="N708" s="1" t="s">
        <v>35</v>
      </c>
      <c r="O708">
        <v>4</v>
      </c>
      <c r="P708">
        <v>4</v>
      </c>
      <c r="Q708" s="1" t="s">
        <v>101</v>
      </c>
      <c r="R708">
        <v>1</v>
      </c>
      <c r="S708" s="1" t="s">
        <v>27</v>
      </c>
      <c r="T708">
        <v>10930000</v>
      </c>
      <c r="U708" t="s">
        <v>184</v>
      </c>
      <c r="V708" s="1" t="s">
        <v>168</v>
      </c>
      <c r="W708" s="1" t="s">
        <v>169</v>
      </c>
      <c r="X708" s="1" t="str">
        <f>VLOOKUP(V708,Broker_Directory!A:C,3,FALSE)</f>
        <v>Tier A</v>
      </c>
      <c r="Y708" s="1">
        <f>HLOOKUP(X708, Commission_Rates!A$1:C$2, 2, FALSE)</f>
        <v>0.02</v>
      </c>
      <c r="Z708" s="1">
        <f t="shared" si="33"/>
        <v>218600</v>
      </c>
      <c r="AA708" s="1">
        <f t="shared" si="34"/>
        <v>327900</v>
      </c>
      <c r="AB708" s="1">
        <f t="shared" si="35"/>
        <v>109300</v>
      </c>
    </row>
    <row r="709" spans="1:28" x14ac:dyDescent="0.3">
      <c r="A709" s="1" t="s">
        <v>28</v>
      </c>
      <c r="B709" s="1" t="s">
        <v>110</v>
      </c>
      <c r="C709">
        <v>4</v>
      </c>
      <c r="D709">
        <v>2</v>
      </c>
      <c r="E709">
        <v>1593</v>
      </c>
      <c r="F709">
        <v>4217</v>
      </c>
      <c r="G709">
        <v>2</v>
      </c>
      <c r="H709">
        <v>2016</v>
      </c>
      <c r="I709">
        <v>2022</v>
      </c>
      <c r="J709" s="1" t="s">
        <v>22</v>
      </c>
      <c r="K709">
        <v>2</v>
      </c>
      <c r="L709" s="1" t="s">
        <v>31</v>
      </c>
      <c r="M709" s="1" t="s">
        <v>27</v>
      </c>
      <c r="N709" s="1" t="s">
        <v>46</v>
      </c>
      <c r="O709">
        <v>4</v>
      </c>
      <c r="P709">
        <v>2</v>
      </c>
      <c r="Q709" s="1" t="s">
        <v>117</v>
      </c>
      <c r="R709">
        <v>2</v>
      </c>
      <c r="S709" s="1" t="s">
        <v>27</v>
      </c>
      <c r="T709">
        <v>16260000</v>
      </c>
      <c r="U709" t="s">
        <v>183</v>
      </c>
      <c r="V709" s="1" t="s">
        <v>168</v>
      </c>
      <c r="W709" s="1" t="s">
        <v>169</v>
      </c>
      <c r="X709" s="1" t="str">
        <f>VLOOKUP(V709,Broker_Directory!A:C,3,FALSE)</f>
        <v>Tier A</v>
      </c>
      <c r="Y709" s="1">
        <f>HLOOKUP(X709, Commission_Rates!A$1:C$2, 2, FALSE)</f>
        <v>0.02</v>
      </c>
      <c r="Z709" s="1">
        <f t="shared" si="33"/>
        <v>0</v>
      </c>
      <c r="AA709" s="1">
        <f t="shared" si="34"/>
        <v>0</v>
      </c>
      <c r="AB709" s="1">
        <f t="shared" si="35"/>
        <v>0</v>
      </c>
    </row>
    <row r="710" spans="1:28" x14ac:dyDescent="0.3">
      <c r="A710" s="1" t="s">
        <v>53</v>
      </c>
      <c r="B710" s="1" t="s">
        <v>89</v>
      </c>
      <c r="C710">
        <v>4</v>
      </c>
      <c r="D710">
        <v>3</v>
      </c>
      <c r="E710">
        <v>3784</v>
      </c>
      <c r="F710">
        <v>8448</v>
      </c>
      <c r="G710">
        <v>2</v>
      </c>
      <c r="H710">
        <v>2003</v>
      </c>
      <c r="I710">
        <v>0</v>
      </c>
      <c r="J710" s="1" t="s">
        <v>22</v>
      </c>
      <c r="K710">
        <v>0</v>
      </c>
      <c r="L710" s="1" t="s">
        <v>41</v>
      </c>
      <c r="M710" s="1" t="s">
        <v>27</v>
      </c>
      <c r="N710" s="1" t="s">
        <v>35</v>
      </c>
      <c r="O710">
        <v>2</v>
      </c>
      <c r="P710">
        <v>3</v>
      </c>
      <c r="Q710" s="1" t="s">
        <v>90</v>
      </c>
      <c r="R710">
        <v>0</v>
      </c>
      <c r="S710" s="1" t="s">
        <v>24</v>
      </c>
      <c r="T710">
        <v>34436000</v>
      </c>
      <c r="U710" t="s">
        <v>183</v>
      </c>
      <c r="V710" s="1" t="s">
        <v>171</v>
      </c>
      <c r="W710" s="1" t="s">
        <v>172</v>
      </c>
      <c r="X710" s="1" t="str">
        <f>VLOOKUP(V710,Broker_Directory!A:C,3,FALSE)</f>
        <v>Tier B</v>
      </c>
      <c r="Y710" s="1">
        <f>HLOOKUP(X710, Commission_Rates!A$1:C$2, 2, FALSE)</f>
        <v>1.4999999999999999E-2</v>
      </c>
      <c r="Z710" s="1">
        <f t="shared" si="33"/>
        <v>0</v>
      </c>
      <c r="AA710" s="1">
        <f t="shared" si="34"/>
        <v>0</v>
      </c>
      <c r="AB710" s="1">
        <f t="shared" si="35"/>
        <v>0</v>
      </c>
    </row>
    <row r="711" spans="1:28" x14ac:dyDescent="0.3">
      <c r="A711" s="1" t="s">
        <v>28</v>
      </c>
      <c r="B711" s="1" t="s">
        <v>79</v>
      </c>
      <c r="C711">
        <v>3</v>
      </c>
      <c r="D711">
        <v>3</v>
      </c>
      <c r="E711">
        <v>493</v>
      </c>
      <c r="F711">
        <v>5816</v>
      </c>
      <c r="G711">
        <v>2</v>
      </c>
      <c r="H711">
        <v>1998</v>
      </c>
      <c r="I711">
        <v>2007</v>
      </c>
      <c r="J711" s="1" t="s">
        <v>52</v>
      </c>
      <c r="K711">
        <v>1</v>
      </c>
      <c r="L711" s="1" t="s">
        <v>41</v>
      </c>
      <c r="M711" s="1" t="s">
        <v>27</v>
      </c>
      <c r="N711" s="1" t="s">
        <v>25</v>
      </c>
      <c r="O711">
        <v>1</v>
      </c>
      <c r="P711">
        <v>1</v>
      </c>
      <c r="Q711" s="1" t="s">
        <v>139</v>
      </c>
      <c r="R711">
        <v>2</v>
      </c>
      <c r="S711" s="1" t="s">
        <v>27</v>
      </c>
      <c r="T711">
        <v>5315000</v>
      </c>
      <c r="U711" t="s">
        <v>183</v>
      </c>
      <c r="V711" s="1" t="s">
        <v>171</v>
      </c>
      <c r="W711" s="1" t="s">
        <v>172</v>
      </c>
      <c r="X711" s="1" t="str">
        <f>VLOOKUP(V711,Broker_Directory!A:C,3,FALSE)</f>
        <v>Tier B</v>
      </c>
      <c r="Y711" s="1">
        <f>HLOOKUP(X711, Commission_Rates!A$1:C$2, 2, FALSE)</f>
        <v>1.4999999999999999E-2</v>
      </c>
      <c r="Z711" s="1">
        <f t="shared" si="33"/>
        <v>0</v>
      </c>
      <c r="AA711" s="1">
        <f t="shared" si="34"/>
        <v>0</v>
      </c>
      <c r="AB711" s="1">
        <f t="shared" si="35"/>
        <v>0</v>
      </c>
    </row>
    <row r="712" spans="1:28" x14ac:dyDescent="0.3">
      <c r="A712" s="1" t="s">
        <v>33</v>
      </c>
      <c r="B712" s="1" t="s">
        <v>98</v>
      </c>
      <c r="C712">
        <v>1</v>
      </c>
      <c r="D712">
        <v>4</v>
      </c>
      <c r="E712">
        <v>4289</v>
      </c>
      <c r="F712">
        <v>6385</v>
      </c>
      <c r="G712">
        <v>2</v>
      </c>
      <c r="H712">
        <v>2025</v>
      </c>
      <c r="I712">
        <v>2025</v>
      </c>
      <c r="J712" s="1" t="s">
        <v>58</v>
      </c>
      <c r="K712">
        <v>0</v>
      </c>
      <c r="L712" s="1" t="s">
        <v>23</v>
      </c>
      <c r="M712" s="1" t="s">
        <v>27</v>
      </c>
      <c r="N712" s="1" t="s">
        <v>46</v>
      </c>
      <c r="O712">
        <v>8</v>
      </c>
      <c r="P712">
        <v>2</v>
      </c>
      <c r="Q712" s="1" t="s">
        <v>99</v>
      </c>
      <c r="R712">
        <v>2</v>
      </c>
      <c r="S712" s="1" t="s">
        <v>24</v>
      </c>
      <c r="T712">
        <v>36746500</v>
      </c>
      <c r="U712" t="s">
        <v>183</v>
      </c>
      <c r="V712" s="1" t="s">
        <v>171</v>
      </c>
      <c r="W712" s="1" t="s">
        <v>172</v>
      </c>
      <c r="X712" s="1" t="str">
        <f>VLOOKUP(V712,Broker_Directory!A:C,3,FALSE)</f>
        <v>Tier B</v>
      </c>
      <c r="Y712" s="1">
        <f>HLOOKUP(X712, Commission_Rates!A$1:C$2, 2, FALSE)</f>
        <v>1.4999999999999999E-2</v>
      </c>
      <c r="Z712" s="1">
        <f t="shared" si="33"/>
        <v>0</v>
      </c>
      <c r="AA712" s="1">
        <f t="shared" si="34"/>
        <v>0</v>
      </c>
      <c r="AB712" s="1">
        <f t="shared" si="35"/>
        <v>0</v>
      </c>
    </row>
    <row r="713" spans="1:28" x14ac:dyDescent="0.3">
      <c r="A713" s="1" t="s">
        <v>37</v>
      </c>
      <c r="B713" s="1" t="s">
        <v>62</v>
      </c>
      <c r="C713">
        <v>1</v>
      </c>
      <c r="D713">
        <v>3</v>
      </c>
      <c r="E713">
        <v>3689</v>
      </c>
      <c r="F713">
        <v>4982</v>
      </c>
      <c r="G713">
        <v>1</v>
      </c>
      <c r="H713">
        <v>2025</v>
      </c>
      <c r="I713">
        <v>2025</v>
      </c>
      <c r="J713" s="1" t="s">
        <v>52</v>
      </c>
      <c r="K713">
        <v>0</v>
      </c>
      <c r="L713" s="1" t="s">
        <v>41</v>
      </c>
      <c r="M713" s="1" t="s">
        <v>24</v>
      </c>
      <c r="N713" s="1" t="s">
        <v>46</v>
      </c>
      <c r="O713">
        <v>9</v>
      </c>
      <c r="P713">
        <v>4</v>
      </c>
      <c r="Q713" s="1" t="s">
        <v>159</v>
      </c>
      <c r="R713">
        <v>2</v>
      </c>
      <c r="S713" s="1" t="s">
        <v>24</v>
      </c>
      <c r="T713">
        <v>29777000</v>
      </c>
      <c r="U713" t="s">
        <v>183</v>
      </c>
      <c r="V713" s="1" t="s">
        <v>179</v>
      </c>
      <c r="W713" s="1" t="s">
        <v>180</v>
      </c>
      <c r="X713" s="1" t="str">
        <f>VLOOKUP(V713,Broker_Directory!A:C,3,FALSE)</f>
        <v>Tier B</v>
      </c>
      <c r="Y713" s="1">
        <f>HLOOKUP(X713, Commission_Rates!A$1:C$2, 2, FALSE)</f>
        <v>1.4999999999999999E-2</v>
      </c>
      <c r="Z713" s="1">
        <f t="shared" si="33"/>
        <v>0</v>
      </c>
      <c r="AA713" s="1">
        <f t="shared" si="34"/>
        <v>0</v>
      </c>
      <c r="AB713" s="1">
        <f t="shared" si="35"/>
        <v>0</v>
      </c>
    </row>
    <row r="714" spans="1:28" x14ac:dyDescent="0.3">
      <c r="A714" s="1" t="s">
        <v>28</v>
      </c>
      <c r="B714" s="1" t="s">
        <v>60</v>
      </c>
      <c r="C714">
        <v>3</v>
      </c>
      <c r="D714">
        <v>3</v>
      </c>
      <c r="E714">
        <v>3952</v>
      </c>
      <c r="F714">
        <v>5761</v>
      </c>
      <c r="G714">
        <v>1</v>
      </c>
      <c r="H714">
        <v>1991</v>
      </c>
      <c r="I714">
        <v>2019</v>
      </c>
      <c r="J714" s="1" t="s">
        <v>52</v>
      </c>
      <c r="K714">
        <v>3</v>
      </c>
      <c r="L714" s="1" t="s">
        <v>64</v>
      </c>
      <c r="M714" s="1" t="s">
        <v>27</v>
      </c>
      <c r="N714" s="1" t="s">
        <v>25</v>
      </c>
      <c r="O714">
        <v>10</v>
      </c>
      <c r="P714">
        <v>5</v>
      </c>
      <c r="Q714" s="1" t="s">
        <v>61</v>
      </c>
      <c r="R714">
        <v>2</v>
      </c>
      <c r="S714" s="1" t="s">
        <v>24</v>
      </c>
      <c r="T714">
        <v>39935000</v>
      </c>
      <c r="U714" t="s">
        <v>184</v>
      </c>
      <c r="V714" s="1" t="s">
        <v>174</v>
      </c>
      <c r="W714" s="1" t="s">
        <v>175</v>
      </c>
      <c r="X714" s="1" t="str">
        <f>VLOOKUP(V714,Broker_Directory!A:C,3,FALSE)</f>
        <v>Tier A</v>
      </c>
      <c r="Y714" s="1">
        <f>HLOOKUP(X714, Commission_Rates!A$1:C$2, 2, FALSE)</f>
        <v>0.02</v>
      </c>
      <c r="Z714" s="1">
        <f t="shared" si="33"/>
        <v>798700</v>
      </c>
      <c r="AA714" s="1">
        <f t="shared" si="34"/>
        <v>1198050</v>
      </c>
      <c r="AB714" s="1">
        <f t="shared" si="35"/>
        <v>399350</v>
      </c>
    </row>
    <row r="715" spans="1:28" x14ac:dyDescent="0.3">
      <c r="A715" s="1" t="s">
        <v>28</v>
      </c>
      <c r="B715" s="1" t="s">
        <v>60</v>
      </c>
      <c r="C715">
        <v>4</v>
      </c>
      <c r="D715">
        <v>4</v>
      </c>
      <c r="E715">
        <v>3546</v>
      </c>
      <c r="F715">
        <v>7580</v>
      </c>
      <c r="G715">
        <v>1</v>
      </c>
      <c r="H715">
        <v>2017</v>
      </c>
      <c r="I715">
        <v>0</v>
      </c>
      <c r="J715" s="1" t="s">
        <v>30</v>
      </c>
      <c r="K715">
        <v>0</v>
      </c>
      <c r="L715" s="1" t="s">
        <v>41</v>
      </c>
      <c r="M715" s="1" t="s">
        <v>24</v>
      </c>
      <c r="N715" s="1" t="s">
        <v>35</v>
      </c>
      <c r="O715">
        <v>5</v>
      </c>
      <c r="P715">
        <v>4</v>
      </c>
      <c r="Q715" s="1" t="s">
        <v>136</v>
      </c>
      <c r="R715">
        <v>2</v>
      </c>
      <c r="S715" s="1" t="s">
        <v>27</v>
      </c>
      <c r="T715">
        <v>35855000</v>
      </c>
      <c r="U715" t="s">
        <v>182</v>
      </c>
      <c r="V715" s="1" t="s">
        <v>174</v>
      </c>
      <c r="W715" s="1" t="s">
        <v>175</v>
      </c>
      <c r="X715" s="1" t="str">
        <f>VLOOKUP(V715,Broker_Directory!A:C,3,FALSE)</f>
        <v>Tier A</v>
      </c>
      <c r="Y715" s="1">
        <f>HLOOKUP(X715, Commission_Rates!A$1:C$2, 2, FALSE)</f>
        <v>0.02</v>
      </c>
      <c r="Z715" s="1">
        <f t="shared" si="33"/>
        <v>0</v>
      </c>
      <c r="AA715" s="1">
        <f t="shared" si="34"/>
        <v>0</v>
      </c>
      <c r="AB715" s="1">
        <f t="shared" si="35"/>
        <v>0</v>
      </c>
    </row>
    <row r="716" spans="1:28" x14ac:dyDescent="0.3">
      <c r="A716" s="1" t="s">
        <v>20</v>
      </c>
      <c r="B716" s="1" t="s">
        <v>21</v>
      </c>
      <c r="C716">
        <v>5</v>
      </c>
      <c r="D716">
        <v>1</v>
      </c>
      <c r="E716">
        <v>4873</v>
      </c>
      <c r="F716">
        <v>5843</v>
      </c>
      <c r="G716">
        <v>3</v>
      </c>
      <c r="H716">
        <v>1970</v>
      </c>
      <c r="I716">
        <v>2020</v>
      </c>
      <c r="J716" s="1" t="s">
        <v>58</v>
      </c>
      <c r="K716">
        <v>3</v>
      </c>
      <c r="L716" s="1" t="s">
        <v>31</v>
      </c>
      <c r="M716" s="1" t="s">
        <v>24</v>
      </c>
      <c r="N716" s="1" t="s">
        <v>35</v>
      </c>
      <c r="O716">
        <v>6</v>
      </c>
      <c r="P716">
        <v>2</v>
      </c>
      <c r="Q716" s="1" t="s">
        <v>102</v>
      </c>
      <c r="R716">
        <v>3</v>
      </c>
      <c r="S716" s="1" t="s">
        <v>24</v>
      </c>
      <c r="T716">
        <v>58936000</v>
      </c>
      <c r="U716" t="s">
        <v>182</v>
      </c>
      <c r="V716" s="1" t="s">
        <v>179</v>
      </c>
      <c r="W716" s="1" t="s">
        <v>180</v>
      </c>
      <c r="X716" s="1" t="str">
        <f>VLOOKUP(V716,Broker_Directory!A:C,3,FALSE)</f>
        <v>Tier B</v>
      </c>
      <c r="Y716" s="1">
        <f>HLOOKUP(X716, Commission_Rates!A$1:C$2, 2, FALSE)</f>
        <v>1.4999999999999999E-2</v>
      </c>
      <c r="Z716" s="1">
        <f t="shared" si="33"/>
        <v>0</v>
      </c>
      <c r="AA716" s="1">
        <f t="shared" si="34"/>
        <v>0</v>
      </c>
      <c r="AB716" s="1">
        <f t="shared" si="35"/>
        <v>0</v>
      </c>
    </row>
    <row r="717" spans="1:28" x14ac:dyDescent="0.3">
      <c r="A717" s="1" t="s">
        <v>53</v>
      </c>
      <c r="B717" s="1" t="s">
        <v>105</v>
      </c>
      <c r="C717">
        <v>2</v>
      </c>
      <c r="D717">
        <v>3</v>
      </c>
      <c r="E717">
        <v>4019</v>
      </c>
      <c r="F717">
        <v>8392</v>
      </c>
      <c r="G717">
        <v>3</v>
      </c>
      <c r="H717">
        <v>2005</v>
      </c>
      <c r="I717">
        <v>0</v>
      </c>
      <c r="J717" s="1" t="s">
        <v>22</v>
      </c>
      <c r="K717">
        <v>2</v>
      </c>
      <c r="L717" s="1" t="s">
        <v>23</v>
      </c>
      <c r="M717" s="1" t="s">
        <v>27</v>
      </c>
      <c r="N717" s="1" t="s">
        <v>25</v>
      </c>
      <c r="O717">
        <v>0</v>
      </c>
      <c r="P717">
        <v>1</v>
      </c>
      <c r="Q717" s="1" t="s">
        <v>160</v>
      </c>
      <c r="R717">
        <v>3</v>
      </c>
      <c r="S717" s="1" t="s">
        <v>24</v>
      </c>
      <c r="T717">
        <v>36591000</v>
      </c>
      <c r="U717" t="s">
        <v>184</v>
      </c>
      <c r="V717" s="1" t="s">
        <v>171</v>
      </c>
      <c r="W717" s="1" t="s">
        <v>172</v>
      </c>
      <c r="X717" s="1" t="str">
        <f>VLOOKUP(V717,Broker_Directory!A:C,3,FALSE)</f>
        <v>Tier B</v>
      </c>
      <c r="Y717" s="1">
        <f>HLOOKUP(X717, Commission_Rates!A$1:C$2, 2, FALSE)</f>
        <v>1.4999999999999999E-2</v>
      </c>
      <c r="Z717" s="1">
        <f t="shared" si="33"/>
        <v>548865</v>
      </c>
      <c r="AA717" s="1">
        <f t="shared" si="34"/>
        <v>1097730</v>
      </c>
      <c r="AB717" s="1">
        <f t="shared" si="35"/>
        <v>548865</v>
      </c>
    </row>
    <row r="718" spans="1:28" x14ac:dyDescent="0.3">
      <c r="A718" s="1" t="s">
        <v>53</v>
      </c>
      <c r="B718" s="1" t="s">
        <v>66</v>
      </c>
      <c r="C718">
        <v>5</v>
      </c>
      <c r="D718">
        <v>3</v>
      </c>
      <c r="E718">
        <v>4661</v>
      </c>
      <c r="F718">
        <v>8460</v>
      </c>
      <c r="G718">
        <v>3</v>
      </c>
      <c r="H718">
        <v>1975</v>
      </c>
      <c r="I718">
        <v>2023</v>
      </c>
      <c r="J718" s="1" t="s">
        <v>30</v>
      </c>
      <c r="K718">
        <v>1</v>
      </c>
      <c r="L718" s="1" t="s">
        <v>31</v>
      </c>
      <c r="M718" s="1" t="s">
        <v>24</v>
      </c>
      <c r="N718" s="1" t="s">
        <v>25</v>
      </c>
      <c r="O718">
        <v>4</v>
      </c>
      <c r="P718">
        <v>1</v>
      </c>
      <c r="Q718" s="1" t="s">
        <v>142</v>
      </c>
      <c r="R718">
        <v>0</v>
      </c>
      <c r="S718" s="1" t="s">
        <v>24</v>
      </c>
      <c r="T718">
        <v>42499000</v>
      </c>
      <c r="U718" t="s">
        <v>184</v>
      </c>
      <c r="V718" s="1" t="s">
        <v>176</v>
      </c>
      <c r="W718" s="1" t="s">
        <v>177</v>
      </c>
      <c r="X718" s="1" t="str">
        <f>VLOOKUP(V718,Broker_Directory!A:C,3,FALSE)</f>
        <v>Tier C</v>
      </c>
      <c r="Y718" s="1">
        <f>HLOOKUP(X718, Commission_Rates!A$1:C$2, 2, FALSE)</f>
        <v>0.01</v>
      </c>
      <c r="Z718" s="1">
        <f t="shared" si="33"/>
        <v>424990</v>
      </c>
      <c r="AA718" s="1">
        <f t="shared" si="34"/>
        <v>1274970</v>
      </c>
      <c r="AB718" s="1">
        <f t="shared" si="35"/>
        <v>849980</v>
      </c>
    </row>
    <row r="719" spans="1:28" x14ac:dyDescent="0.3">
      <c r="A719" s="1" t="s">
        <v>28</v>
      </c>
      <c r="B719" s="1" t="s">
        <v>95</v>
      </c>
      <c r="C719">
        <v>3</v>
      </c>
      <c r="D719">
        <v>1</v>
      </c>
      <c r="E719">
        <v>2982</v>
      </c>
      <c r="F719">
        <v>5615</v>
      </c>
      <c r="G719">
        <v>1</v>
      </c>
      <c r="H719">
        <v>1976</v>
      </c>
      <c r="I719">
        <v>1987</v>
      </c>
      <c r="J719" s="1" t="s">
        <v>30</v>
      </c>
      <c r="K719">
        <v>1</v>
      </c>
      <c r="L719" s="1" t="s">
        <v>41</v>
      </c>
      <c r="M719" s="1" t="s">
        <v>27</v>
      </c>
      <c r="N719" s="1" t="s">
        <v>25</v>
      </c>
      <c r="O719">
        <v>3</v>
      </c>
      <c r="P719">
        <v>2</v>
      </c>
      <c r="Q719" s="1" t="s">
        <v>126</v>
      </c>
      <c r="R719">
        <v>1</v>
      </c>
      <c r="S719" s="1" t="s">
        <v>27</v>
      </c>
      <c r="T719">
        <v>30110000</v>
      </c>
      <c r="U719" t="s">
        <v>184</v>
      </c>
      <c r="V719" s="1" t="s">
        <v>174</v>
      </c>
      <c r="W719" s="1" t="s">
        <v>175</v>
      </c>
      <c r="X719" s="1" t="str">
        <f>VLOOKUP(V719,Broker_Directory!A:C,3,FALSE)</f>
        <v>Tier A</v>
      </c>
      <c r="Y719" s="1">
        <f>HLOOKUP(X719, Commission_Rates!A$1:C$2, 2, FALSE)</f>
        <v>0.02</v>
      </c>
      <c r="Z719" s="1">
        <f t="shared" si="33"/>
        <v>602200</v>
      </c>
      <c r="AA719" s="1">
        <f t="shared" si="34"/>
        <v>903300</v>
      </c>
      <c r="AB719" s="1">
        <f t="shared" si="35"/>
        <v>301100</v>
      </c>
    </row>
    <row r="720" spans="1:28" x14ac:dyDescent="0.3">
      <c r="A720" s="1" t="s">
        <v>20</v>
      </c>
      <c r="B720" s="1" t="s">
        <v>50</v>
      </c>
      <c r="C720">
        <v>1</v>
      </c>
      <c r="D720">
        <v>4</v>
      </c>
      <c r="E720">
        <v>2008</v>
      </c>
      <c r="F720">
        <v>5174</v>
      </c>
      <c r="G720">
        <v>1</v>
      </c>
      <c r="H720">
        <v>2007</v>
      </c>
      <c r="I720">
        <v>2020</v>
      </c>
      <c r="J720" s="1" t="s">
        <v>22</v>
      </c>
      <c r="K720">
        <v>1</v>
      </c>
      <c r="L720" s="1" t="s">
        <v>31</v>
      </c>
      <c r="M720" s="1" t="s">
        <v>27</v>
      </c>
      <c r="N720" s="1" t="s">
        <v>35</v>
      </c>
      <c r="O720">
        <v>1</v>
      </c>
      <c r="P720">
        <v>0</v>
      </c>
      <c r="Q720" s="1" t="s">
        <v>112</v>
      </c>
      <c r="R720">
        <v>0</v>
      </c>
      <c r="S720" s="1" t="s">
        <v>24</v>
      </c>
      <c r="T720">
        <v>24336000</v>
      </c>
      <c r="U720" t="s">
        <v>184</v>
      </c>
      <c r="V720" s="1" t="s">
        <v>168</v>
      </c>
      <c r="W720" s="1" t="s">
        <v>169</v>
      </c>
      <c r="X720" s="1" t="str">
        <f>VLOOKUP(V720,Broker_Directory!A:C,3,FALSE)</f>
        <v>Tier A</v>
      </c>
      <c r="Y720" s="1">
        <f>HLOOKUP(X720, Commission_Rates!A$1:C$2, 2, FALSE)</f>
        <v>0.02</v>
      </c>
      <c r="Z720" s="1">
        <f t="shared" si="33"/>
        <v>486720</v>
      </c>
      <c r="AA720" s="1">
        <f t="shared" si="34"/>
        <v>730080</v>
      </c>
      <c r="AB720" s="1">
        <f t="shared" si="35"/>
        <v>243360</v>
      </c>
    </row>
    <row r="721" spans="1:28" x14ac:dyDescent="0.3">
      <c r="A721" s="1" t="s">
        <v>28</v>
      </c>
      <c r="B721" s="1" t="s">
        <v>60</v>
      </c>
      <c r="C721">
        <v>4</v>
      </c>
      <c r="D721">
        <v>3</v>
      </c>
      <c r="E721">
        <v>2895</v>
      </c>
      <c r="F721">
        <v>6345</v>
      </c>
      <c r="G721">
        <v>1</v>
      </c>
      <c r="H721">
        <v>1976</v>
      </c>
      <c r="I721">
        <v>1980</v>
      </c>
      <c r="J721" s="1" t="s">
        <v>30</v>
      </c>
      <c r="K721">
        <v>3</v>
      </c>
      <c r="L721" s="1" t="s">
        <v>64</v>
      </c>
      <c r="M721" s="1" t="s">
        <v>24</v>
      </c>
      <c r="N721" s="1" t="s">
        <v>46</v>
      </c>
      <c r="O721">
        <v>0</v>
      </c>
      <c r="P721">
        <v>0</v>
      </c>
      <c r="Q721" s="1" t="s">
        <v>136</v>
      </c>
      <c r="R721">
        <v>3</v>
      </c>
      <c r="S721" s="1" t="s">
        <v>27</v>
      </c>
      <c r="T721">
        <v>29330000</v>
      </c>
      <c r="U721" t="s">
        <v>183</v>
      </c>
      <c r="V721" s="1" t="s">
        <v>174</v>
      </c>
      <c r="W721" s="1" t="s">
        <v>175</v>
      </c>
      <c r="X721" s="1" t="str">
        <f>VLOOKUP(V721,Broker_Directory!A:C,3,FALSE)</f>
        <v>Tier A</v>
      </c>
      <c r="Y721" s="1">
        <f>HLOOKUP(X721, Commission_Rates!A$1:C$2, 2, FALSE)</f>
        <v>0.02</v>
      </c>
      <c r="Z721" s="1">
        <f t="shared" si="33"/>
        <v>0</v>
      </c>
      <c r="AA721" s="1">
        <f t="shared" si="34"/>
        <v>0</v>
      </c>
      <c r="AB721" s="1">
        <f t="shared" si="35"/>
        <v>0</v>
      </c>
    </row>
    <row r="722" spans="1:28" x14ac:dyDescent="0.3">
      <c r="A722" s="1" t="s">
        <v>20</v>
      </c>
      <c r="B722" s="1" t="s">
        <v>69</v>
      </c>
      <c r="C722">
        <v>3</v>
      </c>
      <c r="D722">
        <v>3</v>
      </c>
      <c r="E722">
        <v>834</v>
      </c>
      <c r="F722">
        <v>7997</v>
      </c>
      <c r="G722">
        <v>3</v>
      </c>
      <c r="H722">
        <v>1988</v>
      </c>
      <c r="I722">
        <v>2001</v>
      </c>
      <c r="J722" s="1" t="s">
        <v>58</v>
      </c>
      <c r="K722">
        <v>3</v>
      </c>
      <c r="L722" s="1" t="s">
        <v>41</v>
      </c>
      <c r="M722" s="1" t="s">
        <v>24</v>
      </c>
      <c r="N722" s="1" t="s">
        <v>46</v>
      </c>
      <c r="O722">
        <v>10</v>
      </c>
      <c r="P722">
        <v>2</v>
      </c>
      <c r="Q722" s="1" t="s">
        <v>74</v>
      </c>
      <c r="R722">
        <v>1</v>
      </c>
      <c r="S722" s="1" t="s">
        <v>24</v>
      </c>
      <c r="T722">
        <v>10398000</v>
      </c>
      <c r="U722" t="s">
        <v>184</v>
      </c>
      <c r="V722" s="1" t="s">
        <v>168</v>
      </c>
      <c r="W722" s="1" t="s">
        <v>169</v>
      </c>
      <c r="X722" s="1" t="str">
        <f>VLOOKUP(V722,Broker_Directory!A:C,3,FALSE)</f>
        <v>Tier A</v>
      </c>
      <c r="Y722" s="1">
        <f>HLOOKUP(X722, Commission_Rates!A$1:C$2, 2, FALSE)</f>
        <v>0.02</v>
      </c>
      <c r="Z722" s="1">
        <f t="shared" si="33"/>
        <v>207960</v>
      </c>
      <c r="AA722" s="1">
        <f t="shared" si="34"/>
        <v>311940</v>
      </c>
      <c r="AB722" s="1">
        <f t="shared" si="35"/>
        <v>103980</v>
      </c>
    </row>
    <row r="723" spans="1:28" x14ac:dyDescent="0.3">
      <c r="A723" s="1" t="s">
        <v>28</v>
      </c>
      <c r="B723" s="1" t="s">
        <v>95</v>
      </c>
      <c r="C723">
        <v>1</v>
      </c>
      <c r="D723">
        <v>2</v>
      </c>
      <c r="E723">
        <v>4548</v>
      </c>
      <c r="F723">
        <v>5873</v>
      </c>
      <c r="G723">
        <v>1</v>
      </c>
      <c r="H723">
        <v>2010</v>
      </c>
      <c r="I723">
        <v>2010</v>
      </c>
      <c r="J723" s="1" t="s">
        <v>58</v>
      </c>
      <c r="K723">
        <v>1</v>
      </c>
      <c r="L723" s="1" t="s">
        <v>64</v>
      </c>
      <c r="M723" s="1" t="s">
        <v>27</v>
      </c>
      <c r="N723" s="1" t="s">
        <v>35</v>
      </c>
      <c r="O723">
        <v>6</v>
      </c>
      <c r="P723">
        <v>1</v>
      </c>
      <c r="Q723" s="1" t="s">
        <v>146</v>
      </c>
      <c r="R723">
        <v>1</v>
      </c>
      <c r="S723" s="1" t="s">
        <v>24</v>
      </c>
      <c r="T723">
        <v>45675000</v>
      </c>
      <c r="U723" t="s">
        <v>183</v>
      </c>
      <c r="V723" s="1" t="s">
        <v>179</v>
      </c>
      <c r="W723" s="1" t="s">
        <v>180</v>
      </c>
      <c r="X723" s="1" t="str">
        <f>VLOOKUP(V723,Broker_Directory!A:C,3,FALSE)</f>
        <v>Tier B</v>
      </c>
      <c r="Y723" s="1">
        <f>HLOOKUP(X723, Commission_Rates!A$1:C$2, 2, FALSE)</f>
        <v>1.4999999999999999E-2</v>
      </c>
      <c r="Z723" s="1">
        <f t="shared" si="33"/>
        <v>0</v>
      </c>
      <c r="AA723" s="1">
        <f t="shared" si="34"/>
        <v>0</v>
      </c>
      <c r="AB723" s="1">
        <f t="shared" si="35"/>
        <v>0</v>
      </c>
    </row>
    <row r="724" spans="1:28" x14ac:dyDescent="0.3">
      <c r="A724" s="1" t="s">
        <v>33</v>
      </c>
      <c r="B724" s="1" t="s">
        <v>75</v>
      </c>
      <c r="C724">
        <v>2</v>
      </c>
      <c r="D724">
        <v>3</v>
      </c>
      <c r="E724">
        <v>1196</v>
      </c>
      <c r="F724">
        <v>3906</v>
      </c>
      <c r="G724">
        <v>1</v>
      </c>
      <c r="H724">
        <v>2013</v>
      </c>
      <c r="I724">
        <v>2015</v>
      </c>
      <c r="J724" s="1" t="s">
        <v>30</v>
      </c>
      <c r="K724">
        <v>3</v>
      </c>
      <c r="L724" s="1" t="s">
        <v>64</v>
      </c>
      <c r="M724" s="1" t="s">
        <v>27</v>
      </c>
      <c r="N724" s="1" t="s">
        <v>35</v>
      </c>
      <c r="O724">
        <v>5</v>
      </c>
      <c r="P724">
        <v>0</v>
      </c>
      <c r="Q724" s="1" t="s">
        <v>76</v>
      </c>
      <c r="R724">
        <v>2</v>
      </c>
      <c r="S724" s="1" t="s">
        <v>24</v>
      </c>
      <c r="T724">
        <v>10456000</v>
      </c>
      <c r="U724" t="s">
        <v>182</v>
      </c>
      <c r="V724" s="1" t="s">
        <v>179</v>
      </c>
      <c r="W724" s="1" t="s">
        <v>180</v>
      </c>
      <c r="X724" s="1" t="str">
        <f>VLOOKUP(V724,Broker_Directory!A:C,3,FALSE)</f>
        <v>Tier B</v>
      </c>
      <c r="Y724" s="1">
        <f>HLOOKUP(X724, Commission_Rates!A$1:C$2, 2, FALSE)</f>
        <v>1.4999999999999999E-2</v>
      </c>
      <c r="Z724" s="1">
        <f t="shared" si="33"/>
        <v>0</v>
      </c>
      <c r="AA724" s="1">
        <f t="shared" si="34"/>
        <v>0</v>
      </c>
      <c r="AB724" s="1">
        <f t="shared" si="35"/>
        <v>0</v>
      </c>
    </row>
    <row r="725" spans="1:28" x14ac:dyDescent="0.3">
      <c r="A725" s="1" t="s">
        <v>37</v>
      </c>
      <c r="B725" s="1" t="s">
        <v>87</v>
      </c>
      <c r="C725">
        <v>2</v>
      </c>
      <c r="D725">
        <v>4</v>
      </c>
      <c r="E725">
        <v>680</v>
      </c>
      <c r="F725">
        <v>9568</v>
      </c>
      <c r="G725">
        <v>2</v>
      </c>
      <c r="H725">
        <v>2017</v>
      </c>
      <c r="I725">
        <v>2018</v>
      </c>
      <c r="J725" s="1" t="s">
        <v>52</v>
      </c>
      <c r="K725">
        <v>0</v>
      </c>
      <c r="L725" s="1" t="s">
        <v>23</v>
      </c>
      <c r="M725" s="1" t="s">
        <v>27</v>
      </c>
      <c r="N725" s="1" t="s">
        <v>25</v>
      </c>
      <c r="O725">
        <v>1</v>
      </c>
      <c r="P725">
        <v>3</v>
      </c>
      <c r="Q725" s="1" t="s">
        <v>141</v>
      </c>
      <c r="R725">
        <v>0</v>
      </c>
      <c r="S725" s="1" t="s">
        <v>27</v>
      </c>
      <c r="T725">
        <v>5775000</v>
      </c>
      <c r="U725" t="s">
        <v>184</v>
      </c>
      <c r="V725" s="1" t="s">
        <v>176</v>
      </c>
      <c r="W725" s="1" t="s">
        <v>177</v>
      </c>
      <c r="X725" s="1" t="str">
        <f>VLOOKUP(V725,Broker_Directory!A:C,3,FALSE)</f>
        <v>Tier C</v>
      </c>
      <c r="Y725" s="1">
        <f>HLOOKUP(X725, Commission_Rates!A$1:C$2, 2, FALSE)</f>
        <v>0.01</v>
      </c>
      <c r="Z725" s="1">
        <f t="shared" si="33"/>
        <v>57750</v>
      </c>
      <c r="AA725" s="1">
        <f t="shared" si="34"/>
        <v>173250</v>
      </c>
      <c r="AB725" s="1">
        <f t="shared" si="35"/>
        <v>115500</v>
      </c>
    </row>
    <row r="726" spans="1:28" x14ac:dyDescent="0.3">
      <c r="A726" s="1" t="s">
        <v>37</v>
      </c>
      <c r="B726" s="1" t="s">
        <v>72</v>
      </c>
      <c r="C726">
        <v>5</v>
      </c>
      <c r="D726">
        <v>4</v>
      </c>
      <c r="E726">
        <v>1401</v>
      </c>
      <c r="F726">
        <v>1462</v>
      </c>
      <c r="G726">
        <v>2</v>
      </c>
      <c r="H726">
        <v>2010</v>
      </c>
      <c r="I726">
        <v>2024</v>
      </c>
      <c r="J726" s="1" t="s">
        <v>30</v>
      </c>
      <c r="K726">
        <v>1</v>
      </c>
      <c r="L726" s="1" t="s">
        <v>64</v>
      </c>
      <c r="M726" s="1" t="s">
        <v>27</v>
      </c>
      <c r="N726" s="1" t="s">
        <v>35</v>
      </c>
      <c r="O726">
        <v>10</v>
      </c>
      <c r="P726">
        <v>5</v>
      </c>
      <c r="Q726" s="1" t="s">
        <v>107</v>
      </c>
      <c r="R726">
        <v>3</v>
      </c>
      <c r="S726" s="1" t="s">
        <v>27</v>
      </c>
      <c r="T726">
        <v>11663000</v>
      </c>
      <c r="U726" t="s">
        <v>184</v>
      </c>
      <c r="V726" s="1" t="s">
        <v>171</v>
      </c>
      <c r="W726" s="1" t="s">
        <v>172</v>
      </c>
      <c r="X726" s="1" t="str">
        <f>VLOOKUP(V726,Broker_Directory!A:C,3,FALSE)</f>
        <v>Tier B</v>
      </c>
      <c r="Y726" s="1">
        <f>HLOOKUP(X726, Commission_Rates!A$1:C$2, 2, FALSE)</f>
        <v>1.4999999999999999E-2</v>
      </c>
      <c r="Z726" s="1">
        <f t="shared" si="33"/>
        <v>174945</v>
      </c>
      <c r="AA726" s="1">
        <f t="shared" si="34"/>
        <v>349890</v>
      </c>
      <c r="AB726" s="1">
        <f t="shared" si="35"/>
        <v>174945</v>
      </c>
    </row>
    <row r="727" spans="1:28" x14ac:dyDescent="0.3">
      <c r="A727" s="1" t="s">
        <v>33</v>
      </c>
      <c r="B727" s="1" t="s">
        <v>75</v>
      </c>
      <c r="C727">
        <v>2</v>
      </c>
      <c r="D727">
        <v>2</v>
      </c>
      <c r="E727">
        <v>4516</v>
      </c>
      <c r="F727">
        <v>5629</v>
      </c>
      <c r="G727">
        <v>1</v>
      </c>
      <c r="H727">
        <v>1978</v>
      </c>
      <c r="I727">
        <v>2019</v>
      </c>
      <c r="J727" s="1" t="s">
        <v>58</v>
      </c>
      <c r="K727">
        <v>0</v>
      </c>
      <c r="L727" s="1" t="s">
        <v>41</v>
      </c>
      <c r="M727" s="1" t="s">
        <v>27</v>
      </c>
      <c r="N727" s="1" t="s">
        <v>35</v>
      </c>
      <c r="O727">
        <v>1</v>
      </c>
      <c r="P727">
        <v>1</v>
      </c>
      <c r="Q727" s="1" t="s">
        <v>135</v>
      </c>
      <c r="R727">
        <v>2</v>
      </c>
      <c r="S727" s="1" t="s">
        <v>24</v>
      </c>
      <c r="T727">
        <v>38646000</v>
      </c>
      <c r="U727" t="s">
        <v>183</v>
      </c>
      <c r="V727" s="1" t="s">
        <v>179</v>
      </c>
      <c r="W727" s="1" t="s">
        <v>180</v>
      </c>
      <c r="X727" s="1" t="str">
        <f>VLOOKUP(V727,Broker_Directory!A:C,3,FALSE)</f>
        <v>Tier B</v>
      </c>
      <c r="Y727" s="1">
        <f>HLOOKUP(X727, Commission_Rates!A$1:C$2, 2, FALSE)</f>
        <v>1.4999999999999999E-2</v>
      </c>
      <c r="Z727" s="1">
        <f t="shared" si="33"/>
        <v>0</v>
      </c>
      <c r="AA727" s="1">
        <f t="shared" si="34"/>
        <v>0</v>
      </c>
      <c r="AB727" s="1">
        <f t="shared" si="35"/>
        <v>0</v>
      </c>
    </row>
    <row r="728" spans="1:28" x14ac:dyDescent="0.3">
      <c r="A728" s="1" t="s">
        <v>53</v>
      </c>
      <c r="B728" s="1" t="s">
        <v>89</v>
      </c>
      <c r="C728">
        <v>4</v>
      </c>
      <c r="D728">
        <v>3</v>
      </c>
      <c r="E728">
        <v>1378</v>
      </c>
      <c r="F728">
        <v>6801</v>
      </c>
      <c r="G728">
        <v>2</v>
      </c>
      <c r="H728">
        <v>1997</v>
      </c>
      <c r="I728">
        <v>2017</v>
      </c>
      <c r="J728" s="1" t="s">
        <v>52</v>
      </c>
      <c r="K728">
        <v>0</v>
      </c>
      <c r="L728" s="1" t="s">
        <v>41</v>
      </c>
      <c r="M728" s="1" t="s">
        <v>24</v>
      </c>
      <c r="N728" s="1" t="s">
        <v>25</v>
      </c>
      <c r="O728">
        <v>2</v>
      </c>
      <c r="P728">
        <v>0</v>
      </c>
      <c r="Q728" s="1" t="s">
        <v>154</v>
      </c>
      <c r="R728">
        <v>0</v>
      </c>
      <c r="S728" s="1" t="s">
        <v>24</v>
      </c>
      <c r="T728">
        <v>12882000</v>
      </c>
      <c r="U728" t="s">
        <v>184</v>
      </c>
      <c r="V728" s="1" t="s">
        <v>168</v>
      </c>
      <c r="W728" s="1" t="s">
        <v>169</v>
      </c>
      <c r="X728" s="1" t="str">
        <f>VLOOKUP(V728,Broker_Directory!A:C,3,FALSE)</f>
        <v>Tier A</v>
      </c>
      <c r="Y728" s="1">
        <f>HLOOKUP(X728, Commission_Rates!A$1:C$2, 2, FALSE)</f>
        <v>0.02</v>
      </c>
      <c r="Z728" s="1">
        <f t="shared" si="33"/>
        <v>257640</v>
      </c>
      <c r="AA728" s="1">
        <f t="shared" si="34"/>
        <v>386460</v>
      </c>
      <c r="AB728" s="1">
        <f t="shared" si="35"/>
        <v>128820</v>
      </c>
    </row>
    <row r="729" spans="1:28" x14ac:dyDescent="0.3">
      <c r="A729" s="1" t="s">
        <v>28</v>
      </c>
      <c r="B729" s="1" t="s">
        <v>29</v>
      </c>
      <c r="C729">
        <v>3</v>
      </c>
      <c r="D729">
        <v>1</v>
      </c>
      <c r="E729">
        <v>4986</v>
      </c>
      <c r="F729">
        <v>8974</v>
      </c>
      <c r="G729">
        <v>2</v>
      </c>
      <c r="H729">
        <v>1994</v>
      </c>
      <c r="I729">
        <v>2005</v>
      </c>
      <c r="J729" s="1" t="s">
        <v>22</v>
      </c>
      <c r="K729">
        <v>3</v>
      </c>
      <c r="L729" s="1" t="s">
        <v>31</v>
      </c>
      <c r="M729" s="1" t="s">
        <v>27</v>
      </c>
      <c r="N729" s="1" t="s">
        <v>35</v>
      </c>
      <c r="O729">
        <v>4</v>
      </c>
      <c r="P729">
        <v>4</v>
      </c>
      <c r="Q729" s="1" t="s">
        <v>81</v>
      </c>
      <c r="R729">
        <v>0</v>
      </c>
      <c r="S729" s="1" t="s">
        <v>27</v>
      </c>
      <c r="T729">
        <v>50080000</v>
      </c>
      <c r="U729" t="s">
        <v>182</v>
      </c>
      <c r="V729" s="1" t="s">
        <v>171</v>
      </c>
      <c r="W729" s="1" t="s">
        <v>172</v>
      </c>
      <c r="X729" s="1" t="str">
        <f>VLOOKUP(V729,Broker_Directory!A:C,3,FALSE)</f>
        <v>Tier B</v>
      </c>
      <c r="Y729" s="1">
        <f>HLOOKUP(X729, Commission_Rates!A$1:C$2, 2, FALSE)</f>
        <v>1.4999999999999999E-2</v>
      </c>
      <c r="Z729" s="1">
        <f t="shared" si="33"/>
        <v>0</v>
      </c>
      <c r="AA729" s="1">
        <f t="shared" si="34"/>
        <v>0</v>
      </c>
      <c r="AB729" s="1">
        <f t="shared" si="35"/>
        <v>0</v>
      </c>
    </row>
    <row r="730" spans="1:28" x14ac:dyDescent="0.3">
      <c r="A730" s="1" t="s">
        <v>33</v>
      </c>
      <c r="B730" s="1" t="s">
        <v>34</v>
      </c>
      <c r="C730">
        <v>3</v>
      </c>
      <c r="D730">
        <v>2</v>
      </c>
      <c r="E730">
        <v>2391</v>
      </c>
      <c r="F730">
        <v>5234</v>
      </c>
      <c r="G730">
        <v>2</v>
      </c>
      <c r="H730">
        <v>2020</v>
      </c>
      <c r="I730">
        <v>2022</v>
      </c>
      <c r="J730" s="1" t="s">
        <v>58</v>
      </c>
      <c r="K730">
        <v>2</v>
      </c>
      <c r="L730" s="1" t="s">
        <v>64</v>
      </c>
      <c r="M730" s="1" t="s">
        <v>24</v>
      </c>
      <c r="N730" s="1" t="s">
        <v>46</v>
      </c>
      <c r="O730">
        <v>6</v>
      </c>
      <c r="P730">
        <v>5</v>
      </c>
      <c r="Q730" s="1" t="s">
        <v>36</v>
      </c>
      <c r="R730">
        <v>1</v>
      </c>
      <c r="S730" s="1" t="s">
        <v>24</v>
      </c>
      <c r="T730">
        <v>20663500</v>
      </c>
      <c r="U730" t="s">
        <v>184</v>
      </c>
      <c r="V730" s="1" t="s">
        <v>171</v>
      </c>
      <c r="W730" s="1" t="s">
        <v>172</v>
      </c>
      <c r="X730" s="1" t="str">
        <f>VLOOKUP(V730,Broker_Directory!A:C,3,FALSE)</f>
        <v>Tier B</v>
      </c>
      <c r="Y730" s="1">
        <f>HLOOKUP(X730, Commission_Rates!A$1:C$2, 2, FALSE)</f>
        <v>1.4999999999999999E-2</v>
      </c>
      <c r="Z730" s="1">
        <f t="shared" si="33"/>
        <v>309952.5</v>
      </c>
      <c r="AA730" s="1">
        <f t="shared" si="34"/>
        <v>619905</v>
      </c>
      <c r="AB730" s="1">
        <f t="shared" si="35"/>
        <v>309952.5</v>
      </c>
    </row>
    <row r="731" spans="1:28" x14ac:dyDescent="0.3">
      <c r="A731" s="1" t="s">
        <v>28</v>
      </c>
      <c r="B731" s="1" t="s">
        <v>29</v>
      </c>
      <c r="C731">
        <v>1</v>
      </c>
      <c r="D731">
        <v>1</v>
      </c>
      <c r="E731">
        <v>4809</v>
      </c>
      <c r="F731">
        <v>7281</v>
      </c>
      <c r="G731">
        <v>1</v>
      </c>
      <c r="H731">
        <v>1994</v>
      </c>
      <c r="I731">
        <v>2012</v>
      </c>
      <c r="J731" s="1" t="s">
        <v>22</v>
      </c>
      <c r="K731">
        <v>3</v>
      </c>
      <c r="L731" s="1" t="s">
        <v>23</v>
      </c>
      <c r="M731" s="1" t="s">
        <v>24</v>
      </c>
      <c r="N731" s="1" t="s">
        <v>46</v>
      </c>
      <c r="O731">
        <v>8</v>
      </c>
      <c r="P731">
        <v>1</v>
      </c>
      <c r="Q731" s="1" t="s">
        <v>149</v>
      </c>
      <c r="R731">
        <v>1</v>
      </c>
      <c r="S731" s="1" t="s">
        <v>24</v>
      </c>
      <c r="T731">
        <v>48280000</v>
      </c>
      <c r="U731" t="s">
        <v>184</v>
      </c>
      <c r="V731" s="1" t="s">
        <v>168</v>
      </c>
      <c r="W731" s="1" t="s">
        <v>169</v>
      </c>
      <c r="X731" s="1" t="str">
        <f>VLOOKUP(V731,Broker_Directory!A:C,3,FALSE)</f>
        <v>Tier A</v>
      </c>
      <c r="Y731" s="1">
        <f>HLOOKUP(X731, Commission_Rates!A$1:C$2, 2, FALSE)</f>
        <v>0.02</v>
      </c>
      <c r="Z731" s="1">
        <f t="shared" si="33"/>
        <v>965600</v>
      </c>
      <c r="AA731" s="1">
        <f t="shared" si="34"/>
        <v>1448400</v>
      </c>
      <c r="AB731" s="1">
        <f t="shared" si="35"/>
        <v>482800</v>
      </c>
    </row>
    <row r="732" spans="1:28" x14ac:dyDescent="0.3">
      <c r="A732" s="1" t="s">
        <v>28</v>
      </c>
      <c r="B732" s="1" t="s">
        <v>79</v>
      </c>
      <c r="C732">
        <v>5</v>
      </c>
      <c r="D732">
        <v>2</v>
      </c>
      <c r="E732">
        <v>4911</v>
      </c>
      <c r="F732">
        <v>9307</v>
      </c>
      <c r="G732">
        <v>3</v>
      </c>
      <c r="H732">
        <v>1956</v>
      </c>
      <c r="I732">
        <v>2023</v>
      </c>
      <c r="J732" s="1" t="s">
        <v>30</v>
      </c>
      <c r="K732">
        <v>1</v>
      </c>
      <c r="L732" s="1" t="s">
        <v>31</v>
      </c>
      <c r="M732" s="1" t="s">
        <v>27</v>
      </c>
      <c r="N732" s="1" t="s">
        <v>25</v>
      </c>
      <c r="O732">
        <v>1</v>
      </c>
      <c r="P732">
        <v>5</v>
      </c>
      <c r="Q732" s="1" t="s">
        <v>139</v>
      </c>
      <c r="R732">
        <v>1</v>
      </c>
      <c r="S732" s="1" t="s">
        <v>24</v>
      </c>
      <c r="T732">
        <v>49620000</v>
      </c>
      <c r="U732" t="s">
        <v>184</v>
      </c>
      <c r="V732" s="1" t="s">
        <v>168</v>
      </c>
      <c r="W732" s="1" t="s">
        <v>169</v>
      </c>
      <c r="X732" s="1" t="str">
        <f>VLOOKUP(V732,Broker_Directory!A:C,3,FALSE)</f>
        <v>Tier A</v>
      </c>
      <c r="Y732" s="1">
        <f>HLOOKUP(X732, Commission_Rates!A$1:C$2, 2, FALSE)</f>
        <v>0.02</v>
      </c>
      <c r="Z732" s="1">
        <f t="shared" si="33"/>
        <v>992400</v>
      </c>
      <c r="AA732" s="1">
        <f t="shared" si="34"/>
        <v>1488600</v>
      </c>
      <c r="AB732" s="1">
        <f t="shared" si="35"/>
        <v>496200</v>
      </c>
    </row>
    <row r="733" spans="1:28" x14ac:dyDescent="0.3">
      <c r="A733" s="1" t="s">
        <v>33</v>
      </c>
      <c r="B733" s="1" t="s">
        <v>43</v>
      </c>
      <c r="C733">
        <v>4</v>
      </c>
      <c r="D733">
        <v>2</v>
      </c>
      <c r="E733">
        <v>2580</v>
      </c>
      <c r="F733">
        <v>3030</v>
      </c>
      <c r="G733">
        <v>2</v>
      </c>
      <c r="H733">
        <v>1987</v>
      </c>
      <c r="I733">
        <v>2010</v>
      </c>
      <c r="J733" s="1" t="s">
        <v>22</v>
      </c>
      <c r="K733">
        <v>3</v>
      </c>
      <c r="L733" s="1" t="s">
        <v>41</v>
      </c>
      <c r="M733" s="1" t="s">
        <v>27</v>
      </c>
      <c r="N733" s="1" t="s">
        <v>25</v>
      </c>
      <c r="O733">
        <v>4</v>
      </c>
      <c r="P733">
        <v>0</v>
      </c>
      <c r="Q733" s="1" t="s">
        <v>83</v>
      </c>
      <c r="R733">
        <v>2</v>
      </c>
      <c r="S733" s="1" t="s">
        <v>27</v>
      </c>
      <c r="T733">
        <v>22335000</v>
      </c>
      <c r="U733" t="s">
        <v>184</v>
      </c>
      <c r="V733" s="1" t="s">
        <v>179</v>
      </c>
      <c r="W733" s="1" t="s">
        <v>180</v>
      </c>
      <c r="X733" s="1" t="str">
        <f>VLOOKUP(V733,Broker_Directory!A:C,3,FALSE)</f>
        <v>Tier B</v>
      </c>
      <c r="Y733" s="1">
        <f>HLOOKUP(X733, Commission_Rates!A$1:C$2, 2, FALSE)</f>
        <v>1.4999999999999999E-2</v>
      </c>
      <c r="Z733" s="1">
        <f t="shared" si="33"/>
        <v>335025</v>
      </c>
      <c r="AA733" s="1">
        <f t="shared" si="34"/>
        <v>670050</v>
      </c>
      <c r="AB733" s="1">
        <f t="shared" si="35"/>
        <v>335025</v>
      </c>
    </row>
    <row r="734" spans="1:28" x14ac:dyDescent="0.3">
      <c r="A734" s="1" t="s">
        <v>28</v>
      </c>
      <c r="B734" s="1" t="s">
        <v>95</v>
      </c>
      <c r="C734">
        <v>5</v>
      </c>
      <c r="D734">
        <v>1</v>
      </c>
      <c r="E734">
        <v>785</v>
      </c>
      <c r="F734">
        <v>7558</v>
      </c>
      <c r="G734">
        <v>1</v>
      </c>
      <c r="H734">
        <v>1968</v>
      </c>
      <c r="I734">
        <v>1997</v>
      </c>
      <c r="J734" s="1" t="s">
        <v>52</v>
      </c>
      <c r="K734">
        <v>1</v>
      </c>
      <c r="L734" s="1" t="s">
        <v>41</v>
      </c>
      <c r="M734" s="1" t="s">
        <v>24</v>
      </c>
      <c r="N734" s="1" t="s">
        <v>35</v>
      </c>
      <c r="O734">
        <v>6</v>
      </c>
      <c r="P734">
        <v>3</v>
      </c>
      <c r="Q734" s="1" t="s">
        <v>96</v>
      </c>
      <c r="R734">
        <v>1</v>
      </c>
      <c r="S734" s="1" t="s">
        <v>27</v>
      </c>
      <c r="T734">
        <v>8190000</v>
      </c>
      <c r="U734" t="s">
        <v>183</v>
      </c>
      <c r="V734" s="1" t="s">
        <v>174</v>
      </c>
      <c r="W734" s="1" t="s">
        <v>175</v>
      </c>
      <c r="X734" s="1" t="str">
        <f>VLOOKUP(V734,Broker_Directory!A:C,3,FALSE)</f>
        <v>Tier A</v>
      </c>
      <c r="Y734" s="1">
        <f>HLOOKUP(X734, Commission_Rates!A$1:C$2, 2, FALSE)</f>
        <v>0.02</v>
      </c>
      <c r="Z734" s="1">
        <f t="shared" si="33"/>
        <v>0</v>
      </c>
      <c r="AA734" s="1">
        <f t="shared" si="34"/>
        <v>0</v>
      </c>
      <c r="AB734" s="1">
        <f t="shared" si="35"/>
        <v>0</v>
      </c>
    </row>
    <row r="735" spans="1:28" x14ac:dyDescent="0.3">
      <c r="A735" s="1" t="s">
        <v>20</v>
      </c>
      <c r="B735" s="1" t="s">
        <v>40</v>
      </c>
      <c r="C735">
        <v>3</v>
      </c>
      <c r="D735">
        <v>2</v>
      </c>
      <c r="E735">
        <v>3588</v>
      </c>
      <c r="F735">
        <v>4649</v>
      </c>
      <c r="G735">
        <v>3</v>
      </c>
      <c r="H735">
        <v>2024</v>
      </c>
      <c r="I735">
        <v>2025</v>
      </c>
      <c r="J735" s="1" t="s">
        <v>52</v>
      </c>
      <c r="K735">
        <v>1</v>
      </c>
      <c r="L735" s="1" t="s">
        <v>41</v>
      </c>
      <c r="M735" s="1" t="s">
        <v>24</v>
      </c>
      <c r="N735" s="1" t="s">
        <v>35</v>
      </c>
      <c r="O735">
        <v>4</v>
      </c>
      <c r="P735">
        <v>2</v>
      </c>
      <c r="Q735" s="1" t="s">
        <v>115</v>
      </c>
      <c r="R735">
        <v>0</v>
      </c>
      <c r="S735" s="1" t="s">
        <v>27</v>
      </c>
      <c r="T735">
        <v>43351000</v>
      </c>
      <c r="U735" t="s">
        <v>182</v>
      </c>
      <c r="V735" s="1" t="s">
        <v>179</v>
      </c>
      <c r="W735" s="1" t="s">
        <v>180</v>
      </c>
      <c r="X735" s="1" t="str">
        <f>VLOOKUP(V735,Broker_Directory!A:C,3,FALSE)</f>
        <v>Tier B</v>
      </c>
      <c r="Y735" s="1">
        <f>HLOOKUP(X735, Commission_Rates!A$1:C$2, 2, FALSE)</f>
        <v>1.4999999999999999E-2</v>
      </c>
      <c r="Z735" s="1">
        <f t="shared" si="33"/>
        <v>0</v>
      </c>
      <c r="AA735" s="1">
        <f t="shared" si="34"/>
        <v>0</v>
      </c>
      <c r="AB735" s="1">
        <f t="shared" si="35"/>
        <v>0</v>
      </c>
    </row>
    <row r="736" spans="1:28" x14ac:dyDescent="0.3">
      <c r="A736" s="1" t="s">
        <v>33</v>
      </c>
      <c r="B736" s="1" t="s">
        <v>48</v>
      </c>
      <c r="C736">
        <v>5</v>
      </c>
      <c r="D736">
        <v>4</v>
      </c>
      <c r="E736">
        <v>2202</v>
      </c>
      <c r="F736">
        <v>7662</v>
      </c>
      <c r="G736">
        <v>2</v>
      </c>
      <c r="H736">
        <v>1988</v>
      </c>
      <c r="I736">
        <v>1994</v>
      </c>
      <c r="J736" s="1" t="s">
        <v>22</v>
      </c>
      <c r="K736">
        <v>1</v>
      </c>
      <c r="L736" s="1" t="s">
        <v>23</v>
      </c>
      <c r="M736" s="1" t="s">
        <v>27</v>
      </c>
      <c r="N736" s="1" t="s">
        <v>46</v>
      </c>
      <c r="O736">
        <v>0</v>
      </c>
      <c r="P736">
        <v>3</v>
      </c>
      <c r="Q736" s="1" t="s">
        <v>68</v>
      </c>
      <c r="R736">
        <v>0</v>
      </c>
      <c r="S736" s="1" t="s">
        <v>27</v>
      </c>
      <c r="T736">
        <v>19127000</v>
      </c>
      <c r="U736" t="s">
        <v>183</v>
      </c>
      <c r="V736" s="1" t="s">
        <v>168</v>
      </c>
      <c r="W736" s="1" t="s">
        <v>169</v>
      </c>
      <c r="X736" s="1" t="str">
        <f>VLOOKUP(V736,Broker_Directory!A:C,3,FALSE)</f>
        <v>Tier A</v>
      </c>
      <c r="Y736" s="1">
        <f>HLOOKUP(X736, Commission_Rates!A$1:C$2, 2, FALSE)</f>
        <v>0.02</v>
      </c>
      <c r="Z736" s="1">
        <f t="shared" si="33"/>
        <v>0</v>
      </c>
      <c r="AA736" s="1">
        <f t="shared" si="34"/>
        <v>0</v>
      </c>
      <c r="AB736" s="1">
        <f t="shared" si="35"/>
        <v>0</v>
      </c>
    </row>
    <row r="737" spans="1:28" x14ac:dyDescent="0.3">
      <c r="A737" s="1" t="s">
        <v>37</v>
      </c>
      <c r="B737" s="1" t="s">
        <v>45</v>
      </c>
      <c r="C737">
        <v>2</v>
      </c>
      <c r="D737">
        <v>4</v>
      </c>
      <c r="E737">
        <v>2684</v>
      </c>
      <c r="F737">
        <v>4574</v>
      </c>
      <c r="G737">
        <v>3</v>
      </c>
      <c r="H737">
        <v>1963</v>
      </c>
      <c r="I737">
        <v>1973</v>
      </c>
      <c r="J737" s="1" t="s">
        <v>30</v>
      </c>
      <c r="K737">
        <v>1</v>
      </c>
      <c r="L737" s="1" t="s">
        <v>41</v>
      </c>
      <c r="M737" s="1" t="s">
        <v>27</v>
      </c>
      <c r="N737" s="1" t="s">
        <v>46</v>
      </c>
      <c r="O737">
        <v>0</v>
      </c>
      <c r="P737">
        <v>5</v>
      </c>
      <c r="Q737" s="1" t="s">
        <v>47</v>
      </c>
      <c r="R737">
        <v>2</v>
      </c>
      <c r="S737" s="1" t="s">
        <v>27</v>
      </c>
      <c r="T737">
        <v>21782000</v>
      </c>
      <c r="U737" t="s">
        <v>184</v>
      </c>
      <c r="V737" s="1" t="s">
        <v>168</v>
      </c>
      <c r="W737" s="1" t="s">
        <v>169</v>
      </c>
      <c r="X737" s="1" t="str">
        <f>VLOOKUP(V737,Broker_Directory!A:C,3,FALSE)</f>
        <v>Tier A</v>
      </c>
      <c r="Y737" s="1">
        <f>HLOOKUP(X737, Commission_Rates!A$1:C$2, 2, FALSE)</f>
        <v>0.02</v>
      </c>
      <c r="Z737" s="1">
        <f t="shared" si="33"/>
        <v>435640</v>
      </c>
      <c r="AA737" s="1">
        <f t="shared" si="34"/>
        <v>653460</v>
      </c>
      <c r="AB737" s="1">
        <f t="shared" si="35"/>
        <v>217820</v>
      </c>
    </row>
    <row r="738" spans="1:28" x14ac:dyDescent="0.3">
      <c r="A738" s="1" t="s">
        <v>53</v>
      </c>
      <c r="B738" s="1" t="s">
        <v>100</v>
      </c>
      <c r="C738">
        <v>3</v>
      </c>
      <c r="D738">
        <v>4</v>
      </c>
      <c r="E738">
        <v>2358</v>
      </c>
      <c r="F738">
        <v>5329</v>
      </c>
      <c r="G738">
        <v>1</v>
      </c>
      <c r="H738">
        <v>1951</v>
      </c>
      <c r="I738">
        <v>1962</v>
      </c>
      <c r="J738" s="1" t="s">
        <v>22</v>
      </c>
      <c r="K738">
        <v>1</v>
      </c>
      <c r="L738" s="1" t="s">
        <v>41</v>
      </c>
      <c r="M738" s="1" t="s">
        <v>24</v>
      </c>
      <c r="N738" s="1" t="s">
        <v>35</v>
      </c>
      <c r="O738">
        <v>6</v>
      </c>
      <c r="P738">
        <v>5</v>
      </c>
      <c r="Q738" s="1" t="s">
        <v>151</v>
      </c>
      <c r="R738">
        <v>0</v>
      </c>
      <c r="S738" s="1" t="s">
        <v>27</v>
      </c>
      <c r="T738">
        <v>21537000</v>
      </c>
      <c r="U738" t="s">
        <v>182</v>
      </c>
      <c r="V738" s="1" t="s">
        <v>179</v>
      </c>
      <c r="W738" s="1" t="s">
        <v>180</v>
      </c>
      <c r="X738" s="1" t="str">
        <f>VLOOKUP(V738,Broker_Directory!A:C,3,FALSE)</f>
        <v>Tier B</v>
      </c>
      <c r="Y738" s="1">
        <f>HLOOKUP(X738, Commission_Rates!A$1:C$2, 2, FALSE)</f>
        <v>1.4999999999999999E-2</v>
      </c>
      <c r="Z738" s="1">
        <f t="shared" si="33"/>
        <v>0</v>
      </c>
      <c r="AA738" s="1">
        <f t="shared" si="34"/>
        <v>0</v>
      </c>
      <c r="AB738" s="1">
        <f t="shared" si="35"/>
        <v>0</v>
      </c>
    </row>
    <row r="739" spans="1:28" x14ac:dyDescent="0.3">
      <c r="A739" s="1" t="s">
        <v>33</v>
      </c>
      <c r="B739" s="1" t="s">
        <v>43</v>
      </c>
      <c r="C739">
        <v>5</v>
      </c>
      <c r="D739">
        <v>4</v>
      </c>
      <c r="E739">
        <v>4551</v>
      </c>
      <c r="F739">
        <v>7735</v>
      </c>
      <c r="G739">
        <v>1</v>
      </c>
      <c r="H739">
        <v>1963</v>
      </c>
      <c r="I739">
        <v>1974</v>
      </c>
      <c r="J739" s="1" t="s">
        <v>58</v>
      </c>
      <c r="K739">
        <v>0</v>
      </c>
      <c r="L739" s="1" t="s">
        <v>31</v>
      </c>
      <c r="M739" s="1" t="s">
        <v>27</v>
      </c>
      <c r="N739" s="1" t="s">
        <v>35</v>
      </c>
      <c r="O739">
        <v>10</v>
      </c>
      <c r="P739">
        <v>5</v>
      </c>
      <c r="Q739" s="1" t="s">
        <v>44</v>
      </c>
      <c r="R739">
        <v>3</v>
      </c>
      <c r="S739" s="1" t="s">
        <v>24</v>
      </c>
      <c r="T739">
        <v>39168500</v>
      </c>
      <c r="U739" t="s">
        <v>182</v>
      </c>
      <c r="V739" s="1" t="s">
        <v>171</v>
      </c>
      <c r="W739" s="1" t="s">
        <v>172</v>
      </c>
      <c r="X739" s="1" t="str">
        <f>VLOOKUP(V739,Broker_Directory!A:C,3,FALSE)</f>
        <v>Tier B</v>
      </c>
      <c r="Y739" s="1">
        <f>HLOOKUP(X739, Commission_Rates!A$1:C$2, 2, FALSE)</f>
        <v>1.4999999999999999E-2</v>
      </c>
      <c r="Z739" s="1">
        <f t="shared" si="33"/>
        <v>0</v>
      </c>
      <c r="AA739" s="1">
        <f t="shared" si="34"/>
        <v>0</v>
      </c>
      <c r="AB739" s="1">
        <f t="shared" si="35"/>
        <v>0</v>
      </c>
    </row>
    <row r="740" spans="1:28" x14ac:dyDescent="0.3">
      <c r="A740" s="1" t="s">
        <v>53</v>
      </c>
      <c r="B740" s="1" t="s">
        <v>54</v>
      </c>
      <c r="C740">
        <v>4</v>
      </c>
      <c r="D740">
        <v>1</v>
      </c>
      <c r="E740">
        <v>3566</v>
      </c>
      <c r="F740">
        <v>8761</v>
      </c>
      <c r="G740">
        <v>3</v>
      </c>
      <c r="H740">
        <v>2005</v>
      </c>
      <c r="I740">
        <v>2025</v>
      </c>
      <c r="J740" s="1" t="s">
        <v>58</v>
      </c>
      <c r="K740">
        <v>1</v>
      </c>
      <c r="L740" s="1" t="s">
        <v>31</v>
      </c>
      <c r="M740" s="1" t="s">
        <v>24</v>
      </c>
      <c r="N740" s="1" t="s">
        <v>35</v>
      </c>
      <c r="O740">
        <v>5</v>
      </c>
      <c r="P740">
        <v>0</v>
      </c>
      <c r="Q740" s="1" t="s">
        <v>144</v>
      </c>
      <c r="R740">
        <v>3</v>
      </c>
      <c r="S740" s="1" t="s">
        <v>24</v>
      </c>
      <c r="T740">
        <v>32504000</v>
      </c>
      <c r="U740" t="s">
        <v>184</v>
      </c>
      <c r="V740" s="1" t="s">
        <v>174</v>
      </c>
      <c r="W740" s="1" t="s">
        <v>175</v>
      </c>
      <c r="X740" s="1" t="str">
        <f>VLOOKUP(V740,Broker_Directory!A:C,3,FALSE)</f>
        <v>Tier A</v>
      </c>
      <c r="Y740" s="1">
        <f>HLOOKUP(X740, Commission_Rates!A$1:C$2, 2, FALSE)</f>
        <v>0.02</v>
      </c>
      <c r="Z740" s="1">
        <f t="shared" si="33"/>
        <v>650080</v>
      </c>
      <c r="AA740" s="1">
        <f t="shared" si="34"/>
        <v>975120</v>
      </c>
      <c r="AB740" s="1">
        <f t="shared" si="35"/>
        <v>325040</v>
      </c>
    </row>
    <row r="741" spans="1:28" x14ac:dyDescent="0.3">
      <c r="A741" s="1" t="s">
        <v>37</v>
      </c>
      <c r="B741" s="1" t="s">
        <v>38</v>
      </c>
      <c r="C741">
        <v>3</v>
      </c>
      <c r="D741">
        <v>3</v>
      </c>
      <c r="E741">
        <v>3186</v>
      </c>
      <c r="F741">
        <v>5273</v>
      </c>
      <c r="G741">
        <v>2</v>
      </c>
      <c r="H741">
        <v>2007</v>
      </c>
      <c r="I741">
        <v>2007</v>
      </c>
      <c r="J741" s="1" t="s">
        <v>30</v>
      </c>
      <c r="K741">
        <v>3</v>
      </c>
      <c r="L741" s="1" t="s">
        <v>64</v>
      </c>
      <c r="M741" s="1" t="s">
        <v>24</v>
      </c>
      <c r="N741" s="1" t="s">
        <v>25</v>
      </c>
      <c r="O741">
        <v>8</v>
      </c>
      <c r="P741">
        <v>4</v>
      </c>
      <c r="Q741" s="1" t="s">
        <v>39</v>
      </c>
      <c r="R741">
        <v>3</v>
      </c>
      <c r="S741" s="1" t="s">
        <v>27</v>
      </c>
      <c r="T741">
        <v>25913000</v>
      </c>
      <c r="U741" t="s">
        <v>183</v>
      </c>
      <c r="V741" s="1" t="s">
        <v>168</v>
      </c>
      <c r="W741" s="1" t="s">
        <v>169</v>
      </c>
      <c r="X741" s="1" t="str">
        <f>VLOOKUP(V741,Broker_Directory!A:C,3,FALSE)</f>
        <v>Tier A</v>
      </c>
      <c r="Y741" s="1">
        <f>HLOOKUP(X741, Commission_Rates!A$1:C$2, 2, FALSE)</f>
        <v>0.02</v>
      </c>
      <c r="Z741" s="1">
        <f t="shared" si="33"/>
        <v>0</v>
      </c>
      <c r="AA741" s="1">
        <f t="shared" si="34"/>
        <v>0</v>
      </c>
      <c r="AB741" s="1">
        <f t="shared" si="35"/>
        <v>0</v>
      </c>
    </row>
    <row r="742" spans="1:28" x14ac:dyDescent="0.3">
      <c r="A742" s="1" t="s">
        <v>28</v>
      </c>
      <c r="B742" s="1" t="s">
        <v>29</v>
      </c>
      <c r="C742">
        <v>1</v>
      </c>
      <c r="D742">
        <v>3</v>
      </c>
      <c r="E742">
        <v>3181</v>
      </c>
      <c r="F742">
        <v>8280</v>
      </c>
      <c r="G742">
        <v>3</v>
      </c>
      <c r="H742">
        <v>1979</v>
      </c>
      <c r="I742">
        <v>1998</v>
      </c>
      <c r="J742" s="1" t="s">
        <v>30</v>
      </c>
      <c r="K742">
        <v>0</v>
      </c>
      <c r="L742" s="1" t="s">
        <v>23</v>
      </c>
      <c r="M742" s="1" t="s">
        <v>27</v>
      </c>
      <c r="N742" s="1" t="s">
        <v>46</v>
      </c>
      <c r="O742">
        <v>9</v>
      </c>
      <c r="P742">
        <v>3</v>
      </c>
      <c r="Q742" s="1" t="s">
        <v>149</v>
      </c>
      <c r="R742">
        <v>3</v>
      </c>
      <c r="S742" s="1" t="s">
        <v>24</v>
      </c>
      <c r="T742">
        <v>32105000</v>
      </c>
      <c r="U742" t="s">
        <v>184</v>
      </c>
      <c r="V742" s="1" t="s">
        <v>171</v>
      </c>
      <c r="W742" s="1" t="s">
        <v>172</v>
      </c>
      <c r="X742" s="1" t="str">
        <f>VLOOKUP(V742,Broker_Directory!A:C,3,FALSE)</f>
        <v>Tier B</v>
      </c>
      <c r="Y742" s="1">
        <f>HLOOKUP(X742, Commission_Rates!A$1:C$2, 2, FALSE)</f>
        <v>1.4999999999999999E-2</v>
      </c>
      <c r="Z742" s="1">
        <f t="shared" si="33"/>
        <v>481575</v>
      </c>
      <c r="AA742" s="1">
        <f t="shared" si="34"/>
        <v>963150</v>
      </c>
      <c r="AB742" s="1">
        <f t="shared" si="35"/>
        <v>481575</v>
      </c>
    </row>
    <row r="743" spans="1:28" x14ac:dyDescent="0.3">
      <c r="A743" s="1" t="s">
        <v>53</v>
      </c>
      <c r="B743" s="1" t="s">
        <v>54</v>
      </c>
      <c r="C743">
        <v>3</v>
      </c>
      <c r="D743">
        <v>3</v>
      </c>
      <c r="E743">
        <v>3886</v>
      </c>
      <c r="F743">
        <v>6897</v>
      </c>
      <c r="G743">
        <v>1</v>
      </c>
      <c r="H743">
        <v>1971</v>
      </c>
      <c r="I743">
        <v>1990</v>
      </c>
      <c r="J743" s="1" t="s">
        <v>58</v>
      </c>
      <c r="K743">
        <v>0</v>
      </c>
      <c r="L743" s="1" t="s">
        <v>31</v>
      </c>
      <c r="M743" s="1" t="s">
        <v>27</v>
      </c>
      <c r="N743" s="1" t="s">
        <v>35</v>
      </c>
      <c r="O743">
        <v>10</v>
      </c>
      <c r="P743">
        <v>4</v>
      </c>
      <c r="Q743" s="1" t="s">
        <v>144</v>
      </c>
      <c r="R743">
        <v>1</v>
      </c>
      <c r="S743" s="1" t="s">
        <v>27</v>
      </c>
      <c r="T743">
        <v>35249000</v>
      </c>
      <c r="U743" t="s">
        <v>183</v>
      </c>
      <c r="V743" s="1" t="s">
        <v>176</v>
      </c>
      <c r="W743" s="1" t="s">
        <v>177</v>
      </c>
      <c r="X743" s="1" t="str">
        <f>VLOOKUP(V743,Broker_Directory!A:C,3,FALSE)</f>
        <v>Tier C</v>
      </c>
      <c r="Y743" s="1">
        <f>HLOOKUP(X743, Commission_Rates!A$1:C$2, 2, FALSE)</f>
        <v>0.01</v>
      </c>
      <c r="Z743" s="1">
        <f t="shared" si="33"/>
        <v>0</v>
      </c>
      <c r="AA743" s="1">
        <f t="shared" si="34"/>
        <v>0</v>
      </c>
      <c r="AB743" s="1">
        <f t="shared" si="35"/>
        <v>0</v>
      </c>
    </row>
    <row r="744" spans="1:28" x14ac:dyDescent="0.3">
      <c r="A744" s="1" t="s">
        <v>33</v>
      </c>
      <c r="B744" s="1" t="s">
        <v>48</v>
      </c>
      <c r="C744">
        <v>2</v>
      </c>
      <c r="D744">
        <v>1</v>
      </c>
      <c r="E744">
        <v>1041</v>
      </c>
      <c r="F744">
        <v>7720</v>
      </c>
      <c r="G744">
        <v>2</v>
      </c>
      <c r="H744">
        <v>1968</v>
      </c>
      <c r="I744">
        <v>2012</v>
      </c>
      <c r="J744" s="1" t="s">
        <v>30</v>
      </c>
      <c r="K744">
        <v>2</v>
      </c>
      <c r="L744" s="1" t="s">
        <v>41</v>
      </c>
      <c r="M744" s="1" t="s">
        <v>24</v>
      </c>
      <c r="N744" s="1" t="s">
        <v>46</v>
      </c>
      <c r="O744">
        <v>1</v>
      </c>
      <c r="P744">
        <v>5</v>
      </c>
      <c r="Q744" s="1" t="s">
        <v>68</v>
      </c>
      <c r="R744">
        <v>0</v>
      </c>
      <c r="S744" s="1" t="s">
        <v>27</v>
      </c>
      <c r="T744">
        <v>9043500</v>
      </c>
      <c r="U744" t="s">
        <v>184</v>
      </c>
      <c r="V744" s="1" t="s">
        <v>171</v>
      </c>
      <c r="W744" s="1" t="s">
        <v>172</v>
      </c>
      <c r="X744" s="1" t="str">
        <f>VLOOKUP(V744,Broker_Directory!A:C,3,FALSE)</f>
        <v>Tier B</v>
      </c>
      <c r="Y744" s="1">
        <f>HLOOKUP(X744, Commission_Rates!A$1:C$2, 2, FALSE)</f>
        <v>1.4999999999999999E-2</v>
      </c>
      <c r="Z744" s="1">
        <f t="shared" si="33"/>
        <v>135652.5</v>
      </c>
      <c r="AA744" s="1">
        <f t="shared" si="34"/>
        <v>271305</v>
      </c>
      <c r="AB744" s="1">
        <f t="shared" si="35"/>
        <v>135652.5</v>
      </c>
    </row>
    <row r="745" spans="1:28" x14ac:dyDescent="0.3">
      <c r="A745" s="1" t="s">
        <v>28</v>
      </c>
      <c r="B745" s="1" t="s">
        <v>29</v>
      </c>
      <c r="C745">
        <v>1</v>
      </c>
      <c r="D745">
        <v>2</v>
      </c>
      <c r="E745">
        <v>4789</v>
      </c>
      <c r="F745">
        <v>6108</v>
      </c>
      <c r="G745">
        <v>3</v>
      </c>
      <c r="H745">
        <v>1985</v>
      </c>
      <c r="I745">
        <v>1985</v>
      </c>
      <c r="J745" s="1" t="s">
        <v>22</v>
      </c>
      <c r="K745">
        <v>1</v>
      </c>
      <c r="L745" s="1" t="s">
        <v>31</v>
      </c>
      <c r="M745" s="1" t="s">
        <v>24</v>
      </c>
      <c r="N745" s="1" t="s">
        <v>25</v>
      </c>
      <c r="O745">
        <v>7</v>
      </c>
      <c r="P745">
        <v>5</v>
      </c>
      <c r="Q745" s="1" t="s">
        <v>149</v>
      </c>
      <c r="R745">
        <v>1</v>
      </c>
      <c r="S745" s="1" t="s">
        <v>24</v>
      </c>
      <c r="T745">
        <v>48225000</v>
      </c>
      <c r="U745" t="s">
        <v>184</v>
      </c>
      <c r="V745" s="1" t="s">
        <v>168</v>
      </c>
      <c r="W745" s="1" t="s">
        <v>169</v>
      </c>
      <c r="X745" s="1" t="str">
        <f>VLOOKUP(V745,Broker_Directory!A:C,3,FALSE)</f>
        <v>Tier A</v>
      </c>
      <c r="Y745" s="1">
        <f>HLOOKUP(X745, Commission_Rates!A$1:C$2, 2, FALSE)</f>
        <v>0.02</v>
      </c>
      <c r="Z745" s="1">
        <f t="shared" si="33"/>
        <v>964500</v>
      </c>
      <c r="AA745" s="1">
        <f t="shared" si="34"/>
        <v>1446750</v>
      </c>
      <c r="AB745" s="1">
        <f t="shared" si="35"/>
        <v>482250</v>
      </c>
    </row>
    <row r="746" spans="1:28" x14ac:dyDescent="0.3">
      <c r="A746" s="1" t="s">
        <v>53</v>
      </c>
      <c r="B746" s="1" t="s">
        <v>66</v>
      </c>
      <c r="C746">
        <v>1</v>
      </c>
      <c r="D746">
        <v>4</v>
      </c>
      <c r="E746">
        <v>3895</v>
      </c>
      <c r="F746">
        <v>7340</v>
      </c>
      <c r="G746">
        <v>3</v>
      </c>
      <c r="H746">
        <v>2020</v>
      </c>
      <c r="I746">
        <v>2023</v>
      </c>
      <c r="J746" s="1" t="s">
        <v>52</v>
      </c>
      <c r="K746">
        <v>3</v>
      </c>
      <c r="L746" s="1" t="s">
        <v>31</v>
      </c>
      <c r="M746" s="1" t="s">
        <v>27</v>
      </c>
      <c r="N746" s="1" t="s">
        <v>35</v>
      </c>
      <c r="O746">
        <v>9</v>
      </c>
      <c r="P746">
        <v>3</v>
      </c>
      <c r="Q746" s="1" t="s">
        <v>82</v>
      </c>
      <c r="R746">
        <v>2</v>
      </c>
      <c r="S746" s="1" t="s">
        <v>27</v>
      </c>
      <c r="T746">
        <v>35315000</v>
      </c>
      <c r="U746" t="s">
        <v>182</v>
      </c>
      <c r="V746" s="1" t="s">
        <v>171</v>
      </c>
      <c r="W746" s="1" t="s">
        <v>172</v>
      </c>
      <c r="X746" s="1" t="str">
        <f>VLOOKUP(V746,Broker_Directory!A:C,3,FALSE)</f>
        <v>Tier B</v>
      </c>
      <c r="Y746" s="1">
        <f>HLOOKUP(X746, Commission_Rates!A$1:C$2, 2, FALSE)</f>
        <v>1.4999999999999999E-2</v>
      </c>
      <c r="Z746" s="1">
        <f t="shared" si="33"/>
        <v>0</v>
      </c>
      <c r="AA746" s="1">
        <f t="shared" si="34"/>
        <v>0</v>
      </c>
      <c r="AB746" s="1">
        <f t="shared" si="35"/>
        <v>0</v>
      </c>
    </row>
    <row r="747" spans="1:28" x14ac:dyDescent="0.3">
      <c r="A747" s="1" t="s">
        <v>37</v>
      </c>
      <c r="B747" s="1" t="s">
        <v>38</v>
      </c>
      <c r="C747">
        <v>3</v>
      </c>
      <c r="D747">
        <v>2</v>
      </c>
      <c r="E747">
        <v>2922</v>
      </c>
      <c r="F747">
        <v>7398</v>
      </c>
      <c r="G747">
        <v>2</v>
      </c>
      <c r="H747">
        <v>1959</v>
      </c>
      <c r="I747">
        <v>1975</v>
      </c>
      <c r="J747" s="1" t="s">
        <v>30</v>
      </c>
      <c r="K747">
        <v>1</v>
      </c>
      <c r="L747" s="1" t="s">
        <v>31</v>
      </c>
      <c r="M747" s="1" t="s">
        <v>24</v>
      </c>
      <c r="N747" s="1" t="s">
        <v>35</v>
      </c>
      <c r="O747">
        <v>7</v>
      </c>
      <c r="P747">
        <v>4</v>
      </c>
      <c r="Q747" s="1" t="s">
        <v>39</v>
      </c>
      <c r="R747">
        <v>0</v>
      </c>
      <c r="S747" s="1" t="s">
        <v>24</v>
      </c>
      <c r="T747">
        <v>23701000</v>
      </c>
      <c r="U747" t="s">
        <v>182</v>
      </c>
      <c r="V747" s="1" t="s">
        <v>179</v>
      </c>
      <c r="W747" s="1" t="s">
        <v>180</v>
      </c>
      <c r="X747" s="1" t="str">
        <f>VLOOKUP(V747,Broker_Directory!A:C,3,FALSE)</f>
        <v>Tier B</v>
      </c>
      <c r="Y747" s="1">
        <f>HLOOKUP(X747, Commission_Rates!A$1:C$2, 2, FALSE)</f>
        <v>1.4999999999999999E-2</v>
      </c>
      <c r="Z747" s="1">
        <f t="shared" si="33"/>
        <v>0</v>
      </c>
      <c r="AA747" s="1">
        <f t="shared" si="34"/>
        <v>0</v>
      </c>
      <c r="AB747" s="1">
        <f t="shared" si="35"/>
        <v>0</v>
      </c>
    </row>
    <row r="748" spans="1:28" x14ac:dyDescent="0.3">
      <c r="A748" s="1" t="s">
        <v>53</v>
      </c>
      <c r="B748" s="1" t="s">
        <v>100</v>
      </c>
      <c r="C748">
        <v>2</v>
      </c>
      <c r="D748">
        <v>4</v>
      </c>
      <c r="E748">
        <v>2504</v>
      </c>
      <c r="F748">
        <v>7258</v>
      </c>
      <c r="G748">
        <v>1</v>
      </c>
      <c r="H748">
        <v>2008</v>
      </c>
      <c r="I748">
        <v>2021</v>
      </c>
      <c r="J748" s="1" t="s">
        <v>22</v>
      </c>
      <c r="K748">
        <v>3</v>
      </c>
      <c r="L748" s="1" t="s">
        <v>23</v>
      </c>
      <c r="M748" s="1" t="s">
        <v>24</v>
      </c>
      <c r="N748" s="1" t="s">
        <v>25</v>
      </c>
      <c r="O748">
        <v>8</v>
      </c>
      <c r="P748">
        <v>3</v>
      </c>
      <c r="Q748" s="1" t="s">
        <v>131</v>
      </c>
      <c r="R748">
        <v>2</v>
      </c>
      <c r="S748" s="1" t="s">
        <v>27</v>
      </c>
      <c r="T748">
        <v>22906000</v>
      </c>
      <c r="U748" t="s">
        <v>184</v>
      </c>
      <c r="V748" s="1" t="s">
        <v>174</v>
      </c>
      <c r="W748" s="1" t="s">
        <v>175</v>
      </c>
      <c r="X748" s="1" t="str">
        <f>VLOOKUP(V748,Broker_Directory!A:C,3,FALSE)</f>
        <v>Tier A</v>
      </c>
      <c r="Y748" s="1">
        <f>HLOOKUP(X748, Commission_Rates!A$1:C$2, 2, FALSE)</f>
        <v>0.02</v>
      </c>
      <c r="Z748" s="1">
        <f t="shared" si="33"/>
        <v>458120</v>
      </c>
      <c r="AA748" s="1">
        <f t="shared" si="34"/>
        <v>687180</v>
      </c>
      <c r="AB748" s="1">
        <f t="shared" si="35"/>
        <v>229060</v>
      </c>
    </row>
    <row r="749" spans="1:28" x14ac:dyDescent="0.3">
      <c r="A749" s="1" t="s">
        <v>28</v>
      </c>
      <c r="B749" s="1" t="s">
        <v>60</v>
      </c>
      <c r="C749">
        <v>3</v>
      </c>
      <c r="D749">
        <v>1</v>
      </c>
      <c r="E749">
        <v>2561</v>
      </c>
      <c r="F749">
        <v>7278</v>
      </c>
      <c r="G749">
        <v>2</v>
      </c>
      <c r="H749">
        <v>1953</v>
      </c>
      <c r="I749">
        <v>2014</v>
      </c>
      <c r="J749" s="1" t="s">
        <v>22</v>
      </c>
      <c r="K749">
        <v>1</v>
      </c>
      <c r="L749" s="1" t="s">
        <v>41</v>
      </c>
      <c r="M749" s="1" t="s">
        <v>24</v>
      </c>
      <c r="N749" s="1" t="s">
        <v>35</v>
      </c>
      <c r="O749">
        <v>7</v>
      </c>
      <c r="P749">
        <v>2</v>
      </c>
      <c r="Q749" s="1" t="s">
        <v>61</v>
      </c>
      <c r="R749">
        <v>2</v>
      </c>
      <c r="S749" s="1" t="s">
        <v>24</v>
      </c>
      <c r="T749">
        <v>25935000</v>
      </c>
      <c r="U749" t="s">
        <v>184</v>
      </c>
      <c r="V749" s="1" t="s">
        <v>168</v>
      </c>
      <c r="W749" s="1" t="s">
        <v>169</v>
      </c>
      <c r="X749" s="1" t="str">
        <f>VLOOKUP(V749,Broker_Directory!A:C,3,FALSE)</f>
        <v>Tier A</v>
      </c>
      <c r="Y749" s="1">
        <f>HLOOKUP(X749, Commission_Rates!A$1:C$2, 2, FALSE)</f>
        <v>0.02</v>
      </c>
      <c r="Z749" s="1">
        <f t="shared" si="33"/>
        <v>518700</v>
      </c>
      <c r="AA749" s="1">
        <f t="shared" si="34"/>
        <v>778050</v>
      </c>
      <c r="AB749" s="1">
        <f t="shared" si="35"/>
        <v>259350</v>
      </c>
    </row>
    <row r="750" spans="1:28" x14ac:dyDescent="0.3">
      <c r="A750" s="1" t="s">
        <v>33</v>
      </c>
      <c r="B750" s="1" t="s">
        <v>43</v>
      </c>
      <c r="C750">
        <v>4</v>
      </c>
      <c r="D750">
        <v>2</v>
      </c>
      <c r="E750">
        <v>4720</v>
      </c>
      <c r="F750">
        <v>9577</v>
      </c>
      <c r="G750">
        <v>2</v>
      </c>
      <c r="H750">
        <v>1950</v>
      </c>
      <c r="I750">
        <v>1955</v>
      </c>
      <c r="J750" s="1" t="s">
        <v>30</v>
      </c>
      <c r="K750">
        <v>0</v>
      </c>
      <c r="L750" s="1" t="s">
        <v>23</v>
      </c>
      <c r="M750" s="1" t="s">
        <v>24</v>
      </c>
      <c r="N750" s="1" t="s">
        <v>35</v>
      </c>
      <c r="O750">
        <v>6</v>
      </c>
      <c r="P750">
        <v>5</v>
      </c>
      <c r="Q750" s="1" t="s">
        <v>130</v>
      </c>
      <c r="R750">
        <v>1</v>
      </c>
      <c r="S750" s="1" t="s">
        <v>24</v>
      </c>
      <c r="T750">
        <v>40510000</v>
      </c>
      <c r="U750" t="s">
        <v>184</v>
      </c>
      <c r="V750" s="1" t="s">
        <v>176</v>
      </c>
      <c r="W750" s="1" t="s">
        <v>177</v>
      </c>
      <c r="X750" s="1" t="str">
        <f>VLOOKUP(V750,Broker_Directory!A:C,3,FALSE)</f>
        <v>Tier C</v>
      </c>
      <c r="Y750" s="1">
        <f>HLOOKUP(X750, Commission_Rates!A$1:C$2, 2, FALSE)</f>
        <v>0.01</v>
      </c>
      <c r="Z750" s="1">
        <f t="shared" si="33"/>
        <v>405100</v>
      </c>
      <c r="AA750" s="1">
        <f t="shared" si="34"/>
        <v>1215300</v>
      </c>
      <c r="AB750" s="1">
        <f t="shared" si="35"/>
        <v>810200</v>
      </c>
    </row>
    <row r="751" spans="1:28" x14ac:dyDescent="0.3">
      <c r="A751" s="1" t="s">
        <v>33</v>
      </c>
      <c r="B751" s="1" t="s">
        <v>75</v>
      </c>
      <c r="C751">
        <v>2</v>
      </c>
      <c r="D751">
        <v>1</v>
      </c>
      <c r="E751">
        <v>4354</v>
      </c>
      <c r="F751">
        <v>5382</v>
      </c>
      <c r="G751">
        <v>2</v>
      </c>
      <c r="H751">
        <v>1961</v>
      </c>
      <c r="I751">
        <v>1972</v>
      </c>
      <c r="J751" s="1" t="s">
        <v>22</v>
      </c>
      <c r="K751">
        <v>3</v>
      </c>
      <c r="L751" s="1" t="s">
        <v>41</v>
      </c>
      <c r="M751" s="1" t="s">
        <v>27</v>
      </c>
      <c r="N751" s="1" t="s">
        <v>35</v>
      </c>
      <c r="O751">
        <v>7</v>
      </c>
      <c r="P751">
        <v>1</v>
      </c>
      <c r="Q751" s="1" t="s">
        <v>161</v>
      </c>
      <c r="R751">
        <v>1</v>
      </c>
      <c r="S751" s="1" t="s">
        <v>24</v>
      </c>
      <c r="T751">
        <v>37244000</v>
      </c>
      <c r="U751" t="s">
        <v>183</v>
      </c>
      <c r="V751" s="1" t="s">
        <v>176</v>
      </c>
      <c r="W751" s="1" t="s">
        <v>177</v>
      </c>
      <c r="X751" s="1" t="str">
        <f>VLOOKUP(V751,Broker_Directory!A:C,3,FALSE)</f>
        <v>Tier C</v>
      </c>
      <c r="Y751" s="1">
        <f>HLOOKUP(X751, Commission_Rates!A$1:C$2, 2, FALSE)</f>
        <v>0.01</v>
      </c>
      <c r="Z751" s="1">
        <f t="shared" si="33"/>
        <v>0</v>
      </c>
      <c r="AA751" s="1">
        <f t="shared" si="34"/>
        <v>0</v>
      </c>
      <c r="AB751" s="1">
        <f t="shared" si="35"/>
        <v>0</v>
      </c>
    </row>
    <row r="752" spans="1:28" x14ac:dyDescent="0.3">
      <c r="A752" s="1" t="s">
        <v>53</v>
      </c>
      <c r="B752" s="1" t="s">
        <v>89</v>
      </c>
      <c r="C752">
        <v>2</v>
      </c>
      <c r="D752">
        <v>4</v>
      </c>
      <c r="E752">
        <v>2364</v>
      </c>
      <c r="F752">
        <v>6507</v>
      </c>
      <c r="G752">
        <v>1</v>
      </c>
      <c r="H752">
        <v>1973</v>
      </c>
      <c r="I752">
        <v>1988</v>
      </c>
      <c r="J752" s="1" t="s">
        <v>22</v>
      </c>
      <c r="K752">
        <v>1</v>
      </c>
      <c r="L752" s="1" t="s">
        <v>31</v>
      </c>
      <c r="M752" s="1" t="s">
        <v>27</v>
      </c>
      <c r="N752" s="1" t="s">
        <v>35</v>
      </c>
      <c r="O752">
        <v>10</v>
      </c>
      <c r="P752">
        <v>0</v>
      </c>
      <c r="Q752" s="1" t="s">
        <v>90</v>
      </c>
      <c r="R752">
        <v>3</v>
      </c>
      <c r="S752" s="1" t="s">
        <v>24</v>
      </c>
      <c r="T752">
        <v>21611000</v>
      </c>
      <c r="U752" t="s">
        <v>182</v>
      </c>
      <c r="V752" s="1" t="s">
        <v>171</v>
      </c>
      <c r="W752" s="1" t="s">
        <v>172</v>
      </c>
      <c r="X752" s="1" t="str">
        <f>VLOOKUP(V752,Broker_Directory!A:C,3,FALSE)</f>
        <v>Tier B</v>
      </c>
      <c r="Y752" s="1">
        <f>HLOOKUP(X752, Commission_Rates!A$1:C$2, 2, FALSE)</f>
        <v>1.4999999999999999E-2</v>
      </c>
      <c r="Z752" s="1">
        <f t="shared" si="33"/>
        <v>0</v>
      </c>
      <c r="AA752" s="1">
        <f t="shared" si="34"/>
        <v>0</v>
      </c>
      <c r="AB752" s="1">
        <f t="shared" si="35"/>
        <v>0</v>
      </c>
    </row>
    <row r="753" spans="1:28" x14ac:dyDescent="0.3">
      <c r="A753" s="1" t="s">
        <v>33</v>
      </c>
      <c r="B753" s="1" t="s">
        <v>34</v>
      </c>
      <c r="C753">
        <v>1</v>
      </c>
      <c r="D753">
        <v>1</v>
      </c>
      <c r="E753">
        <v>4863</v>
      </c>
      <c r="F753">
        <v>5397</v>
      </c>
      <c r="G753">
        <v>3</v>
      </c>
      <c r="H753">
        <v>1997</v>
      </c>
      <c r="I753">
        <v>1999</v>
      </c>
      <c r="J753" s="1" t="s">
        <v>52</v>
      </c>
      <c r="K753">
        <v>0</v>
      </c>
      <c r="L753" s="1" t="s">
        <v>23</v>
      </c>
      <c r="M753" s="1" t="s">
        <v>24</v>
      </c>
      <c r="N753" s="1" t="s">
        <v>46</v>
      </c>
      <c r="O753">
        <v>6</v>
      </c>
      <c r="P753">
        <v>2</v>
      </c>
      <c r="Q753" s="1" t="s">
        <v>36</v>
      </c>
      <c r="R753">
        <v>2</v>
      </c>
      <c r="S753" s="1" t="s">
        <v>24</v>
      </c>
      <c r="T753">
        <v>41580500</v>
      </c>
      <c r="U753" t="s">
        <v>183</v>
      </c>
      <c r="V753" s="1" t="s">
        <v>179</v>
      </c>
      <c r="W753" s="1" t="s">
        <v>180</v>
      </c>
      <c r="X753" s="1" t="str">
        <f>VLOOKUP(V753,Broker_Directory!A:C,3,FALSE)</f>
        <v>Tier B</v>
      </c>
      <c r="Y753" s="1">
        <f>HLOOKUP(X753, Commission_Rates!A$1:C$2, 2, FALSE)</f>
        <v>1.4999999999999999E-2</v>
      </c>
      <c r="Z753" s="1">
        <f t="shared" si="33"/>
        <v>0</v>
      </c>
      <c r="AA753" s="1">
        <f t="shared" si="34"/>
        <v>0</v>
      </c>
      <c r="AB753" s="1">
        <f t="shared" si="35"/>
        <v>0</v>
      </c>
    </row>
    <row r="754" spans="1:28" x14ac:dyDescent="0.3">
      <c r="A754" s="1" t="s">
        <v>28</v>
      </c>
      <c r="B754" s="1" t="s">
        <v>110</v>
      </c>
      <c r="C754">
        <v>5</v>
      </c>
      <c r="D754">
        <v>4</v>
      </c>
      <c r="E754">
        <v>1789</v>
      </c>
      <c r="F754">
        <v>6223</v>
      </c>
      <c r="G754">
        <v>1</v>
      </c>
      <c r="H754">
        <v>1994</v>
      </c>
      <c r="I754">
        <v>1999</v>
      </c>
      <c r="J754" s="1" t="s">
        <v>52</v>
      </c>
      <c r="K754">
        <v>2</v>
      </c>
      <c r="L754" s="1" t="s">
        <v>31</v>
      </c>
      <c r="M754" s="1" t="s">
        <v>27</v>
      </c>
      <c r="N754" s="1" t="s">
        <v>35</v>
      </c>
      <c r="O754">
        <v>2</v>
      </c>
      <c r="P754">
        <v>4</v>
      </c>
      <c r="Q754" s="1" t="s">
        <v>117</v>
      </c>
      <c r="R754">
        <v>3</v>
      </c>
      <c r="S754" s="1" t="s">
        <v>24</v>
      </c>
      <c r="T754">
        <v>18375000</v>
      </c>
      <c r="U754" t="s">
        <v>183</v>
      </c>
      <c r="V754" s="1" t="s">
        <v>176</v>
      </c>
      <c r="W754" s="1" t="s">
        <v>177</v>
      </c>
      <c r="X754" s="1" t="str">
        <f>VLOOKUP(V754,Broker_Directory!A:C,3,FALSE)</f>
        <v>Tier C</v>
      </c>
      <c r="Y754" s="1">
        <f>HLOOKUP(X754, Commission_Rates!A$1:C$2, 2, FALSE)</f>
        <v>0.01</v>
      </c>
      <c r="Z754" s="1">
        <f t="shared" si="33"/>
        <v>0</v>
      </c>
      <c r="AA754" s="1">
        <f t="shared" si="34"/>
        <v>0</v>
      </c>
      <c r="AB754" s="1">
        <f t="shared" si="35"/>
        <v>0</v>
      </c>
    </row>
    <row r="755" spans="1:28" x14ac:dyDescent="0.3">
      <c r="A755" s="1" t="s">
        <v>33</v>
      </c>
      <c r="B755" s="1" t="s">
        <v>48</v>
      </c>
      <c r="C755">
        <v>5</v>
      </c>
      <c r="D755">
        <v>1</v>
      </c>
      <c r="E755">
        <v>2853</v>
      </c>
      <c r="F755">
        <v>5290</v>
      </c>
      <c r="G755">
        <v>1</v>
      </c>
      <c r="H755">
        <v>1994</v>
      </c>
      <c r="I755">
        <v>2004</v>
      </c>
      <c r="J755" s="1" t="s">
        <v>52</v>
      </c>
      <c r="K755">
        <v>0</v>
      </c>
      <c r="L755" s="1" t="s">
        <v>41</v>
      </c>
      <c r="M755" s="1" t="s">
        <v>24</v>
      </c>
      <c r="N755" s="1" t="s">
        <v>35</v>
      </c>
      <c r="O755">
        <v>2</v>
      </c>
      <c r="P755">
        <v>4</v>
      </c>
      <c r="Q755" s="1" t="s">
        <v>68</v>
      </c>
      <c r="R755">
        <v>3</v>
      </c>
      <c r="S755" s="1" t="s">
        <v>27</v>
      </c>
      <c r="T755">
        <v>24620500</v>
      </c>
      <c r="U755" t="s">
        <v>184</v>
      </c>
      <c r="V755" s="1" t="s">
        <v>168</v>
      </c>
      <c r="W755" s="1" t="s">
        <v>169</v>
      </c>
      <c r="X755" s="1" t="str">
        <f>VLOOKUP(V755,Broker_Directory!A:C,3,FALSE)</f>
        <v>Tier A</v>
      </c>
      <c r="Y755" s="1">
        <f>HLOOKUP(X755, Commission_Rates!A$1:C$2, 2, FALSE)</f>
        <v>0.02</v>
      </c>
      <c r="Z755" s="1">
        <f t="shared" si="33"/>
        <v>492410</v>
      </c>
      <c r="AA755" s="1">
        <f t="shared" si="34"/>
        <v>738615</v>
      </c>
      <c r="AB755" s="1">
        <f t="shared" si="35"/>
        <v>246205</v>
      </c>
    </row>
    <row r="756" spans="1:28" x14ac:dyDescent="0.3">
      <c r="A756" s="1" t="s">
        <v>37</v>
      </c>
      <c r="B756" s="1" t="s">
        <v>87</v>
      </c>
      <c r="C756">
        <v>5</v>
      </c>
      <c r="D756">
        <v>1</v>
      </c>
      <c r="E756">
        <v>3071</v>
      </c>
      <c r="F756">
        <v>5138</v>
      </c>
      <c r="G756">
        <v>2</v>
      </c>
      <c r="H756">
        <v>1968</v>
      </c>
      <c r="I756">
        <v>1982</v>
      </c>
      <c r="J756" s="1" t="s">
        <v>22</v>
      </c>
      <c r="K756">
        <v>1</v>
      </c>
      <c r="L756" s="1" t="s">
        <v>41</v>
      </c>
      <c r="M756" s="1" t="s">
        <v>24</v>
      </c>
      <c r="N756" s="1" t="s">
        <v>46</v>
      </c>
      <c r="O756">
        <v>0</v>
      </c>
      <c r="P756">
        <v>3</v>
      </c>
      <c r="Q756" s="1" t="s">
        <v>141</v>
      </c>
      <c r="R756">
        <v>0</v>
      </c>
      <c r="S756" s="1" t="s">
        <v>27</v>
      </c>
      <c r="T756">
        <v>24913000</v>
      </c>
      <c r="U756" t="s">
        <v>182</v>
      </c>
      <c r="V756" s="1" t="s">
        <v>179</v>
      </c>
      <c r="W756" s="1" t="s">
        <v>180</v>
      </c>
      <c r="X756" s="1" t="str">
        <f>VLOOKUP(V756,Broker_Directory!A:C,3,FALSE)</f>
        <v>Tier B</v>
      </c>
      <c r="Y756" s="1">
        <f>HLOOKUP(X756, Commission_Rates!A$1:C$2, 2, FALSE)</f>
        <v>1.4999999999999999E-2</v>
      </c>
      <c r="Z756" s="1">
        <f t="shared" si="33"/>
        <v>0</v>
      </c>
      <c r="AA756" s="1">
        <f t="shared" si="34"/>
        <v>0</v>
      </c>
      <c r="AB756" s="1">
        <f t="shared" si="35"/>
        <v>0</v>
      </c>
    </row>
    <row r="757" spans="1:28" x14ac:dyDescent="0.3">
      <c r="A757" s="1" t="s">
        <v>33</v>
      </c>
      <c r="B757" s="1" t="s">
        <v>43</v>
      </c>
      <c r="C757">
        <v>5</v>
      </c>
      <c r="D757">
        <v>4</v>
      </c>
      <c r="E757">
        <v>4775</v>
      </c>
      <c r="F757">
        <v>6471</v>
      </c>
      <c r="G757">
        <v>2</v>
      </c>
      <c r="H757">
        <v>1991</v>
      </c>
      <c r="I757">
        <v>1998</v>
      </c>
      <c r="J757" s="1" t="s">
        <v>22</v>
      </c>
      <c r="K757">
        <v>1</v>
      </c>
      <c r="L757" s="1" t="s">
        <v>64</v>
      </c>
      <c r="M757" s="1" t="s">
        <v>27</v>
      </c>
      <c r="N757" s="1" t="s">
        <v>46</v>
      </c>
      <c r="O757">
        <v>6</v>
      </c>
      <c r="P757">
        <v>3</v>
      </c>
      <c r="Q757" s="1" t="s">
        <v>83</v>
      </c>
      <c r="R757">
        <v>3</v>
      </c>
      <c r="S757" s="1" t="s">
        <v>24</v>
      </c>
      <c r="T757">
        <v>41092500</v>
      </c>
      <c r="U757" t="s">
        <v>183</v>
      </c>
      <c r="V757" s="1" t="s">
        <v>168</v>
      </c>
      <c r="W757" s="1" t="s">
        <v>169</v>
      </c>
      <c r="X757" s="1" t="str">
        <f>VLOOKUP(V757,Broker_Directory!A:C,3,FALSE)</f>
        <v>Tier A</v>
      </c>
      <c r="Y757" s="1">
        <f>HLOOKUP(X757, Commission_Rates!A$1:C$2, 2, FALSE)</f>
        <v>0.02</v>
      </c>
      <c r="Z757" s="1">
        <f t="shared" si="33"/>
        <v>0</v>
      </c>
      <c r="AA757" s="1">
        <f t="shared" si="34"/>
        <v>0</v>
      </c>
      <c r="AB757" s="1">
        <f t="shared" si="35"/>
        <v>0</v>
      </c>
    </row>
    <row r="758" spans="1:28" x14ac:dyDescent="0.3">
      <c r="A758" s="1" t="s">
        <v>37</v>
      </c>
      <c r="B758" s="1" t="s">
        <v>87</v>
      </c>
      <c r="C758">
        <v>3</v>
      </c>
      <c r="D758">
        <v>4</v>
      </c>
      <c r="E758">
        <v>3485</v>
      </c>
      <c r="F758">
        <v>6040</v>
      </c>
      <c r="G758">
        <v>2</v>
      </c>
      <c r="H758">
        <v>1986</v>
      </c>
      <c r="I758">
        <v>1988</v>
      </c>
      <c r="J758" s="1" t="s">
        <v>58</v>
      </c>
      <c r="K758">
        <v>1</v>
      </c>
      <c r="L758" s="1" t="s">
        <v>23</v>
      </c>
      <c r="M758" s="1" t="s">
        <v>27</v>
      </c>
      <c r="N758" s="1" t="s">
        <v>35</v>
      </c>
      <c r="O758">
        <v>9</v>
      </c>
      <c r="P758">
        <v>4</v>
      </c>
      <c r="Q758" s="1" t="s">
        <v>152</v>
      </c>
      <c r="R758">
        <v>2</v>
      </c>
      <c r="S758" s="1" t="s">
        <v>24</v>
      </c>
      <c r="T758">
        <v>28270000</v>
      </c>
      <c r="U758" t="s">
        <v>184</v>
      </c>
      <c r="V758" s="1" t="s">
        <v>168</v>
      </c>
      <c r="W758" s="1" t="s">
        <v>169</v>
      </c>
      <c r="X758" s="1" t="str">
        <f>VLOOKUP(V758,Broker_Directory!A:C,3,FALSE)</f>
        <v>Tier A</v>
      </c>
      <c r="Y758" s="1">
        <f>HLOOKUP(X758, Commission_Rates!A$1:C$2, 2, FALSE)</f>
        <v>0.02</v>
      </c>
      <c r="Z758" s="1">
        <f t="shared" si="33"/>
        <v>565400</v>
      </c>
      <c r="AA758" s="1">
        <f t="shared" si="34"/>
        <v>848100</v>
      </c>
      <c r="AB758" s="1">
        <f t="shared" si="35"/>
        <v>282700</v>
      </c>
    </row>
    <row r="759" spans="1:28" x14ac:dyDescent="0.3">
      <c r="A759" s="1" t="s">
        <v>33</v>
      </c>
      <c r="B759" s="1" t="s">
        <v>48</v>
      </c>
      <c r="C759">
        <v>1</v>
      </c>
      <c r="D759">
        <v>3</v>
      </c>
      <c r="E759">
        <v>3453</v>
      </c>
      <c r="F759">
        <v>5045</v>
      </c>
      <c r="G759">
        <v>2</v>
      </c>
      <c r="H759">
        <v>2018</v>
      </c>
      <c r="I759">
        <v>0</v>
      </c>
      <c r="J759" s="1" t="s">
        <v>22</v>
      </c>
      <c r="K759">
        <v>1</v>
      </c>
      <c r="L759" s="1" t="s">
        <v>64</v>
      </c>
      <c r="M759" s="1" t="s">
        <v>24</v>
      </c>
      <c r="N759" s="1" t="s">
        <v>25</v>
      </c>
      <c r="O759">
        <v>1</v>
      </c>
      <c r="P759">
        <v>3</v>
      </c>
      <c r="Q759" s="1" t="s">
        <v>84</v>
      </c>
      <c r="R759">
        <v>1</v>
      </c>
      <c r="S759" s="1" t="s">
        <v>27</v>
      </c>
      <c r="T759">
        <v>29645500</v>
      </c>
      <c r="U759" t="s">
        <v>183</v>
      </c>
      <c r="V759" s="1" t="s">
        <v>174</v>
      </c>
      <c r="W759" s="1" t="s">
        <v>175</v>
      </c>
      <c r="X759" s="1" t="str">
        <f>VLOOKUP(V759,Broker_Directory!A:C,3,FALSE)</f>
        <v>Tier A</v>
      </c>
      <c r="Y759" s="1">
        <f>HLOOKUP(X759, Commission_Rates!A$1:C$2, 2, FALSE)</f>
        <v>0.02</v>
      </c>
      <c r="Z759" s="1">
        <f t="shared" si="33"/>
        <v>0</v>
      </c>
      <c r="AA759" s="1">
        <f t="shared" si="34"/>
        <v>0</v>
      </c>
      <c r="AB759" s="1">
        <f t="shared" si="35"/>
        <v>0</v>
      </c>
    </row>
    <row r="760" spans="1:28" x14ac:dyDescent="0.3">
      <c r="A760" s="1" t="s">
        <v>20</v>
      </c>
      <c r="B760" s="1" t="s">
        <v>40</v>
      </c>
      <c r="C760">
        <v>4</v>
      </c>
      <c r="D760">
        <v>2</v>
      </c>
      <c r="E760">
        <v>4978</v>
      </c>
      <c r="F760">
        <v>5155</v>
      </c>
      <c r="G760">
        <v>1</v>
      </c>
      <c r="H760">
        <v>1998</v>
      </c>
      <c r="I760">
        <v>2003</v>
      </c>
      <c r="J760" s="1" t="s">
        <v>58</v>
      </c>
      <c r="K760">
        <v>2</v>
      </c>
      <c r="L760" s="1" t="s">
        <v>23</v>
      </c>
      <c r="M760" s="1" t="s">
        <v>24</v>
      </c>
      <c r="N760" s="1" t="s">
        <v>35</v>
      </c>
      <c r="O760">
        <v>5</v>
      </c>
      <c r="P760">
        <v>1</v>
      </c>
      <c r="Q760" s="1" t="s">
        <v>153</v>
      </c>
      <c r="R760">
        <v>1</v>
      </c>
      <c r="S760" s="1" t="s">
        <v>27</v>
      </c>
      <c r="T760">
        <v>60056000</v>
      </c>
      <c r="U760" t="s">
        <v>182</v>
      </c>
      <c r="V760" s="1" t="s">
        <v>174</v>
      </c>
      <c r="W760" s="1" t="s">
        <v>175</v>
      </c>
      <c r="X760" s="1" t="str">
        <f>VLOOKUP(V760,Broker_Directory!A:C,3,FALSE)</f>
        <v>Tier A</v>
      </c>
      <c r="Y760" s="1">
        <f>HLOOKUP(X760, Commission_Rates!A$1:C$2, 2, FALSE)</f>
        <v>0.02</v>
      </c>
      <c r="Z760" s="1">
        <f t="shared" si="33"/>
        <v>0</v>
      </c>
      <c r="AA760" s="1">
        <f t="shared" si="34"/>
        <v>0</v>
      </c>
      <c r="AB760" s="1">
        <f t="shared" si="35"/>
        <v>0</v>
      </c>
    </row>
    <row r="761" spans="1:28" x14ac:dyDescent="0.3">
      <c r="A761" s="1" t="s">
        <v>37</v>
      </c>
      <c r="B761" s="1" t="s">
        <v>87</v>
      </c>
      <c r="C761">
        <v>2</v>
      </c>
      <c r="D761">
        <v>2</v>
      </c>
      <c r="E761">
        <v>2316</v>
      </c>
      <c r="F761">
        <v>7459</v>
      </c>
      <c r="G761">
        <v>3</v>
      </c>
      <c r="H761">
        <v>1983</v>
      </c>
      <c r="I761">
        <v>2009</v>
      </c>
      <c r="J761" s="1" t="s">
        <v>30</v>
      </c>
      <c r="K761">
        <v>1</v>
      </c>
      <c r="L761" s="1" t="s">
        <v>64</v>
      </c>
      <c r="M761" s="1" t="s">
        <v>27</v>
      </c>
      <c r="N761" s="1" t="s">
        <v>35</v>
      </c>
      <c r="O761">
        <v>0</v>
      </c>
      <c r="P761">
        <v>3</v>
      </c>
      <c r="Q761" s="1" t="s">
        <v>138</v>
      </c>
      <c r="R761">
        <v>3</v>
      </c>
      <c r="S761" s="1" t="s">
        <v>27</v>
      </c>
      <c r="T761">
        <v>18793000</v>
      </c>
      <c r="U761" t="s">
        <v>183</v>
      </c>
      <c r="V761" s="1" t="s">
        <v>171</v>
      </c>
      <c r="W761" s="1" t="s">
        <v>172</v>
      </c>
      <c r="X761" s="1" t="str">
        <f>VLOOKUP(V761,Broker_Directory!A:C,3,FALSE)</f>
        <v>Tier B</v>
      </c>
      <c r="Y761" s="1">
        <f>HLOOKUP(X761, Commission_Rates!A$1:C$2, 2, FALSE)</f>
        <v>1.4999999999999999E-2</v>
      </c>
      <c r="Z761" s="1">
        <f t="shared" si="33"/>
        <v>0</v>
      </c>
      <c r="AA761" s="1">
        <f t="shared" si="34"/>
        <v>0</v>
      </c>
      <c r="AB761" s="1">
        <f t="shared" si="35"/>
        <v>0</v>
      </c>
    </row>
    <row r="762" spans="1:28" x14ac:dyDescent="0.3">
      <c r="A762" s="1" t="s">
        <v>28</v>
      </c>
      <c r="B762" s="1" t="s">
        <v>29</v>
      </c>
      <c r="C762">
        <v>3</v>
      </c>
      <c r="D762">
        <v>1</v>
      </c>
      <c r="E762">
        <v>3539</v>
      </c>
      <c r="F762">
        <v>3931</v>
      </c>
      <c r="G762">
        <v>3</v>
      </c>
      <c r="H762">
        <v>2007</v>
      </c>
      <c r="I762">
        <v>2010</v>
      </c>
      <c r="J762" s="1" t="s">
        <v>52</v>
      </c>
      <c r="K762">
        <v>0</v>
      </c>
      <c r="L762" s="1" t="s">
        <v>23</v>
      </c>
      <c r="M762" s="1" t="s">
        <v>24</v>
      </c>
      <c r="N762" s="1" t="s">
        <v>25</v>
      </c>
      <c r="O762">
        <v>7</v>
      </c>
      <c r="P762">
        <v>0</v>
      </c>
      <c r="Q762" s="1" t="s">
        <v>149</v>
      </c>
      <c r="R762">
        <v>2</v>
      </c>
      <c r="S762" s="1" t="s">
        <v>24</v>
      </c>
      <c r="T762">
        <v>35810000</v>
      </c>
      <c r="U762" t="s">
        <v>182</v>
      </c>
      <c r="V762" s="1" t="s">
        <v>179</v>
      </c>
      <c r="W762" s="1" t="s">
        <v>180</v>
      </c>
      <c r="X762" s="1" t="str">
        <f>VLOOKUP(V762,Broker_Directory!A:C,3,FALSE)</f>
        <v>Tier B</v>
      </c>
      <c r="Y762" s="1">
        <f>HLOOKUP(X762, Commission_Rates!A$1:C$2, 2, FALSE)</f>
        <v>1.4999999999999999E-2</v>
      </c>
      <c r="Z762" s="1">
        <f t="shared" si="33"/>
        <v>0</v>
      </c>
      <c r="AA762" s="1">
        <f t="shared" si="34"/>
        <v>0</v>
      </c>
      <c r="AB762" s="1">
        <f t="shared" si="35"/>
        <v>0</v>
      </c>
    </row>
    <row r="763" spans="1:28" x14ac:dyDescent="0.3">
      <c r="A763" s="1" t="s">
        <v>53</v>
      </c>
      <c r="B763" s="1" t="s">
        <v>54</v>
      </c>
      <c r="C763">
        <v>3</v>
      </c>
      <c r="D763">
        <v>3</v>
      </c>
      <c r="E763">
        <v>2632</v>
      </c>
      <c r="F763">
        <v>9690</v>
      </c>
      <c r="G763">
        <v>3</v>
      </c>
      <c r="H763">
        <v>1983</v>
      </c>
      <c r="I763">
        <v>1988</v>
      </c>
      <c r="J763" s="1" t="s">
        <v>58</v>
      </c>
      <c r="K763">
        <v>3</v>
      </c>
      <c r="L763" s="1" t="s">
        <v>31</v>
      </c>
      <c r="M763" s="1" t="s">
        <v>24</v>
      </c>
      <c r="N763" s="1" t="s">
        <v>35</v>
      </c>
      <c r="O763">
        <v>7</v>
      </c>
      <c r="P763">
        <v>1</v>
      </c>
      <c r="Q763" s="1" t="s">
        <v>59</v>
      </c>
      <c r="R763">
        <v>0</v>
      </c>
      <c r="S763" s="1" t="s">
        <v>27</v>
      </c>
      <c r="T763">
        <v>24013000</v>
      </c>
      <c r="U763" t="s">
        <v>184</v>
      </c>
      <c r="V763" s="1" t="s">
        <v>176</v>
      </c>
      <c r="W763" s="1" t="s">
        <v>177</v>
      </c>
      <c r="X763" s="1" t="str">
        <f>VLOOKUP(V763,Broker_Directory!A:C,3,FALSE)</f>
        <v>Tier C</v>
      </c>
      <c r="Y763" s="1">
        <f>HLOOKUP(X763, Commission_Rates!A$1:C$2, 2, FALSE)</f>
        <v>0.01</v>
      </c>
      <c r="Z763" s="1">
        <f t="shared" si="33"/>
        <v>240130</v>
      </c>
      <c r="AA763" s="1">
        <f t="shared" si="34"/>
        <v>720390</v>
      </c>
      <c r="AB763" s="1">
        <f t="shared" si="35"/>
        <v>480260</v>
      </c>
    </row>
    <row r="764" spans="1:28" x14ac:dyDescent="0.3">
      <c r="A764" s="1" t="s">
        <v>37</v>
      </c>
      <c r="B764" s="1" t="s">
        <v>87</v>
      </c>
      <c r="C764">
        <v>1</v>
      </c>
      <c r="D764">
        <v>2</v>
      </c>
      <c r="E764">
        <v>611</v>
      </c>
      <c r="F764">
        <v>7019</v>
      </c>
      <c r="G764">
        <v>1</v>
      </c>
      <c r="H764">
        <v>1960</v>
      </c>
      <c r="I764">
        <v>1967</v>
      </c>
      <c r="J764" s="1" t="s">
        <v>52</v>
      </c>
      <c r="K764">
        <v>3</v>
      </c>
      <c r="L764" s="1" t="s">
        <v>64</v>
      </c>
      <c r="M764" s="1" t="s">
        <v>27</v>
      </c>
      <c r="N764" s="1" t="s">
        <v>35</v>
      </c>
      <c r="O764">
        <v>2</v>
      </c>
      <c r="P764">
        <v>3</v>
      </c>
      <c r="Q764" s="1" t="s">
        <v>141</v>
      </c>
      <c r="R764">
        <v>1</v>
      </c>
      <c r="S764" s="1" t="s">
        <v>24</v>
      </c>
      <c r="T764">
        <v>5083000</v>
      </c>
      <c r="U764" t="s">
        <v>183</v>
      </c>
      <c r="V764" s="1" t="s">
        <v>176</v>
      </c>
      <c r="W764" s="1" t="s">
        <v>177</v>
      </c>
      <c r="X764" s="1" t="str">
        <f>VLOOKUP(V764,Broker_Directory!A:C,3,FALSE)</f>
        <v>Tier C</v>
      </c>
      <c r="Y764" s="1">
        <f>HLOOKUP(X764, Commission_Rates!A$1:C$2, 2, FALSE)</f>
        <v>0.01</v>
      </c>
      <c r="Z764" s="1">
        <f t="shared" si="33"/>
        <v>0</v>
      </c>
      <c r="AA764" s="1">
        <f t="shared" si="34"/>
        <v>0</v>
      </c>
      <c r="AB764" s="1">
        <f t="shared" si="35"/>
        <v>0</v>
      </c>
    </row>
    <row r="765" spans="1:28" x14ac:dyDescent="0.3">
      <c r="A765" s="1" t="s">
        <v>53</v>
      </c>
      <c r="B765" s="1" t="s">
        <v>105</v>
      </c>
      <c r="C765">
        <v>5</v>
      </c>
      <c r="D765">
        <v>1</v>
      </c>
      <c r="E765">
        <v>1551</v>
      </c>
      <c r="F765">
        <v>7193</v>
      </c>
      <c r="G765">
        <v>2</v>
      </c>
      <c r="H765">
        <v>1972</v>
      </c>
      <c r="I765">
        <v>1993</v>
      </c>
      <c r="J765" s="1" t="s">
        <v>22</v>
      </c>
      <c r="K765">
        <v>1</v>
      </c>
      <c r="L765" s="1" t="s">
        <v>23</v>
      </c>
      <c r="M765" s="1" t="s">
        <v>27</v>
      </c>
      <c r="N765" s="1" t="s">
        <v>46</v>
      </c>
      <c r="O765">
        <v>2</v>
      </c>
      <c r="P765">
        <v>2</v>
      </c>
      <c r="Q765" s="1" t="s">
        <v>108</v>
      </c>
      <c r="R765">
        <v>1</v>
      </c>
      <c r="S765" s="1" t="s">
        <v>24</v>
      </c>
      <c r="T765">
        <v>14344000</v>
      </c>
      <c r="U765" t="s">
        <v>184</v>
      </c>
      <c r="V765" s="1" t="s">
        <v>168</v>
      </c>
      <c r="W765" s="1" t="s">
        <v>169</v>
      </c>
      <c r="X765" s="1" t="str">
        <f>VLOOKUP(V765,Broker_Directory!A:C,3,FALSE)</f>
        <v>Tier A</v>
      </c>
      <c r="Y765" s="1">
        <f>HLOOKUP(X765, Commission_Rates!A$1:C$2, 2, FALSE)</f>
        <v>0.02</v>
      </c>
      <c r="Z765" s="1">
        <f t="shared" si="33"/>
        <v>286880</v>
      </c>
      <c r="AA765" s="1">
        <f t="shared" si="34"/>
        <v>430320</v>
      </c>
      <c r="AB765" s="1">
        <f t="shared" si="35"/>
        <v>143440</v>
      </c>
    </row>
    <row r="766" spans="1:28" x14ac:dyDescent="0.3">
      <c r="A766" s="1" t="s">
        <v>28</v>
      </c>
      <c r="B766" s="1" t="s">
        <v>79</v>
      </c>
      <c r="C766">
        <v>4</v>
      </c>
      <c r="D766">
        <v>1</v>
      </c>
      <c r="E766">
        <v>3908</v>
      </c>
      <c r="F766">
        <v>4526</v>
      </c>
      <c r="G766">
        <v>1</v>
      </c>
      <c r="H766">
        <v>2017</v>
      </c>
      <c r="I766">
        <v>2020</v>
      </c>
      <c r="J766" s="1" t="s">
        <v>52</v>
      </c>
      <c r="K766">
        <v>1</v>
      </c>
      <c r="L766" s="1" t="s">
        <v>64</v>
      </c>
      <c r="M766" s="1" t="s">
        <v>24</v>
      </c>
      <c r="N766" s="1" t="s">
        <v>25</v>
      </c>
      <c r="O766">
        <v>10</v>
      </c>
      <c r="P766">
        <v>0</v>
      </c>
      <c r="Q766" s="1" t="s">
        <v>109</v>
      </c>
      <c r="R766">
        <v>0</v>
      </c>
      <c r="S766" s="1" t="s">
        <v>24</v>
      </c>
      <c r="T766">
        <v>39480000</v>
      </c>
      <c r="U766" t="s">
        <v>182</v>
      </c>
      <c r="V766" s="1" t="s">
        <v>174</v>
      </c>
      <c r="W766" s="1" t="s">
        <v>175</v>
      </c>
      <c r="X766" s="1" t="str">
        <f>VLOOKUP(V766,Broker_Directory!A:C,3,FALSE)</f>
        <v>Tier A</v>
      </c>
      <c r="Y766" s="1">
        <f>HLOOKUP(X766, Commission_Rates!A$1:C$2, 2, FALSE)</f>
        <v>0.02</v>
      </c>
      <c r="Z766" s="1">
        <f t="shared" si="33"/>
        <v>0</v>
      </c>
      <c r="AA766" s="1">
        <f t="shared" si="34"/>
        <v>0</v>
      </c>
      <c r="AB766" s="1">
        <f t="shared" si="35"/>
        <v>0</v>
      </c>
    </row>
    <row r="767" spans="1:28" x14ac:dyDescent="0.3">
      <c r="A767" s="1" t="s">
        <v>53</v>
      </c>
      <c r="B767" s="1" t="s">
        <v>89</v>
      </c>
      <c r="C767">
        <v>1</v>
      </c>
      <c r="D767">
        <v>2</v>
      </c>
      <c r="E767">
        <v>1150</v>
      </c>
      <c r="F767">
        <v>5028</v>
      </c>
      <c r="G767">
        <v>1</v>
      </c>
      <c r="H767">
        <v>1998</v>
      </c>
      <c r="I767">
        <v>0</v>
      </c>
      <c r="J767" s="1" t="s">
        <v>58</v>
      </c>
      <c r="K767">
        <v>3</v>
      </c>
      <c r="L767" s="1" t="s">
        <v>23</v>
      </c>
      <c r="M767" s="1" t="s">
        <v>24</v>
      </c>
      <c r="N767" s="1" t="s">
        <v>35</v>
      </c>
      <c r="O767">
        <v>0</v>
      </c>
      <c r="P767">
        <v>4</v>
      </c>
      <c r="Q767" s="1" t="s">
        <v>125</v>
      </c>
      <c r="R767">
        <v>0</v>
      </c>
      <c r="S767" s="1" t="s">
        <v>27</v>
      </c>
      <c r="T767">
        <v>10505000</v>
      </c>
      <c r="U767" t="s">
        <v>183</v>
      </c>
      <c r="V767" s="1" t="s">
        <v>171</v>
      </c>
      <c r="W767" s="1" t="s">
        <v>172</v>
      </c>
      <c r="X767" s="1" t="str">
        <f>VLOOKUP(V767,Broker_Directory!A:C,3,FALSE)</f>
        <v>Tier B</v>
      </c>
      <c r="Y767" s="1">
        <f>HLOOKUP(X767, Commission_Rates!A$1:C$2, 2, FALSE)</f>
        <v>1.4999999999999999E-2</v>
      </c>
      <c r="Z767" s="1">
        <f t="shared" si="33"/>
        <v>0</v>
      </c>
      <c r="AA767" s="1">
        <f t="shared" si="34"/>
        <v>0</v>
      </c>
      <c r="AB767" s="1">
        <f t="shared" si="35"/>
        <v>0</v>
      </c>
    </row>
    <row r="768" spans="1:28" x14ac:dyDescent="0.3">
      <c r="A768" s="1" t="s">
        <v>33</v>
      </c>
      <c r="B768" s="1" t="s">
        <v>98</v>
      </c>
      <c r="C768">
        <v>3</v>
      </c>
      <c r="D768">
        <v>4</v>
      </c>
      <c r="E768">
        <v>3983</v>
      </c>
      <c r="F768">
        <v>5979</v>
      </c>
      <c r="G768">
        <v>3</v>
      </c>
      <c r="H768">
        <v>2012</v>
      </c>
      <c r="I768">
        <v>2020</v>
      </c>
      <c r="J768" s="1" t="s">
        <v>30</v>
      </c>
      <c r="K768">
        <v>2</v>
      </c>
      <c r="L768" s="1" t="s">
        <v>41</v>
      </c>
      <c r="M768" s="1" t="s">
        <v>27</v>
      </c>
      <c r="N768" s="1" t="s">
        <v>25</v>
      </c>
      <c r="O768">
        <v>7</v>
      </c>
      <c r="P768">
        <v>4</v>
      </c>
      <c r="Q768" s="1" t="s">
        <v>150</v>
      </c>
      <c r="R768">
        <v>1</v>
      </c>
      <c r="S768" s="1" t="s">
        <v>24</v>
      </c>
      <c r="T768">
        <v>34325500</v>
      </c>
      <c r="U768" t="s">
        <v>183</v>
      </c>
      <c r="V768" s="1" t="s">
        <v>168</v>
      </c>
      <c r="W768" s="1" t="s">
        <v>169</v>
      </c>
      <c r="X768" s="1" t="str">
        <f>VLOOKUP(V768,Broker_Directory!A:C,3,FALSE)</f>
        <v>Tier A</v>
      </c>
      <c r="Y768" s="1">
        <f>HLOOKUP(X768, Commission_Rates!A$1:C$2, 2, FALSE)</f>
        <v>0.02</v>
      </c>
      <c r="Z768" s="1">
        <f t="shared" si="33"/>
        <v>0</v>
      </c>
      <c r="AA768" s="1">
        <f t="shared" si="34"/>
        <v>0</v>
      </c>
      <c r="AB768" s="1">
        <f t="shared" si="35"/>
        <v>0</v>
      </c>
    </row>
    <row r="769" spans="1:28" x14ac:dyDescent="0.3">
      <c r="A769" s="1" t="s">
        <v>53</v>
      </c>
      <c r="B769" s="1" t="s">
        <v>66</v>
      </c>
      <c r="C769">
        <v>4</v>
      </c>
      <c r="D769">
        <v>3</v>
      </c>
      <c r="E769">
        <v>1613</v>
      </c>
      <c r="F769">
        <v>7693</v>
      </c>
      <c r="G769">
        <v>3</v>
      </c>
      <c r="H769">
        <v>1952</v>
      </c>
      <c r="I769">
        <v>2006</v>
      </c>
      <c r="J769" s="1" t="s">
        <v>30</v>
      </c>
      <c r="K769">
        <v>1</v>
      </c>
      <c r="L769" s="1" t="s">
        <v>23</v>
      </c>
      <c r="M769" s="1" t="s">
        <v>27</v>
      </c>
      <c r="N769" s="1" t="s">
        <v>46</v>
      </c>
      <c r="O769">
        <v>8</v>
      </c>
      <c r="P769">
        <v>1</v>
      </c>
      <c r="Q769" s="1" t="s">
        <v>91</v>
      </c>
      <c r="R769">
        <v>1</v>
      </c>
      <c r="S769" s="1" t="s">
        <v>27</v>
      </c>
      <c r="T769">
        <v>14882000</v>
      </c>
      <c r="U769" t="s">
        <v>183</v>
      </c>
      <c r="V769" s="1" t="s">
        <v>168</v>
      </c>
      <c r="W769" s="1" t="s">
        <v>169</v>
      </c>
      <c r="X769" s="1" t="str">
        <f>VLOOKUP(V769,Broker_Directory!A:C,3,FALSE)</f>
        <v>Tier A</v>
      </c>
      <c r="Y769" s="1">
        <f>HLOOKUP(X769, Commission_Rates!A$1:C$2, 2, FALSE)</f>
        <v>0.02</v>
      </c>
      <c r="Z769" s="1">
        <f t="shared" si="33"/>
        <v>0</v>
      </c>
      <c r="AA769" s="1">
        <f t="shared" si="34"/>
        <v>0</v>
      </c>
      <c r="AB769" s="1">
        <f t="shared" si="35"/>
        <v>0</v>
      </c>
    </row>
    <row r="770" spans="1:28" x14ac:dyDescent="0.3">
      <c r="A770" s="1" t="s">
        <v>28</v>
      </c>
      <c r="B770" s="1" t="s">
        <v>29</v>
      </c>
      <c r="C770">
        <v>4</v>
      </c>
      <c r="D770">
        <v>4</v>
      </c>
      <c r="E770">
        <v>4073</v>
      </c>
      <c r="F770">
        <v>7828</v>
      </c>
      <c r="G770">
        <v>2</v>
      </c>
      <c r="H770">
        <v>1999</v>
      </c>
      <c r="I770">
        <v>2012</v>
      </c>
      <c r="J770" s="1" t="s">
        <v>30</v>
      </c>
      <c r="K770">
        <v>2</v>
      </c>
      <c r="L770" s="1" t="s">
        <v>64</v>
      </c>
      <c r="M770" s="1" t="s">
        <v>27</v>
      </c>
      <c r="N770" s="1" t="s">
        <v>25</v>
      </c>
      <c r="O770">
        <v>8</v>
      </c>
      <c r="P770">
        <v>1</v>
      </c>
      <c r="Q770" s="1" t="s">
        <v>149</v>
      </c>
      <c r="R770">
        <v>1</v>
      </c>
      <c r="S770" s="1" t="s">
        <v>24</v>
      </c>
      <c r="T770">
        <v>41230000</v>
      </c>
      <c r="U770" t="s">
        <v>184</v>
      </c>
      <c r="V770" s="1" t="s">
        <v>168</v>
      </c>
      <c r="W770" s="1" t="s">
        <v>169</v>
      </c>
      <c r="X770" s="1" t="str">
        <f>VLOOKUP(V770,Broker_Directory!A:C,3,FALSE)</f>
        <v>Tier A</v>
      </c>
      <c r="Y770" s="1">
        <f>HLOOKUP(X770, Commission_Rates!A$1:C$2, 2, FALSE)</f>
        <v>0.02</v>
      </c>
      <c r="Z770" s="1">
        <f t="shared" ref="Z770:Z833" si="36">IF(U770="Sold",T770*Y770,0)</f>
        <v>824600</v>
      </c>
      <c r="AA770" s="1">
        <f t="shared" ref="AA770:AA833" si="37">IF(U770="Sold", T770 * 0.03, 0)</f>
        <v>1236900</v>
      </c>
      <c r="AB770" s="1">
        <f t="shared" ref="AB770:AB833" si="38">AA770 - Z770</f>
        <v>412300</v>
      </c>
    </row>
    <row r="771" spans="1:28" x14ac:dyDescent="0.3">
      <c r="A771" s="1" t="s">
        <v>33</v>
      </c>
      <c r="B771" s="1" t="s">
        <v>75</v>
      </c>
      <c r="C771">
        <v>5</v>
      </c>
      <c r="D771">
        <v>3</v>
      </c>
      <c r="E771">
        <v>4095</v>
      </c>
      <c r="F771">
        <v>8635</v>
      </c>
      <c r="G771">
        <v>2</v>
      </c>
      <c r="H771">
        <v>1997</v>
      </c>
      <c r="I771">
        <v>2016</v>
      </c>
      <c r="J771" s="1" t="s">
        <v>30</v>
      </c>
      <c r="K771">
        <v>1</v>
      </c>
      <c r="L771" s="1" t="s">
        <v>41</v>
      </c>
      <c r="M771" s="1" t="s">
        <v>24</v>
      </c>
      <c r="N771" s="1" t="s">
        <v>46</v>
      </c>
      <c r="O771">
        <v>1</v>
      </c>
      <c r="P771">
        <v>4</v>
      </c>
      <c r="Q771" s="1" t="s">
        <v>140</v>
      </c>
      <c r="R771">
        <v>2</v>
      </c>
      <c r="S771" s="1" t="s">
        <v>27</v>
      </c>
      <c r="T771">
        <v>35242500</v>
      </c>
      <c r="U771" t="s">
        <v>184</v>
      </c>
      <c r="V771" s="1" t="s">
        <v>179</v>
      </c>
      <c r="W771" s="1" t="s">
        <v>180</v>
      </c>
      <c r="X771" s="1" t="str">
        <f>VLOOKUP(V771,Broker_Directory!A:C,3,FALSE)</f>
        <v>Tier B</v>
      </c>
      <c r="Y771" s="1">
        <f>HLOOKUP(X771, Commission_Rates!A$1:C$2, 2, FALSE)</f>
        <v>1.4999999999999999E-2</v>
      </c>
      <c r="Z771" s="1">
        <f t="shared" si="36"/>
        <v>528637.5</v>
      </c>
      <c r="AA771" s="1">
        <f t="shared" si="37"/>
        <v>1057275</v>
      </c>
      <c r="AB771" s="1">
        <f t="shared" si="38"/>
        <v>528637.5</v>
      </c>
    </row>
    <row r="772" spans="1:28" x14ac:dyDescent="0.3">
      <c r="A772" s="1" t="s">
        <v>20</v>
      </c>
      <c r="B772" s="1" t="s">
        <v>40</v>
      </c>
      <c r="C772">
        <v>2</v>
      </c>
      <c r="D772">
        <v>3</v>
      </c>
      <c r="E772">
        <v>4819</v>
      </c>
      <c r="F772">
        <v>6152</v>
      </c>
      <c r="G772">
        <v>3</v>
      </c>
      <c r="H772">
        <v>1999</v>
      </c>
      <c r="I772">
        <v>2014</v>
      </c>
      <c r="J772" s="1" t="s">
        <v>22</v>
      </c>
      <c r="K772">
        <v>1</v>
      </c>
      <c r="L772" s="1" t="s">
        <v>41</v>
      </c>
      <c r="M772" s="1" t="s">
        <v>24</v>
      </c>
      <c r="N772" s="1" t="s">
        <v>35</v>
      </c>
      <c r="O772">
        <v>3</v>
      </c>
      <c r="P772">
        <v>3</v>
      </c>
      <c r="Q772" s="1" t="s">
        <v>143</v>
      </c>
      <c r="R772">
        <v>2</v>
      </c>
      <c r="S772" s="1" t="s">
        <v>24</v>
      </c>
      <c r="T772">
        <v>58183000</v>
      </c>
      <c r="U772" t="s">
        <v>182</v>
      </c>
      <c r="V772" s="1" t="s">
        <v>176</v>
      </c>
      <c r="W772" s="1" t="s">
        <v>177</v>
      </c>
      <c r="X772" s="1" t="str">
        <f>VLOOKUP(V772,Broker_Directory!A:C,3,FALSE)</f>
        <v>Tier C</v>
      </c>
      <c r="Y772" s="1">
        <f>HLOOKUP(X772, Commission_Rates!A$1:C$2, 2, FALSE)</f>
        <v>0.01</v>
      </c>
      <c r="Z772" s="1">
        <f t="shared" si="36"/>
        <v>0</v>
      </c>
      <c r="AA772" s="1">
        <f t="shared" si="37"/>
        <v>0</v>
      </c>
      <c r="AB772" s="1">
        <f t="shared" si="38"/>
        <v>0</v>
      </c>
    </row>
    <row r="773" spans="1:28" x14ac:dyDescent="0.3">
      <c r="A773" s="1" t="s">
        <v>37</v>
      </c>
      <c r="B773" s="1" t="s">
        <v>45</v>
      </c>
      <c r="C773">
        <v>2</v>
      </c>
      <c r="D773">
        <v>2</v>
      </c>
      <c r="E773">
        <v>3669</v>
      </c>
      <c r="F773">
        <v>6311</v>
      </c>
      <c r="G773">
        <v>2</v>
      </c>
      <c r="H773">
        <v>1981</v>
      </c>
      <c r="I773">
        <v>1988</v>
      </c>
      <c r="J773" s="1" t="s">
        <v>22</v>
      </c>
      <c r="K773">
        <v>2</v>
      </c>
      <c r="L773" s="1" t="s">
        <v>23</v>
      </c>
      <c r="M773" s="1" t="s">
        <v>24</v>
      </c>
      <c r="N773" s="1" t="s">
        <v>25</v>
      </c>
      <c r="O773">
        <v>1</v>
      </c>
      <c r="P773">
        <v>0</v>
      </c>
      <c r="Q773" s="1" t="s">
        <v>47</v>
      </c>
      <c r="R773">
        <v>0</v>
      </c>
      <c r="S773" s="1" t="s">
        <v>27</v>
      </c>
      <c r="T773">
        <v>29652000</v>
      </c>
      <c r="U773" t="s">
        <v>182</v>
      </c>
      <c r="V773" s="1" t="s">
        <v>176</v>
      </c>
      <c r="W773" s="1" t="s">
        <v>177</v>
      </c>
      <c r="X773" s="1" t="str">
        <f>VLOOKUP(V773,Broker_Directory!A:C,3,FALSE)</f>
        <v>Tier C</v>
      </c>
      <c r="Y773" s="1">
        <f>HLOOKUP(X773, Commission_Rates!A$1:C$2, 2, FALSE)</f>
        <v>0.01</v>
      </c>
      <c r="Z773" s="1">
        <f t="shared" si="36"/>
        <v>0</v>
      </c>
      <c r="AA773" s="1">
        <f t="shared" si="37"/>
        <v>0</v>
      </c>
      <c r="AB773" s="1">
        <f t="shared" si="38"/>
        <v>0</v>
      </c>
    </row>
    <row r="774" spans="1:28" x14ac:dyDescent="0.3">
      <c r="A774" s="1" t="s">
        <v>20</v>
      </c>
      <c r="B774" s="1" t="s">
        <v>69</v>
      </c>
      <c r="C774">
        <v>3</v>
      </c>
      <c r="D774">
        <v>2</v>
      </c>
      <c r="E774">
        <v>1533</v>
      </c>
      <c r="F774">
        <v>5072</v>
      </c>
      <c r="G774">
        <v>2</v>
      </c>
      <c r="H774">
        <v>1958</v>
      </c>
      <c r="I774">
        <v>2003</v>
      </c>
      <c r="J774" s="1" t="s">
        <v>30</v>
      </c>
      <c r="K774">
        <v>3</v>
      </c>
      <c r="L774" s="1" t="s">
        <v>41</v>
      </c>
      <c r="M774" s="1" t="s">
        <v>27</v>
      </c>
      <c r="N774" s="1" t="s">
        <v>35</v>
      </c>
      <c r="O774">
        <v>2</v>
      </c>
      <c r="P774">
        <v>2</v>
      </c>
      <c r="Q774" s="1" t="s">
        <v>103</v>
      </c>
      <c r="R774">
        <v>0</v>
      </c>
      <c r="S774" s="1" t="s">
        <v>24</v>
      </c>
      <c r="T774">
        <v>18696000</v>
      </c>
      <c r="U774" t="s">
        <v>182</v>
      </c>
      <c r="V774" s="1" t="s">
        <v>176</v>
      </c>
      <c r="W774" s="1" t="s">
        <v>177</v>
      </c>
      <c r="X774" s="1" t="str">
        <f>VLOOKUP(V774,Broker_Directory!A:C,3,FALSE)</f>
        <v>Tier C</v>
      </c>
      <c r="Y774" s="1">
        <f>HLOOKUP(X774, Commission_Rates!A$1:C$2, 2, FALSE)</f>
        <v>0.01</v>
      </c>
      <c r="Z774" s="1">
        <f t="shared" si="36"/>
        <v>0</v>
      </c>
      <c r="AA774" s="1">
        <f t="shared" si="37"/>
        <v>0</v>
      </c>
      <c r="AB774" s="1">
        <f t="shared" si="38"/>
        <v>0</v>
      </c>
    </row>
    <row r="775" spans="1:28" x14ac:dyDescent="0.3">
      <c r="A775" s="1" t="s">
        <v>28</v>
      </c>
      <c r="B775" s="1" t="s">
        <v>110</v>
      </c>
      <c r="C775">
        <v>4</v>
      </c>
      <c r="D775">
        <v>1</v>
      </c>
      <c r="E775">
        <v>4660</v>
      </c>
      <c r="F775">
        <v>9775</v>
      </c>
      <c r="G775">
        <v>2</v>
      </c>
      <c r="H775">
        <v>1970</v>
      </c>
      <c r="I775">
        <v>2004</v>
      </c>
      <c r="J775" s="1" t="s">
        <v>22</v>
      </c>
      <c r="K775">
        <v>2</v>
      </c>
      <c r="L775" s="1" t="s">
        <v>31</v>
      </c>
      <c r="M775" s="1" t="s">
        <v>24</v>
      </c>
      <c r="N775" s="1" t="s">
        <v>35</v>
      </c>
      <c r="O775">
        <v>2</v>
      </c>
      <c r="P775">
        <v>3</v>
      </c>
      <c r="Q775" s="1" t="s">
        <v>119</v>
      </c>
      <c r="R775">
        <v>0</v>
      </c>
      <c r="S775" s="1" t="s">
        <v>24</v>
      </c>
      <c r="T775">
        <v>46945000</v>
      </c>
      <c r="U775" t="s">
        <v>183</v>
      </c>
      <c r="V775" s="1" t="s">
        <v>179</v>
      </c>
      <c r="W775" s="1" t="s">
        <v>180</v>
      </c>
      <c r="X775" s="1" t="str">
        <f>VLOOKUP(V775,Broker_Directory!A:C,3,FALSE)</f>
        <v>Tier B</v>
      </c>
      <c r="Y775" s="1">
        <f>HLOOKUP(X775, Commission_Rates!A$1:C$2, 2, FALSE)</f>
        <v>1.4999999999999999E-2</v>
      </c>
      <c r="Z775" s="1">
        <f t="shared" si="36"/>
        <v>0</v>
      </c>
      <c r="AA775" s="1">
        <f t="shared" si="37"/>
        <v>0</v>
      </c>
      <c r="AB775" s="1">
        <f t="shared" si="38"/>
        <v>0</v>
      </c>
    </row>
    <row r="776" spans="1:28" x14ac:dyDescent="0.3">
      <c r="A776" s="1" t="s">
        <v>37</v>
      </c>
      <c r="B776" s="1" t="s">
        <v>72</v>
      </c>
      <c r="C776">
        <v>4</v>
      </c>
      <c r="D776">
        <v>4</v>
      </c>
      <c r="E776">
        <v>1696</v>
      </c>
      <c r="F776">
        <v>2072</v>
      </c>
      <c r="G776">
        <v>3</v>
      </c>
      <c r="H776">
        <v>1996</v>
      </c>
      <c r="I776">
        <v>2024</v>
      </c>
      <c r="J776" s="1" t="s">
        <v>22</v>
      </c>
      <c r="K776">
        <v>1</v>
      </c>
      <c r="L776" s="1" t="s">
        <v>41</v>
      </c>
      <c r="M776" s="1" t="s">
        <v>24</v>
      </c>
      <c r="N776" s="1" t="s">
        <v>46</v>
      </c>
      <c r="O776">
        <v>10</v>
      </c>
      <c r="P776">
        <v>4</v>
      </c>
      <c r="Q776" s="1" t="s">
        <v>127</v>
      </c>
      <c r="R776">
        <v>2</v>
      </c>
      <c r="S776" s="1" t="s">
        <v>24</v>
      </c>
      <c r="T776">
        <v>14053000</v>
      </c>
      <c r="U776" t="s">
        <v>182</v>
      </c>
      <c r="V776" s="1" t="s">
        <v>168</v>
      </c>
      <c r="W776" s="1" t="s">
        <v>169</v>
      </c>
      <c r="X776" s="1" t="str">
        <f>VLOOKUP(V776,Broker_Directory!A:C,3,FALSE)</f>
        <v>Tier A</v>
      </c>
      <c r="Y776" s="1">
        <f>HLOOKUP(X776, Commission_Rates!A$1:C$2, 2, FALSE)</f>
        <v>0.02</v>
      </c>
      <c r="Z776" s="1">
        <f t="shared" si="36"/>
        <v>0</v>
      </c>
      <c r="AA776" s="1">
        <f t="shared" si="37"/>
        <v>0</v>
      </c>
      <c r="AB776" s="1">
        <f t="shared" si="38"/>
        <v>0</v>
      </c>
    </row>
    <row r="777" spans="1:28" x14ac:dyDescent="0.3">
      <c r="A777" s="1" t="s">
        <v>53</v>
      </c>
      <c r="B777" s="1" t="s">
        <v>105</v>
      </c>
      <c r="C777">
        <v>2</v>
      </c>
      <c r="D777">
        <v>2</v>
      </c>
      <c r="E777">
        <v>2758</v>
      </c>
      <c r="F777">
        <v>8357</v>
      </c>
      <c r="G777">
        <v>2</v>
      </c>
      <c r="H777">
        <v>1969</v>
      </c>
      <c r="I777">
        <v>1975</v>
      </c>
      <c r="J777" s="1" t="s">
        <v>52</v>
      </c>
      <c r="K777">
        <v>2</v>
      </c>
      <c r="L777" s="1" t="s">
        <v>64</v>
      </c>
      <c r="M777" s="1" t="s">
        <v>24</v>
      </c>
      <c r="N777" s="1" t="s">
        <v>46</v>
      </c>
      <c r="O777">
        <v>9</v>
      </c>
      <c r="P777">
        <v>3</v>
      </c>
      <c r="Q777" s="1" t="s">
        <v>108</v>
      </c>
      <c r="R777">
        <v>3</v>
      </c>
      <c r="S777" s="1" t="s">
        <v>24</v>
      </c>
      <c r="T777">
        <v>25142000</v>
      </c>
      <c r="U777" t="s">
        <v>184</v>
      </c>
      <c r="V777" s="1" t="s">
        <v>171</v>
      </c>
      <c r="W777" s="1" t="s">
        <v>172</v>
      </c>
      <c r="X777" s="1" t="str">
        <f>VLOOKUP(V777,Broker_Directory!A:C,3,FALSE)</f>
        <v>Tier B</v>
      </c>
      <c r="Y777" s="1">
        <f>HLOOKUP(X777, Commission_Rates!A$1:C$2, 2, FALSE)</f>
        <v>1.4999999999999999E-2</v>
      </c>
      <c r="Z777" s="1">
        <f t="shared" si="36"/>
        <v>377130</v>
      </c>
      <c r="AA777" s="1">
        <f t="shared" si="37"/>
        <v>754260</v>
      </c>
      <c r="AB777" s="1">
        <f t="shared" si="38"/>
        <v>377130</v>
      </c>
    </row>
    <row r="778" spans="1:28" x14ac:dyDescent="0.3">
      <c r="A778" s="1" t="s">
        <v>53</v>
      </c>
      <c r="B778" s="1" t="s">
        <v>89</v>
      </c>
      <c r="C778">
        <v>2</v>
      </c>
      <c r="D778">
        <v>3</v>
      </c>
      <c r="E778">
        <v>4563</v>
      </c>
      <c r="F778">
        <v>4805</v>
      </c>
      <c r="G778">
        <v>2</v>
      </c>
      <c r="H778">
        <v>1990</v>
      </c>
      <c r="I778">
        <v>1999</v>
      </c>
      <c r="J778" s="1" t="s">
        <v>58</v>
      </c>
      <c r="K778">
        <v>1</v>
      </c>
      <c r="L778" s="1" t="s">
        <v>64</v>
      </c>
      <c r="M778" s="1" t="s">
        <v>27</v>
      </c>
      <c r="N778" s="1" t="s">
        <v>46</v>
      </c>
      <c r="O778">
        <v>6</v>
      </c>
      <c r="P778">
        <v>2</v>
      </c>
      <c r="Q778" s="1" t="s">
        <v>125</v>
      </c>
      <c r="R778">
        <v>2</v>
      </c>
      <c r="S778" s="1" t="s">
        <v>27</v>
      </c>
      <c r="T778">
        <v>41327000</v>
      </c>
      <c r="U778" t="s">
        <v>184</v>
      </c>
      <c r="V778" s="1" t="s">
        <v>168</v>
      </c>
      <c r="W778" s="1" t="s">
        <v>169</v>
      </c>
      <c r="X778" s="1" t="str">
        <f>VLOOKUP(V778,Broker_Directory!A:C,3,FALSE)</f>
        <v>Tier A</v>
      </c>
      <c r="Y778" s="1">
        <f>HLOOKUP(X778, Commission_Rates!A$1:C$2, 2, FALSE)</f>
        <v>0.02</v>
      </c>
      <c r="Z778" s="1">
        <f t="shared" si="36"/>
        <v>826540</v>
      </c>
      <c r="AA778" s="1">
        <f t="shared" si="37"/>
        <v>1239810</v>
      </c>
      <c r="AB778" s="1">
        <f t="shared" si="38"/>
        <v>413270</v>
      </c>
    </row>
    <row r="779" spans="1:28" x14ac:dyDescent="0.3">
      <c r="A779" s="1" t="s">
        <v>20</v>
      </c>
      <c r="B779" s="1" t="s">
        <v>69</v>
      </c>
      <c r="C779">
        <v>5</v>
      </c>
      <c r="D779">
        <v>1</v>
      </c>
      <c r="E779">
        <v>1370</v>
      </c>
      <c r="F779">
        <v>1594</v>
      </c>
      <c r="G779">
        <v>3</v>
      </c>
      <c r="H779">
        <v>2023</v>
      </c>
      <c r="I779">
        <v>0</v>
      </c>
      <c r="J779" s="1" t="s">
        <v>30</v>
      </c>
      <c r="K779">
        <v>3</v>
      </c>
      <c r="L779" s="1" t="s">
        <v>31</v>
      </c>
      <c r="M779" s="1" t="s">
        <v>27</v>
      </c>
      <c r="N779" s="1" t="s">
        <v>46</v>
      </c>
      <c r="O779">
        <v>6</v>
      </c>
      <c r="P779">
        <v>0</v>
      </c>
      <c r="Q779" s="1" t="s">
        <v>103</v>
      </c>
      <c r="R779">
        <v>3</v>
      </c>
      <c r="S779" s="1" t="s">
        <v>27</v>
      </c>
      <c r="T779">
        <v>16825000</v>
      </c>
      <c r="U779" t="s">
        <v>183</v>
      </c>
      <c r="V779" s="1" t="s">
        <v>176</v>
      </c>
      <c r="W779" s="1" t="s">
        <v>177</v>
      </c>
      <c r="X779" s="1" t="str">
        <f>VLOOKUP(V779,Broker_Directory!A:C,3,FALSE)</f>
        <v>Tier C</v>
      </c>
      <c r="Y779" s="1">
        <f>HLOOKUP(X779, Commission_Rates!A$1:C$2, 2, FALSE)</f>
        <v>0.01</v>
      </c>
      <c r="Z779" s="1">
        <f t="shared" si="36"/>
        <v>0</v>
      </c>
      <c r="AA779" s="1">
        <f t="shared" si="37"/>
        <v>0</v>
      </c>
      <c r="AB779" s="1">
        <f t="shared" si="38"/>
        <v>0</v>
      </c>
    </row>
    <row r="780" spans="1:28" x14ac:dyDescent="0.3">
      <c r="A780" s="1" t="s">
        <v>53</v>
      </c>
      <c r="B780" s="1" t="s">
        <v>100</v>
      </c>
      <c r="C780">
        <v>4</v>
      </c>
      <c r="D780">
        <v>4</v>
      </c>
      <c r="E780">
        <v>3102</v>
      </c>
      <c r="F780">
        <v>4236</v>
      </c>
      <c r="G780">
        <v>2</v>
      </c>
      <c r="H780">
        <v>1983</v>
      </c>
      <c r="I780">
        <v>2017</v>
      </c>
      <c r="J780" s="1" t="s">
        <v>52</v>
      </c>
      <c r="K780">
        <v>3</v>
      </c>
      <c r="L780" s="1" t="s">
        <v>64</v>
      </c>
      <c r="M780" s="1" t="s">
        <v>27</v>
      </c>
      <c r="N780" s="1" t="s">
        <v>25</v>
      </c>
      <c r="O780">
        <v>7</v>
      </c>
      <c r="P780">
        <v>5</v>
      </c>
      <c r="Q780" s="1" t="s">
        <v>131</v>
      </c>
      <c r="R780">
        <v>2</v>
      </c>
      <c r="S780" s="1" t="s">
        <v>24</v>
      </c>
      <c r="T780">
        <v>28433000</v>
      </c>
      <c r="U780" t="s">
        <v>184</v>
      </c>
      <c r="V780" s="1" t="s">
        <v>174</v>
      </c>
      <c r="W780" s="1" t="s">
        <v>175</v>
      </c>
      <c r="X780" s="1" t="str">
        <f>VLOOKUP(V780,Broker_Directory!A:C,3,FALSE)</f>
        <v>Tier A</v>
      </c>
      <c r="Y780" s="1">
        <f>HLOOKUP(X780, Commission_Rates!A$1:C$2, 2, FALSE)</f>
        <v>0.02</v>
      </c>
      <c r="Z780" s="1">
        <f t="shared" si="36"/>
        <v>568660</v>
      </c>
      <c r="AA780" s="1">
        <f t="shared" si="37"/>
        <v>852990</v>
      </c>
      <c r="AB780" s="1">
        <f t="shared" si="38"/>
        <v>284330</v>
      </c>
    </row>
    <row r="781" spans="1:28" x14ac:dyDescent="0.3">
      <c r="A781" s="1" t="s">
        <v>20</v>
      </c>
      <c r="B781" s="1" t="s">
        <v>40</v>
      </c>
      <c r="C781">
        <v>1</v>
      </c>
      <c r="D781">
        <v>2</v>
      </c>
      <c r="E781">
        <v>909</v>
      </c>
      <c r="F781">
        <v>3860</v>
      </c>
      <c r="G781">
        <v>2</v>
      </c>
      <c r="H781">
        <v>1958</v>
      </c>
      <c r="I781">
        <v>1976</v>
      </c>
      <c r="J781" s="1" t="s">
        <v>52</v>
      </c>
      <c r="K781">
        <v>0</v>
      </c>
      <c r="L781" s="1" t="s">
        <v>23</v>
      </c>
      <c r="M781" s="1" t="s">
        <v>24</v>
      </c>
      <c r="N781" s="1" t="s">
        <v>35</v>
      </c>
      <c r="O781">
        <v>0</v>
      </c>
      <c r="P781">
        <v>5</v>
      </c>
      <c r="Q781" s="1" t="s">
        <v>42</v>
      </c>
      <c r="R781">
        <v>0</v>
      </c>
      <c r="S781" s="1" t="s">
        <v>24</v>
      </c>
      <c r="T781">
        <v>11133000</v>
      </c>
      <c r="U781" t="s">
        <v>183</v>
      </c>
      <c r="V781" s="1" t="s">
        <v>174</v>
      </c>
      <c r="W781" s="1" t="s">
        <v>175</v>
      </c>
      <c r="X781" s="1" t="str">
        <f>VLOOKUP(V781,Broker_Directory!A:C,3,FALSE)</f>
        <v>Tier A</v>
      </c>
      <c r="Y781" s="1">
        <f>HLOOKUP(X781, Commission_Rates!A$1:C$2, 2, FALSE)</f>
        <v>0.02</v>
      </c>
      <c r="Z781" s="1">
        <f t="shared" si="36"/>
        <v>0</v>
      </c>
      <c r="AA781" s="1">
        <f t="shared" si="37"/>
        <v>0</v>
      </c>
      <c r="AB781" s="1">
        <f t="shared" si="38"/>
        <v>0</v>
      </c>
    </row>
    <row r="782" spans="1:28" x14ac:dyDescent="0.3">
      <c r="A782" s="1" t="s">
        <v>33</v>
      </c>
      <c r="B782" s="1" t="s">
        <v>98</v>
      </c>
      <c r="C782">
        <v>3</v>
      </c>
      <c r="D782">
        <v>1</v>
      </c>
      <c r="E782">
        <v>1299</v>
      </c>
      <c r="F782">
        <v>2269</v>
      </c>
      <c r="G782">
        <v>3</v>
      </c>
      <c r="H782">
        <v>1967</v>
      </c>
      <c r="I782">
        <v>1978</v>
      </c>
      <c r="J782" s="1" t="s">
        <v>58</v>
      </c>
      <c r="K782">
        <v>1</v>
      </c>
      <c r="L782" s="1" t="s">
        <v>23</v>
      </c>
      <c r="M782" s="1" t="s">
        <v>24</v>
      </c>
      <c r="N782" s="1" t="s">
        <v>25</v>
      </c>
      <c r="O782">
        <v>6</v>
      </c>
      <c r="P782">
        <v>5</v>
      </c>
      <c r="Q782" s="1" t="s">
        <v>123</v>
      </c>
      <c r="R782">
        <v>1</v>
      </c>
      <c r="S782" s="1" t="s">
        <v>24</v>
      </c>
      <c r="T782">
        <v>11446500</v>
      </c>
      <c r="U782" t="s">
        <v>184</v>
      </c>
      <c r="V782" s="1" t="s">
        <v>176</v>
      </c>
      <c r="W782" s="1" t="s">
        <v>177</v>
      </c>
      <c r="X782" s="1" t="str">
        <f>VLOOKUP(V782,Broker_Directory!A:C,3,FALSE)</f>
        <v>Tier C</v>
      </c>
      <c r="Y782" s="1">
        <f>HLOOKUP(X782, Commission_Rates!A$1:C$2, 2, FALSE)</f>
        <v>0.01</v>
      </c>
      <c r="Z782" s="1">
        <f t="shared" si="36"/>
        <v>114465</v>
      </c>
      <c r="AA782" s="1">
        <f t="shared" si="37"/>
        <v>343395</v>
      </c>
      <c r="AB782" s="1">
        <f t="shared" si="38"/>
        <v>228930</v>
      </c>
    </row>
    <row r="783" spans="1:28" x14ac:dyDescent="0.3">
      <c r="A783" s="1" t="s">
        <v>20</v>
      </c>
      <c r="B783" s="1" t="s">
        <v>50</v>
      </c>
      <c r="C783">
        <v>3</v>
      </c>
      <c r="D783">
        <v>2</v>
      </c>
      <c r="E783">
        <v>4199</v>
      </c>
      <c r="F783">
        <v>5865</v>
      </c>
      <c r="G783">
        <v>3</v>
      </c>
      <c r="H783">
        <v>2013</v>
      </c>
      <c r="I783">
        <v>2021</v>
      </c>
      <c r="J783" s="1" t="s">
        <v>52</v>
      </c>
      <c r="K783">
        <v>3</v>
      </c>
      <c r="L783" s="1" t="s">
        <v>64</v>
      </c>
      <c r="M783" s="1" t="s">
        <v>24</v>
      </c>
      <c r="N783" s="1" t="s">
        <v>46</v>
      </c>
      <c r="O783">
        <v>2</v>
      </c>
      <c r="P783">
        <v>4</v>
      </c>
      <c r="Q783" s="1" t="s">
        <v>113</v>
      </c>
      <c r="R783">
        <v>0</v>
      </c>
      <c r="S783" s="1" t="s">
        <v>24</v>
      </c>
      <c r="T783">
        <v>50733000</v>
      </c>
      <c r="U783" t="s">
        <v>183</v>
      </c>
      <c r="V783" s="1" t="s">
        <v>179</v>
      </c>
      <c r="W783" s="1" t="s">
        <v>180</v>
      </c>
      <c r="X783" s="1" t="str">
        <f>VLOOKUP(V783,Broker_Directory!A:C,3,FALSE)</f>
        <v>Tier B</v>
      </c>
      <c r="Y783" s="1">
        <f>HLOOKUP(X783, Commission_Rates!A$1:C$2, 2, FALSE)</f>
        <v>1.4999999999999999E-2</v>
      </c>
      <c r="Z783" s="1">
        <f t="shared" si="36"/>
        <v>0</v>
      </c>
      <c r="AA783" s="1">
        <f t="shared" si="37"/>
        <v>0</v>
      </c>
      <c r="AB783" s="1">
        <f t="shared" si="38"/>
        <v>0</v>
      </c>
    </row>
    <row r="784" spans="1:28" x14ac:dyDescent="0.3">
      <c r="A784" s="1" t="s">
        <v>28</v>
      </c>
      <c r="B784" s="1" t="s">
        <v>79</v>
      </c>
      <c r="C784">
        <v>2</v>
      </c>
      <c r="D784">
        <v>2</v>
      </c>
      <c r="E784">
        <v>1315</v>
      </c>
      <c r="F784">
        <v>2606</v>
      </c>
      <c r="G784">
        <v>1</v>
      </c>
      <c r="H784">
        <v>1973</v>
      </c>
      <c r="I784">
        <v>1992</v>
      </c>
      <c r="J784" s="1" t="s">
        <v>52</v>
      </c>
      <c r="K784">
        <v>1</v>
      </c>
      <c r="L784" s="1" t="s">
        <v>41</v>
      </c>
      <c r="M784" s="1" t="s">
        <v>27</v>
      </c>
      <c r="N784" s="1" t="s">
        <v>35</v>
      </c>
      <c r="O784">
        <v>6</v>
      </c>
      <c r="P784">
        <v>4</v>
      </c>
      <c r="Q784" s="1" t="s">
        <v>92</v>
      </c>
      <c r="R784">
        <v>1</v>
      </c>
      <c r="S784" s="1" t="s">
        <v>27</v>
      </c>
      <c r="T784">
        <v>13345000</v>
      </c>
      <c r="U784" t="s">
        <v>183</v>
      </c>
      <c r="V784" s="1" t="s">
        <v>179</v>
      </c>
      <c r="W784" s="1" t="s">
        <v>180</v>
      </c>
      <c r="X784" s="1" t="str">
        <f>VLOOKUP(V784,Broker_Directory!A:C,3,FALSE)</f>
        <v>Tier B</v>
      </c>
      <c r="Y784" s="1">
        <f>HLOOKUP(X784, Commission_Rates!A$1:C$2, 2, FALSE)</f>
        <v>1.4999999999999999E-2</v>
      </c>
      <c r="Z784" s="1">
        <f t="shared" si="36"/>
        <v>0</v>
      </c>
      <c r="AA784" s="1">
        <f t="shared" si="37"/>
        <v>0</v>
      </c>
      <c r="AB784" s="1">
        <f t="shared" si="38"/>
        <v>0</v>
      </c>
    </row>
    <row r="785" spans="1:28" x14ac:dyDescent="0.3">
      <c r="A785" s="1" t="s">
        <v>53</v>
      </c>
      <c r="B785" s="1" t="s">
        <v>89</v>
      </c>
      <c r="C785">
        <v>2</v>
      </c>
      <c r="D785">
        <v>1</v>
      </c>
      <c r="E785">
        <v>2361</v>
      </c>
      <c r="F785">
        <v>4716</v>
      </c>
      <c r="G785">
        <v>1</v>
      </c>
      <c r="H785">
        <v>1958</v>
      </c>
      <c r="I785">
        <v>1964</v>
      </c>
      <c r="J785" s="1" t="s">
        <v>58</v>
      </c>
      <c r="K785">
        <v>3</v>
      </c>
      <c r="L785" s="1" t="s">
        <v>64</v>
      </c>
      <c r="M785" s="1" t="s">
        <v>24</v>
      </c>
      <c r="N785" s="1" t="s">
        <v>35</v>
      </c>
      <c r="O785">
        <v>6</v>
      </c>
      <c r="P785">
        <v>0</v>
      </c>
      <c r="Q785" s="1" t="s">
        <v>157</v>
      </c>
      <c r="R785">
        <v>0</v>
      </c>
      <c r="S785" s="1" t="s">
        <v>24</v>
      </c>
      <c r="T785">
        <v>21474000</v>
      </c>
      <c r="U785" t="s">
        <v>182</v>
      </c>
      <c r="V785" s="1" t="s">
        <v>179</v>
      </c>
      <c r="W785" s="1" t="s">
        <v>180</v>
      </c>
      <c r="X785" s="1" t="str">
        <f>VLOOKUP(V785,Broker_Directory!A:C,3,FALSE)</f>
        <v>Tier B</v>
      </c>
      <c r="Y785" s="1">
        <f>HLOOKUP(X785, Commission_Rates!A$1:C$2, 2, FALSE)</f>
        <v>1.4999999999999999E-2</v>
      </c>
      <c r="Z785" s="1">
        <f t="shared" si="36"/>
        <v>0</v>
      </c>
      <c r="AA785" s="1">
        <f t="shared" si="37"/>
        <v>0</v>
      </c>
      <c r="AB785" s="1">
        <f t="shared" si="38"/>
        <v>0</v>
      </c>
    </row>
    <row r="786" spans="1:28" x14ac:dyDescent="0.3">
      <c r="A786" s="1" t="s">
        <v>53</v>
      </c>
      <c r="B786" s="1" t="s">
        <v>100</v>
      </c>
      <c r="C786">
        <v>3</v>
      </c>
      <c r="D786">
        <v>1</v>
      </c>
      <c r="E786">
        <v>4962</v>
      </c>
      <c r="F786">
        <v>7161</v>
      </c>
      <c r="G786">
        <v>3</v>
      </c>
      <c r="H786">
        <v>1990</v>
      </c>
      <c r="I786">
        <v>2017</v>
      </c>
      <c r="J786" s="1" t="s">
        <v>30</v>
      </c>
      <c r="K786">
        <v>3</v>
      </c>
      <c r="L786" s="1" t="s">
        <v>64</v>
      </c>
      <c r="M786" s="1" t="s">
        <v>27</v>
      </c>
      <c r="N786" s="1" t="s">
        <v>46</v>
      </c>
      <c r="O786">
        <v>7</v>
      </c>
      <c r="P786">
        <v>2</v>
      </c>
      <c r="Q786" s="1" t="s">
        <v>101</v>
      </c>
      <c r="R786">
        <v>1</v>
      </c>
      <c r="S786" s="1" t="s">
        <v>24</v>
      </c>
      <c r="T786">
        <v>44963000</v>
      </c>
      <c r="U786" t="s">
        <v>182</v>
      </c>
      <c r="V786" s="1" t="s">
        <v>179</v>
      </c>
      <c r="W786" s="1" t="s">
        <v>180</v>
      </c>
      <c r="X786" s="1" t="str">
        <f>VLOOKUP(V786,Broker_Directory!A:C,3,FALSE)</f>
        <v>Tier B</v>
      </c>
      <c r="Y786" s="1">
        <f>HLOOKUP(X786, Commission_Rates!A$1:C$2, 2, FALSE)</f>
        <v>1.4999999999999999E-2</v>
      </c>
      <c r="Z786" s="1">
        <f t="shared" si="36"/>
        <v>0</v>
      </c>
      <c r="AA786" s="1">
        <f t="shared" si="37"/>
        <v>0</v>
      </c>
      <c r="AB786" s="1">
        <f t="shared" si="38"/>
        <v>0</v>
      </c>
    </row>
    <row r="787" spans="1:28" x14ac:dyDescent="0.3">
      <c r="A787" s="1" t="s">
        <v>20</v>
      </c>
      <c r="B787" s="1" t="s">
        <v>69</v>
      </c>
      <c r="C787">
        <v>4</v>
      </c>
      <c r="D787">
        <v>4</v>
      </c>
      <c r="E787">
        <v>4081</v>
      </c>
      <c r="F787">
        <v>6788</v>
      </c>
      <c r="G787">
        <v>2</v>
      </c>
      <c r="H787">
        <v>2009</v>
      </c>
      <c r="I787">
        <v>2022</v>
      </c>
      <c r="J787" s="1" t="s">
        <v>22</v>
      </c>
      <c r="K787">
        <v>1</v>
      </c>
      <c r="L787" s="1" t="s">
        <v>31</v>
      </c>
      <c r="M787" s="1" t="s">
        <v>27</v>
      </c>
      <c r="N787" s="1" t="s">
        <v>46</v>
      </c>
      <c r="O787">
        <v>0</v>
      </c>
      <c r="P787">
        <v>1</v>
      </c>
      <c r="Q787" s="1" t="s">
        <v>103</v>
      </c>
      <c r="R787">
        <v>3</v>
      </c>
      <c r="S787" s="1" t="s">
        <v>24</v>
      </c>
      <c r="T787">
        <v>49427000</v>
      </c>
      <c r="U787" t="s">
        <v>183</v>
      </c>
      <c r="V787" s="1" t="s">
        <v>171</v>
      </c>
      <c r="W787" s="1" t="s">
        <v>172</v>
      </c>
      <c r="X787" s="1" t="str">
        <f>VLOOKUP(V787,Broker_Directory!A:C,3,FALSE)</f>
        <v>Tier B</v>
      </c>
      <c r="Y787" s="1">
        <f>HLOOKUP(X787, Commission_Rates!A$1:C$2, 2, FALSE)</f>
        <v>1.4999999999999999E-2</v>
      </c>
      <c r="Z787" s="1">
        <f t="shared" si="36"/>
        <v>0</v>
      </c>
      <c r="AA787" s="1">
        <f t="shared" si="37"/>
        <v>0</v>
      </c>
      <c r="AB787" s="1">
        <f t="shared" si="38"/>
        <v>0</v>
      </c>
    </row>
    <row r="788" spans="1:28" x14ac:dyDescent="0.3">
      <c r="A788" s="1" t="s">
        <v>37</v>
      </c>
      <c r="B788" s="1" t="s">
        <v>38</v>
      </c>
      <c r="C788">
        <v>1</v>
      </c>
      <c r="D788">
        <v>4</v>
      </c>
      <c r="E788">
        <v>1715</v>
      </c>
      <c r="F788">
        <v>4239</v>
      </c>
      <c r="G788">
        <v>3</v>
      </c>
      <c r="H788">
        <v>1973</v>
      </c>
      <c r="I788">
        <v>1985</v>
      </c>
      <c r="J788" s="1" t="s">
        <v>58</v>
      </c>
      <c r="K788">
        <v>0</v>
      </c>
      <c r="L788" s="1" t="s">
        <v>41</v>
      </c>
      <c r="M788" s="1" t="s">
        <v>27</v>
      </c>
      <c r="N788" s="1" t="s">
        <v>25</v>
      </c>
      <c r="O788">
        <v>4</v>
      </c>
      <c r="P788">
        <v>2</v>
      </c>
      <c r="Q788" s="1" t="s">
        <v>86</v>
      </c>
      <c r="R788">
        <v>0</v>
      </c>
      <c r="S788" s="1" t="s">
        <v>27</v>
      </c>
      <c r="T788">
        <v>14025000</v>
      </c>
      <c r="U788" t="s">
        <v>182</v>
      </c>
      <c r="V788" s="1" t="s">
        <v>168</v>
      </c>
      <c r="W788" s="1" t="s">
        <v>169</v>
      </c>
      <c r="X788" s="1" t="str">
        <f>VLOOKUP(V788,Broker_Directory!A:C,3,FALSE)</f>
        <v>Tier A</v>
      </c>
      <c r="Y788" s="1">
        <f>HLOOKUP(X788, Commission_Rates!A$1:C$2, 2, FALSE)</f>
        <v>0.02</v>
      </c>
      <c r="Z788" s="1">
        <f t="shared" si="36"/>
        <v>0</v>
      </c>
      <c r="AA788" s="1">
        <f t="shared" si="37"/>
        <v>0</v>
      </c>
      <c r="AB788" s="1">
        <f t="shared" si="38"/>
        <v>0</v>
      </c>
    </row>
    <row r="789" spans="1:28" x14ac:dyDescent="0.3">
      <c r="A789" s="1" t="s">
        <v>37</v>
      </c>
      <c r="B789" s="1" t="s">
        <v>62</v>
      </c>
      <c r="C789">
        <v>3</v>
      </c>
      <c r="D789">
        <v>3</v>
      </c>
      <c r="E789">
        <v>2165</v>
      </c>
      <c r="F789">
        <v>3771</v>
      </c>
      <c r="G789">
        <v>2</v>
      </c>
      <c r="H789">
        <v>2013</v>
      </c>
      <c r="I789">
        <v>2018</v>
      </c>
      <c r="J789" s="1" t="s">
        <v>22</v>
      </c>
      <c r="K789">
        <v>1</v>
      </c>
      <c r="L789" s="1" t="s">
        <v>41</v>
      </c>
      <c r="M789" s="1" t="s">
        <v>24</v>
      </c>
      <c r="N789" s="1" t="s">
        <v>46</v>
      </c>
      <c r="O789">
        <v>1</v>
      </c>
      <c r="P789">
        <v>0</v>
      </c>
      <c r="Q789" s="1" t="s">
        <v>159</v>
      </c>
      <c r="R789">
        <v>3</v>
      </c>
      <c r="S789" s="1" t="s">
        <v>27</v>
      </c>
      <c r="T789">
        <v>17670000</v>
      </c>
      <c r="U789" t="s">
        <v>183</v>
      </c>
      <c r="V789" s="1" t="s">
        <v>176</v>
      </c>
      <c r="W789" s="1" t="s">
        <v>177</v>
      </c>
      <c r="X789" s="1" t="str">
        <f>VLOOKUP(V789,Broker_Directory!A:C,3,FALSE)</f>
        <v>Tier C</v>
      </c>
      <c r="Y789" s="1">
        <f>HLOOKUP(X789, Commission_Rates!A$1:C$2, 2, FALSE)</f>
        <v>0.01</v>
      </c>
      <c r="Z789" s="1">
        <f t="shared" si="36"/>
        <v>0</v>
      </c>
      <c r="AA789" s="1">
        <f t="shared" si="37"/>
        <v>0</v>
      </c>
      <c r="AB789" s="1">
        <f t="shared" si="38"/>
        <v>0</v>
      </c>
    </row>
    <row r="790" spans="1:28" x14ac:dyDescent="0.3">
      <c r="A790" s="1" t="s">
        <v>28</v>
      </c>
      <c r="B790" s="1" t="s">
        <v>110</v>
      </c>
      <c r="C790">
        <v>5</v>
      </c>
      <c r="D790">
        <v>4</v>
      </c>
      <c r="E790">
        <v>2072</v>
      </c>
      <c r="F790">
        <v>5532</v>
      </c>
      <c r="G790">
        <v>2</v>
      </c>
      <c r="H790">
        <v>1951</v>
      </c>
      <c r="I790">
        <v>1989</v>
      </c>
      <c r="J790" s="1" t="s">
        <v>52</v>
      </c>
      <c r="K790">
        <v>2</v>
      </c>
      <c r="L790" s="1" t="s">
        <v>64</v>
      </c>
      <c r="M790" s="1" t="s">
        <v>27</v>
      </c>
      <c r="N790" s="1" t="s">
        <v>35</v>
      </c>
      <c r="O790">
        <v>1</v>
      </c>
      <c r="P790">
        <v>4</v>
      </c>
      <c r="Q790" s="1" t="s">
        <v>117</v>
      </c>
      <c r="R790">
        <v>2</v>
      </c>
      <c r="S790" s="1" t="s">
        <v>27</v>
      </c>
      <c r="T790">
        <v>21160000</v>
      </c>
      <c r="U790" t="s">
        <v>182</v>
      </c>
      <c r="V790" s="1" t="s">
        <v>176</v>
      </c>
      <c r="W790" s="1" t="s">
        <v>177</v>
      </c>
      <c r="X790" s="1" t="str">
        <f>VLOOKUP(V790,Broker_Directory!A:C,3,FALSE)</f>
        <v>Tier C</v>
      </c>
      <c r="Y790" s="1">
        <f>HLOOKUP(X790, Commission_Rates!A$1:C$2, 2, FALSE)</f>
        <v>0.01</v>
      </c>
      <c r="Z790" s="1">
        <f t="shared" si="36"/>
        <v>0</v>
      </c>
      <c r="AA790" s="1">
        <f t="shared" si="37"/>
        <v>0</v>
      </c>
      <c r="AB790" s="1">
        <f t="shared" si="38"/>
        <v>0</v>
      </c>
    </row>
    <row r="791" spans="1:28" x14ac:dyDescent="0.3">
      <c r="A791" s="1" t="s">
        <v>53</v>
      </c>
      <c r="B791" s="1" t="s">
        <v>66</v>
      </c>
      <c r="C791">
        <v>3</v>
      </c>
      <c r="D791">
        <v>4</v>
      </c>
      <c r="E791">
        <v>817</v>
      </c>
      <c r="F791">
        <v>1157</v>
      </c>
      <c r="G791">
        <v>2</v>
      </c>
      <c r="H791">
        <v>1997</v>
      </c>
      <c r="I791">
        <v>2009</v>
      </c>
      <c r="J791" s="1" t="s">
        <v>52</v>
      </c>
      <c r="K791">
        <v>1</v>
      </c>
      <c r="L791" s="1" t="s">
        <v>64</v>
      </c>
      <c r="M791" s="1" t="s">
        <v>24</v>
      </c>
      <c r="N791" s="1" t="s">
        <v>46</v>
      </c>
      <c r="O791">
        <v>10</v>
      </c>
      <c r="P791">
        <v>3</v>
      </c>
      <c r="Q791" s="1" t="s">
        <v>82</v>
      </c>
      <c r="R791">
        <v>2</v>
      </c>
      <c r="S791" s="1" t="s">
        <v>27</v>
      </c>
      <c r="T791">
        <v>7718000</v>
      </c>
      <c r="U791" t="s">
        <v>184</v>
      </c>
      <c r="V791" s="1" t="s">
        <v>179</v>
      </c>
      <c r="W791" s="1" t="s">
        <v>180</v>
      </c>
      <c r="X791" s="1" t="str">
        <f>VLOOKUP(V791,Broker_Directory!A:C,3,FALSE)</f>
        <v>Tier B</v>
      </c>
      <c r="Y791" s="1">
        <f>HLOOKUP(X791, Commission_Rates!A$1:C$2, 2, FALSE)</f>
        <v>1.4999999999999999E-2</v>
      </c>
      <c r="Z791" s="1">
        <f t="shared" si="36"/>
        <v>115770</v>
      </c>
      <c r="AA791" s="1">
        <f t="shared" si="37"/>
        <v>231540</v>
      </c>
      <c r="AB791" s="1">
        <f t="shared" si="38"/>
        <v>115770</v>
      </c>
    </row>
    <row r="792" spans="1:28" x14ac:dyDescent="0.3">
      <c r="A792" s="1" t="s">
        <v>28</v>
      </c>
      <c r="B792" s="1" t="s">
        <v>110</v>
      </c>
      <c r="C792">
        <v>3</v>
      </c>
      <c r="D792">
        <v>2</v>
      </c>
      <c r="E792">
        <v>2241</v>
      </c>
      <c r="F792">
        <v>8953</v>
      </c>
      <c r="G792">
        <v>1</v>
      </c>
      <c r="H792">
        <v>2012</v>
      </c>
      <c r="I792">
        <v>2020</v>
      </c>
      <c r="J792" s="1" t="s">
        <v>22</v>
      </c>
      <c r="K792">
        <v>0</v>
      </c>
      <c r="L792" s="1" t="s">
        <v>64</v>
      </c>
      <c r="M792" s="1" t="s">
        <v>24</v>
      </c>
      <c r="N792" s="1" t="s">
        <v>46</v>
      </c>
      <c r="O792">
        <v>2</v>
      </c>
      <c r="P792">
        <v>4</v>
      </c>
      <c r="Q792" s="1" t="s">
        <v>111</v>
      </c>
      <c r="R792">
        <v>0</v>
      </c>
      <c r="S792" s="1" t="s">
        <v>27</v>
      </c>
      <c r="T792">
        <v>22665000</v>
      </c>
      <c r="U792" t="s">
        <v>183</v>
      </c>
      <c r="V792" s="1" t="s">
        <v>179</v>
      </c>
      <c r="W792" s="1" t="s">
        <v>180</v>
      </c>
      <c r="X792" s="1" t="str">
        <f>VLOOKUP(V792,Broker_Directory!A:C,3,FALSE)</f>
        <v>Tier B</v>
      </c>
      <c r="Y792" s="1">
        <f>HLOOKUP(X792, Commission_Rates!A$1:C$2, 2, FALSE)</f>
        <v>1.4999999999999999E-2</v>
      </c>
      <c r="Z792" s="1">
        <f t="shared" si="36"/>
        <v>0</v>
      </c>
      <c r="AA792" s="1">
        <f t="shared" si="37"/>
        <v>0</v>
      </c>
      <c r="AB792" s="1">
        <f t="shared" si="38"/>
        <v>0</v>
      </c>
    </row>
    <row r="793" spans="1:28" x14ac:dyDescent="0.3">
      <c r="A793" s="1" t="s">
        <v>37</v>
      </c>
      <c r="B793" s="1" t="s">
        <v>45</v>
      </c>
      <c r="C793">
        <v>3</v>
      </c>
      <c r="D793">
        <v>1</v>
      </c>
      <c r="E793">
        <v>3982</v>
      </c>
      <c r="F793">
        <v>7223</v>
      </c>
      <c r="G793">
        <v>1</v>
      </c>
      <c r="H793">
        <v>1985</v>
      </c>
      <c r="I793">
        <v>1993</v>
      </c>
      <c r="J793" s="1" t="s">
        <v>30</v>
      </c>
      <c r="K793">
        <v>0</v>
      </c>
      <c r="L793" s="1" t="s">
        <v>41</v>
      </c>
      <c r="M793" s="1" t="s">
        <v>24</v>
      </c>
      <c r="N793" s="1" t="s">
        <v>25</v>
      </c>
      <c r="O793">
        <v>10</v>
      </c>
      <c r="P793">
        <v>0</v>
      </c>
      <c r="Q793" s="1" t="s">
        <v>77</v>
      </c>
      <c r="R793">
        <v>2</v>
      </c>
      <c r="S793" s="1" t="s">
        <v>27</v>
      </c>
      <c r="T793">
        <v>32186000</v>
      </c>
      <c r="U793" t="s">
        <v>183</v>
      </c>
      <c r="V793" s="1" t="s">
        <v>168</v>
      </c>
      <c r="W793" s="1" t="s">
        <v>169</v>
      </c>
      <c r="X793" s="1" t="str">
        <f>VLOOKUP(V793,Broker_Directory!A:C,3,FALSE)</f>
        <v>Tier A</v>
      </c>
      <c r="Y793" s="1">
        <f>HLOOKUP(X793, Commission_Rates!A$1:C$2, 2, FALSE)</f>
        <v>0.02</v>
      </c>
      <c r="Z793" s="1">
        <f t="shared" si="36"/>
        <v>0</v>
      </c>
      <c r="AA793" s="1">
        <f t="shared" si="37"/>
        <v>0</v>
      </c>
      <c r="AB793" s="1">
        <f t="shared" si="38"/>
        <v>0</v>
      </c>
    </row>
    <row r="794" spans="1:28" x14ac:dyDescent="0.3">
      <c r="A794" s="1" t="s">
        <v>33</v>
      </c>
      <c r="B794" s="1" t="s">
        <v>75</v>
      </c>
      <c r="C794">
        <v>3</v>
      </c>
      <c r="D794">
        <v>3</v>
      </c>
      <c r="E794">
        <v>4270</v>
      </c>
      <c r="F794">
        <v>6893</v>
      </c>
      <c r="G794">
        <v>3</v>
      </c>
      <c r="H794">
        <v>2018</v>
      </c>
      <c r="I794">
        <v>2020</v>
      </c>
      <c r="J794" s="1" t="s">
        <v>52</v>
      </c>
      <c r="K794">
        <v>0</v>
      </c>
      <c r="L794" s="1" t="s">
        <v>64</v>
      </c>
      <c r="M794" s="1" t="s">
        <v>24</v>
      </c>
      <c r="N794" s="1" t="s">
        <v>35</v>
      </c>
      <c r="O794">
        <v>3</v>
      </c>
      <c r="P794">
        <v>4</v>
      </c>
      <c r="Q794" s="1" t="s">
        <v>161</v>
      </c>
      <c r="R794">
        <v>1</v>
      </c>
      <c r="S794" s="1" t="s">
        <v>27</v>
      </c>
      <c r="T794">
        <v>36635000</v>
      </c>
      <c r="U794" t="s">
        <v>184</v>
      </c>
      <c r="V794" s="1" t="s">
        <v>168</v>
      </c>
      <c r="W794" s="1" t="s">
        <v>169</v>
      </c>
      <c r="X794" s="1" t="str">
        <f>VLOOKUP(V794,Broker_Directory!A:C,3,FALSE)</f>
        <v>Tier A</v>
      </c>
      <c r="Y794" s="1">
        <f>HLOOKUP(X794, Commission_Rates!A$1:C$2, 2, FALSE)</f>
        <v>0.02</v>
      </c>
      <c r="Z794" s="1">
        <f t="shared" si="36"/>
        <v>732700</v>
      </c>
      <c r="AA794" s="1">
        <f t="shared" si="37"/>
        <v>1099050</v>
      </c>
      <c r="AB794" s="1">
        <f t="shared" si="38"/>
        <v>366350</v>
      </c>
    </row>
    <row r="795" spans="1:28" x14ac:dyDescent="0.3">
      <c r="A795" s="1" t="s">
        <v>37</v>
      </c>
      <c r="B795" s="1" t="s">
        <v>87</v>
      </c>
      <c r="C795">
        <v>3</v>
      </c>
      <c r="D795">
        <v>3</v>
      </c>
      <c r="E795">
        <v>1973</v>
      </c>
      <c r="F795">
        <v>3203</v>
      </c>
      <c r="G795">
        <v>2</v>
      </c>
      <c r="H795">
        <v>1953</v>
      </c>
      <c r="I795">
        <v>1955</v>
      </c>
      <c r="J795" s="1" t="s">
        <v>22</v>
      </c>
      <c r="K795">
        <v>0</v>
      </c>
      <c r="L795" s="1" t="s">
        <v>64</v>
      </c>
      <c r="M795" s="1" t="s">
        <v>27</v>
      </c>
      <c r="N795" s="1" t="s">
        <v>25</v>
      </c>
      <c r="O795">
        <v>7</v>
      </c>
      <c r="P795">
        <v>5</v>
      </c>
      <c r="Q795" s="1" t="s">
        <v>138</v>
      </c>
      <c r="R795">
        <v>1</v>
      </c>
      <c r="S795" s="1" t="s">
        <v>27</v>
      </c>
      <c r="T795">
        <v>16154000</v>
      </c>
      <c r="U795" t="s">
        <v>182</v>
      </c>
      <c r="V795" s="1" t="s">
        <v>171</v>
      </c>
      <c r="W795" s="1" t="s">
        <v>172</v>
      </c>
      <c r="X795" s="1" t="str">
        <f>VLOOKUP(V795,Broker_Directory!A:C,3,FALSE)</f>
        <v>Tier B</v>
      </c>
      <c r="Y795" s="1">
        <f>HLOOKUP(X795, Commission_Rates!A$1:C$2, 2, FALSE)</f>
        <v>1.4999999999999999E-2</v>
      </c>
      <c r="Z795" s="1">
        <f t="shared" si="36"/>
        <v>0</v>
      </c>
      <c r="AA795" s="1">
        <f t="shared" si="37"/>
        <v>0</v>
      </c>
      <c r="AB795" s="1">
        <f t="shared" si="38"/>
        <v>0</v>
      </c>
    </row>
    <row r="796" spans="1:28" x14ac:dyDescent="0.3">
      <c r="A796" s="1" t="s">
        <v>53</v>
      </c>
      <c r="B796" s="1" t="s">
        <v>105</v>
      </c>
      <c r="C796">
        <v>3</v>
      </c>
      <c r="D796">
        <v>4</v>
      </c>
      <c r="E796">
        <v>2560</v>
      </c>
      <c r="F796">
        <v>4230</v>
      </c>
      <c r="G796">
        <v>3</v>
      </c>
      <c r="H796">
        <v>2008</v>
      </c>
      <c r="I796">
        <v>2016</v>
      </c>
      <c r="J796" s="1" t="s">
        <v>52</v>
      </c>
      <c r="K796">
        <v>1</v>
      </c>
      <c r="L796" s="1" t="s">
        <v>64</v>
      </c>
      <c r="M796" s="1" t="s">
        <v>24</v>
      </c>
      <c r="N796" s="1" t="s">
        <v>25</v>
      </c>
      <c r="O796">
        <v>0</v>
      </c>
      <c r="P796">
        <v>2</v>
      </c>
      <c r="Q796" s="1" t="s">
        <v>106</v>
      </c>
      <c r="R796">
        <v>2</v>
      </c>
      <c r="S796" s="1" t="s">
        <v>24</v>
      </c>
      <c r="T796">
        <v>23550000</v>
      </c>
      <c r="U796" t="s">
        <v>182</v>
      </c>
      <c r="V796" s="1" t="s">
        <v>176</v>
      </c>
      <c r="W796" s="1" t="s">
        <v>177</v>
      </c>
      <c r="X796" s="1" t="str">
        <f>VLOOKUP(V796,Broker_Directory!A:C,3,FALSE)</f>
        <v>Tier C</v>
      </c>
      <c r="Y796" s="1">
        <f>HLOOKUP(X796, Commission_Rates!A$1:C$2, 2, FALSE)</f>
        <v>0.01</v>
      </c>
      <c r="Z796" s="1">
        <f t="shared" si="36"/>
        <v>0</v>
      </c>
      <c r="AA796" s="1">
        <f t="shared" si="37"/>
        <v>0</v>
      </c>
      <c r="AB796" s="1">
        <f t="shared" si="38"/>
        <v>0</v>
      </c>
    </row>
    <row r="797" spans="1:28" x14ac:dyDescent="0.3">
      <c r="A797" s="1" t="s">
        <v>53</v>
      </c>
      <c r="B797" s="1" t="s">
        <v>54</v>
      </c>
      <c r="C797">
        <v>5</v>
      </c>
      <c r="D797">
        <v>1</v>
      </c>
      <c r="E797">
        <v>3857</v>
      </c>
      <c r="F797">
        <v>9201</v>
      </c>
      <c r="G797">
        <v>2</v>
      </c>
      <c r="H797">
        <v>2000</v>
      </c>
      <c r="I797">
        <v>2004</v>
      </c>
      <c r="J797" s="1" t="s">
        <v>30</v>
      </c>
      <c r="K797">
        <v>0</v>
      </c>
      <c r="L797" s="1" t="s">
        <v>64</v>
      </c>
      <c r="M797" s="1" t="s">
        <v>27</v>
      </c>
      <c r="N797" s="1" t="s">
        <v>35</v>
      </c>
      <c r="O797">
        <v>9</v>
      </c>
      <c r="P797">
        <v>0</v>
      </c>
      <c r="Q797" s="1" t="s">
        <v>156</v>
      </c>
      <c r="R797">
        <v>1</v>
      </c>
      <c r="S797" s="1" t="s">
        <v>27</v>
      </c>
      <c r="T797">
        <v>35048000</v>
      </c>
      <c r="U797" t="s">
        <v>182</v>
      </c>
      <c r="V797" s="1" t="s">
        <v>168</v>
      </c>
      <c r="W797" s="1" t="s">
        <v>169</v>
      </c>
      <c r="X797" s="1" t="str">
        <f>VLOOKUP(V797,Broker_Directory!A:C,3,FALSE)</f>
        <v>Tier A</v>
      </c>
      <c r="Y797" s="1">
        <f>HLOOKUP(X797, Commission_Rates!A$1:C$2, 2, FALSE)</f>
        <v>0.02</v>
      </c>
      <c r="Z797" s="1">
        <f t="shared" si="36"/>
        <v>0</v>
      </c>
      <c r="AA797" s="1">
        <f t="shared" si="37"/>
        <v>0</v>
      </c>
      <c r="AB797" s="1">
        <f t="shared" si="38"/>
        <v>0</v>
      </c>
    </row>
    <row r="798" spans="1:28" x14ac:dyDescent="0.3">
      <c r="A798" s="1" t="s">
        <v>20</v>
      </c>
      <c r="B798" s="1" t="s">
        <v>21</v>
      </c>
      <c r="C798">
        <v>2</v>
      </c>
      <c r="D798">
        <v>2</v>
      </c>
      <c r="E798">
        <v>1137</v>
      </c>
      <c r="F798">
        <v>9752</v>
      </c>
      <c r="G798">
        <v>1</v>
      </c>
      <c r="H798">
        <v>1980</v>
      </c>
      <c r="I798">
        <v>1984</v>
      </c>
      <c r="J798" s="1" t="s">
        <v>30</v>
      </c>
      <c r="K798">
        <v>2</v>
      </c>
      <c r="L798" s="1" t="s">
        <v>64</v>
      </c>
      <c r="M798" s="1" t="s">
        <v>24</v>
      </c>
      <c r="N798" s="1" t="s">
        <v>46</v>
      </c>
      <c r="O798">
        <v>5</v>
      </c>
      <c r="P798">
        <v>0</v>
      </c>
      <c r="Q798" s="1" t="s">
        <v>102</v>
      </c>
      <c r="R798">
        <v>3</v>
      </c>
      <c r="S798" s="1" t="s">
        <v>24</v>
      </c>
      <c r="T798">
        <v>13944000</v>
      </c>
      <c r="U798" t="s">
        <v>182</v>
      </c>
      <c r="V798" s="1" t="s">
        <v>179</v>
      </c>
      <c r="W798" s="1" t="s">
        <v>180</v>
      </c>
      <c r="X798" s="1" t="str">
        <f>VLOOKUP(V798,Broker_Directory!A:C,3,FALSE)</f>
        <v>Tier B</v>
      </c>
      <c r="Y798" s="1">
        <f>HLOOKUP(X798, Commission_Rates!A$1:C$2, 2, FALSE)</f>
        <v>1.4999999999999999E-2</v>
      </c>
      <c r="Z798" s="1">
        <f t="shared" si="36"/>
        <v>0</v>
      </c>
      <c r="AA798" s="1">
        <f t="shared" si="37"/>
        <v>0</v>
      </c>
      <c r="AB798" s="1">
        <f t="shared" si="38"/>
        <v>0</v>
      </c>
    </row>
    <row r="799" spans="1:28" x14ac:dyDescent="0.3">
      <c r="A799" s="1" t="s">
        <v>33</v>
      </c>
      <c r="B799" s="1" t="s">
        <v>98</v>
      </c>
      <c r="C799">
        <v>4</v>
      </c>
      <c r="D799">
        <v>2</v>
      </c>
      <c r="E799">
        <v>4790</v>
      </c>
      <c r="F799">
        <v>5572</v>
      </c>
      <c r="G799">
        <v>1</v>
      </c>
      <c r="H799">
        <v>2007</v>
      </c>
      <c r="I799">
        <v>2011</v>
      </c>
      <c r="J799" s="1" t="s">
        <v>58</v>
      </c>
      <c r="K799">
        <v>2</v>
      </c>
      <c r="L799" s="1" t="s">
        <v>31</v>
      </c>
      <c r="M799" s="1" t="s">
        <v>24</v>
      </c>
      <c r="N799" s="1" t="s">
        <v>25</v>
      </c>
      <c r="O799">
        <v>10</v>
      </c>
      <c r="P799">
        <v>5</v>
      </c>
      <c r="Q799" s="1" t="s">
        <v>145</v>
      </c>
      <c r="R799">
        <v>0</v>
      </c>
      <c r="S799" s="1" t="s">
        <v>24</v>
      </c>
      <c r="T799">
        <v>41145000</v>
      </c>
      <c r="U799" t="s">
        <v>184</v>
      </c>
      <c r="V799" s="1" t="s">
        <v>171</v>
      </c>
      <c r="W799" s="1" t="s">
        <v>172</v>
      </c>
      <c r="X799" s="1" t="str">
        <f>VLOOKUP(V799,Broker_Directory!A:C,3,FALSE)</f>
        <v>Tier B</v>
      </c>
      <c r="Y799" s="1">
        <f>HLOOKUP(X799, Commission_Rates!A$1:C$2, 2, FALSE)</f>
        <v>1.4999999999999999E-2</v>
      </c>
      <c r="Z799" s="1">
        <f t="shared" si="36"/>
        <v>617175</v>
      </c>
      <c r="AA799" s="1">
        <f t="shared" si="37"/>
        <v>1234350</v>
      </c>
      <c r="AB799" s="1">
        <f t="shared" si="38"/>
        <v>617175</v>
      </c>
    </row>
    <row r="800" spans="1:28" x14ac:dyDescent="0.3">
      <c r="A800" s="1" t="s">
        <v>37</v>
      </c>
      <c r="B800" s="1" t="s">
        <v>87</v>
      </c>
      <c r="C800">
        <v>1</v>
      </c>
      <c r="D800">
        <v>2</v>
      </c>
      <c r="E800">
        <v>2205</v>
      </c>
      <c r="F800">
        <v>3505</v>
      </c>
      <c r="G800">
        <v>1</v>
      </c>
      <c r="H800">
        <v>2014</v>
      </c>
      <c r="I800">
        <v>2018</v>
      </c>
      <c r="J800" s="1" t="s">
        <v>30</v>
      </c>
      <c r="K800">
        <v>3</v>
      </c>
      <c r="L800" s="1" t="s">
        <v>41</v>
      </c>
      <c r="M800" s="1" t="s">
        <v>24</v>
      </c>
      <c r="N800" s="1" t="s">
        <v>35</v>
      </c>
      <c r="O800">
        <v>4</v>
      </c>
      <c r="P800">
        <v>3</v>
      </c>
      <c r="Q800" s="1" t="s">
        <v>141</v>
      </c>
      <c r="R800">
        <v>3</v>
      </c>
      <c r="S800" s="1" t="s">
        <v>24</v>
      </c>
      <c r="T800">
        <v>17890000</v>
      </c>
      <c r="U800" t="s">
        <v>184</v>
      </c>
      <c r="V800" s="1" t="s">
        <v>174</v>
      </c>
      <c r="W800" s="1" t="s">
        <v>175</v>
      </c>
      <c r="X800" s="1" t="str">
        <f>VLOOKUP(V800,Broker_Directory!A:C,3,FALSE)</f>
        <v>Tier A</v>
      </c>
      <c r="Y800" s="1">
        <f>HLOOKUP(X800, Commission_Rates!A$1:C$2, 2, FALSE)</f>
        <v>0.02</v>
      </c>
      <c r="Z800" s="1">
        <f t="shared" si="36"/>
        <v>357800</v>
      </c>
      <c r="AA800" s="1">
        <f t="shared" si="37"/>
        <v>536700</v>
      </c>
      <c r="AB800" s="1">
        <f t="shared" si="38"/>
        <v>178900</v>
      </c>
    </row>
    <row r="801" spans="1:28" x14ac:dyDescent="0.3">
      <c r="A801" s="1" t="s">
        <v>20</v>
      </c>
      <c r="B801" s="1" t="s">
        <v>40</v>
      </c>
      <c r="C801">
        <v>5</v>
      </c>
      <c r="D801">
        <v>1</v>
      </c>
      <c r="E801">
        <v>2010</v>
      </c>
      <c r="F801">
        <v>3940</v>
      </c>
      <c r="G801">
        <v>3</v>
      </c>
      <c r="H801">
        <v>2012</v>
      </c>
      <c r="I801">
        <v>0</v>
      </c>
      <c r="J801" s="1" t="s">
        <v>30</v>
      </c>
      <c r="K801">
        <v>0</v>
      </c>
      <c r="L801" s="1" t="s">
        <v>64</v>
      </c>
      <c r="M801" s="1" t="s">
        <v>24</v>
      </c>
      <c r="N801" s="1" t="s">
        <v>46</v>
      </c>
      <c r="O801">
        <v>3</v>
      </c>
      <c r="P801">
        <v>1</v>
      </c>
      <c r="Q801" s="1" t="s">
        <v>115</v>
      </c>
      <c r="R801">
        <v>2</v>
      </c>
      <c r="S801" s="1" t="s">
        <v>27</v>
      </c>
      <c r="T801">
        <v>24515000</v>
      </c>
      <c r="U801" t="s">
        <v>182</v>
      </c>
      <c r="V801" s="1" t="s">
        <v>174</v>
      </c>
      <c r="W801" s="1" t="s">
        <v>175</v>
      </c>
      <c r="X801" s="1" t="str">
        <f>VLOOKUP(V801,Broker_Directory!A:C,3,FALSE)</f>
        <v>Tier A</v>
      </c>
      <c r="Y801" s="1">
        <f>HLOOKUP(X801, Commission_Rates!A$1:C$2, 2, FALSE)</f>
        <v>0.02</v>
      </c>
      <c r="Z801" s="1">
        <f t="shared" si="36"/>
        <v>0</v>
      </c>
      <c r="AA801" s="1">
        <f t="shared" si="37"/>
        <v>0</v>
      </c>
      <c r="AB801" s="1">
        <f t="shared" si="38"/>
        <v>0</v>
      </c>
    </row>
    <row r="802" spans="1:28" x14ac:dyDescent="0.3">
      <c r="A802" s="1" t="s">
        <v>33</v>
      </c>
      <c r="B802" s="1" t="s">
        <v>34</v>
      </c>
      <c r="C802">
        <v>5</v>
      </c>
      <c r="D802">
        <v>4</v>
      </c>
      <c r="E802">
        <v>1609</v>
      </c>
      <c r="F802">
        <v>4961</v>
      </c>
      <c r="G802">
        <v>3</v>
      </c>
      <c r="H802">
        <v>1982</v>
      </c>
      <c r="I802">
        <v>2002</v>
      </c>
      <c r="J802" s="1" t="s">
        <v>52</v>
      </c>
      <c r="K802">
        <v>2</v>
      </c>
      <c r="L802" s="1" t="s">
        <v>64</v>
      </c>
      <c r="M802" s="1" t="s">
        <v>27</v>
      </c>
      <c r="N802" s="1" t="s">
        <v>25</v>
      </c>
      <c r="O802">
        <v>10</v>
      </c>
      <c r="P802">
        <v>2</v>
      </c>
      <c r="Q802" s="1" t="s">
        <v>85</v>
      </c>
      <c r="R802">
        <v>0</v>
      </c>
      <c r="S802" s="1" t="s">
        <v>27</v>
      </c>
      <c r="T802">
        <v>14181500</v>
      </c>
      <c r="U802" t="s">
        <v>182</v>
      </c>
      <c r="V802" s="1" t="s">
        <v>174</v>
      </c>
      <c r="W802" s="1" t="s">
        <v>175</v>
      </c>
      <c r="X802" s="1" t="str">
        <f>VLOOKUP(V802,Broker_Directory!A:C,3,FALSE)</f>
        <v>Tier A</v>
      </c>
      <c r="Y802" s="1">
        <f>HLOOKUP(X802, Commission_Rates!A$1:C$2, 2, FALSE)</f>
        <v>0.02</v>
      </c>
      <c r="Z802" s="1">
        <f t="shared" si="36"/>
        <v>0</v>
      </c>
      <c r="AA802" s="1">
        <f t="shared" si="37"/>
        <v>0</v>
      </c>
      <c r="AB802" s="1">
        <f t="shared" si="38"/>
        <v>0</v>
      </c>
    </row>
    <row r="803" spans="1:28" x14ac:dyDescent="0.3">
      <c r="A803" s="1" t="s">
        <v>33</v>
      </c>
      <c r="B803" s="1" t="s">
        <v>43</v>
      </c>
      <c r="C803">
        <v>4</v>
      </c>
      <c r="D803">
        <v>2</v>
      </c>
      <c r="E803">
        <v>1814</v>
      </c>
      <c r="F803">
        <v>2787</v>
      </c>
      <c r="G803">
        <v>1</v>
      </c>
      <c r="H803">
        <v>1999</v>
      </c>
      <c r="I803">
        <v>2023</v>
      </c>
      <c r="J803" s="1" t="s">
        <v>58</v>
      </c>
      <c r="K803">
        <v>1</v>
      </c>
      <c r="L803" s="1" t="s">
        <v>31</v>
      </c>
      <c r="M803" s="1" t="s">
        <v>27</v>
      </c>
      <c r="N803" s="1" t="s">
        <v>35</v>
      </c>
      <c r="O803">
        <v>10</v>
      </c>
      <c r="P803">
        <v>1</v>
      </c>
      <c r="Q803" s="1" t="s">
        <v>71</v>
      </c>
      <c r="R803">
        <v>2</v>
      </c>
      <c r="S803" s="1" t="s">
        <v>27</v>
      </c>
      <c r="T803">
        <v>15729000</v>
      </c>
      <c r="U803" t="s">
        <v>184</v>
      </c>
      <c r="V803" s="1" t="s">
        <v>176</v>
      </c>
      <c r="W803" s="1" t="s">
        <v>177</v>
      </c>
      <c r="X803" s="1" t="str">
        <f>VLOOKUP(V803,Broker_Directory!A:C,3,FALSE)</f>
        <v>Tier C</v>
      </c>
      <c r="Y803" s="1">
        <f>HLOOKUP(X803, Commission_Rates!A$1:C$2, 2, FALSE)</f>
        <v>0.01</v>
      </c>
      <c r="Z803" s="1">
        <f t="shared" si="36"/>
        <v>157290</v>
      </c>
      <c r="AA803" s="1">
        <f t="shared" si="37"/>
        <v>471870</v>
      </c>
      <c r="AB803" s="1">
        <f t="shared" si="38"/>
        <v>314580</v>
      </c>
    </row>
    <row r="804" spans="1:28" x14ac:dyDescent="0.3">
      <c r="A804" s="1" t="s">
        <v>20</v>
      </c>
      <c r="B804" s="1" t="s">
        <v>40</v>
      </c>
      <c r="C804">
        <v>5</v>
      </c>
      <c r="D804">
        <v>3</v>
      </c>
      <c r="E804">
        <v>2076</v>
      </c>
      <c r="F804">
        <v>6312</v>
      </c>
      <c r="G804">
        <v>1</v>
      </c>
      <c r="H804">
        <v>1989</v>
      </c>
      <c r="I804">
        <v>0</v>
      </c>
      <c r="J804" s="1" t="s">
        <v>52</v>
      </c>
      <c r="K804">
        <v>1</v>
      </c>
      <c r="L804" s="1" t="s">
        <v>64</v>
      </c>
      <c r="M804" s="1" t="s">
        <v>24</v>
      </c>
      <c r="N804" s="1" t="s">
        <v>46</v>
      </c>
      <c r="O804">
        <v>6</v>
      </c>
      <c r="P804">
        <v>5</v>
      </c>
      <c r="Q804" s="1" t="s">
        <v>42</v>
      </c>
      <c r="R804">
        <v>3</v>
      </c>
      <c r="S804" s="1" t="s">
        <v>27</v>
      </c>
      <c r="T804">
        <v>25342000</v>
      </c>
      <c r="U804" t="s">
        <v>182</v>
      </c>
      <c r="V804" s="1" t="s">
        <v>174</v>
      </c>
      <c r="W804" s="1" t="s">
        <v>175</v>
      </c>
      <c r="X804" s="1" t="str">
        <f>VLOOKUP(V804,Broker_Directory!A:C,3,FALSE)</f>
        <v>Tier A</v>
      </c>
      <c r="Y804" s="1">
        <f>HLOOKUP(X804, Commission_Rates!A$1:C$2, 2, FALSE)</f>
        <v>0.02</v>
      </c>
      <c r="Z804" s="1">
        <f t="shared" si="36"/>
        <v>0</v>
      </c>
      <c r="AA804" s="1">
        <f t="shared" si="37"/>
        <v>0</v>
      </c>
      <c r="AB804" s="1">
        <f t="shared" si="38"/>
        <v>0</v>
      </c>
    </row>
    <row r="805" spans="1:28" x14ac:dyDescent="0.3">
      <c r="A805" s="1" t="s">
        <v>33</v>
      </c>
      <c r="B805" s="1" t="s">
        <v>75</v>
      </c>
      <c r="C805">
        <v>4</v>
      </c>
      <c r="D805">
        <v>4</v>
      </c>
      <c r="E805">
        <v>4894</v>
      </c>
      <c r="F805">
        <v>9832</v>
      </c>
      <c r="G805">
        <v>2</v>
      </c>
      <c r="H805">
        <v>1981</v>
      </c>
      <c r="I805">
        <v>1984</v>
      </c>
      <c r="J805" s="1" t="s">
        <v>58</v>
      </c>
      <c r="K805">
        <v>0</v>
      </c>
      <c r="L805" s="1" t="s">
        <v>23</v>
      </c>
      <c r="M805" s="1" t="s">
        <v>24</v>
      </c>
      <c r="N805" s="1" t="s">
        <v>25</v>
      </c>
      <c r="O805">
        <v>4</v>
      </c>
      <c r="P805">
        <v>0</v>
      </c>
      <c r="Q805" s="1" t="s">
        <v>161</v>
      </c>
      <c r="R805">
        <v>3</v>
      </c>
      <c r="S805" s="1" t="s">
        <v>27</v>
      </c>
      <c r="T805">
        <v>42104000</v>
      </c>
      <c r="U805" t="s">
        <v>183</v>
      </c>
      <c r="V805" s="1" t="s">
        <v>179</v>
      </c>
      <c r="W805" s="1" t="s">
        <v>180</v>
      </c>
      <c r="X805" s="1" t="str">
        <f>VLOOKUP(V805,Broker_Directory!A:C,3,FALSE)</f>
        <v>Tier B</v>
      </c>
      <c r="Y805" s="1">
        <f>HLOOKUP(X805, Commission_Rates!A$1:C$2, 2, FALSE)</f>
        <v>1.4999999999999999E-2</v>
      </c>
      <c r="Z805" s="1">
        <f t="shared" si="36"/>
        <v>0</v>
      </c>
      <c r="AA805" s="1">
        <f t="shared" si="37"/>
        <v>0</v>
      </c>
      <c r="AB805" s="1">
        <f t="shared" si="38"/>
        <v>0</v>
      </c>
    </row>
    <row r="806" spans="1:28" x14ac:dyDescent="0.3">
      <c r="A806" s="1" t="s">
        <v>33</v>
      </c>
      <c r="B806" s="1" t="s">
        <v>75</v>
      </c>
      <c r="C806">
        <v>1</v>
      </c>
      <c r="D806">
        <v>1</v>
      </c>
      <c r="E806">
        <v>3315</v>
      </c>
      <c r="F806">
        <v>5128</v>
      </c>
      <c r="G806">
        <v>3</v>
      </c>
      <c r="H806">
        <v>1974</v>
      </c>
      <c r="I806">
        <v>2000</v>
      </c>
      <c r="J806" s="1" t="s">
        <v>30</v>
      </c>
      <c r="K806">
        <v>0</v>
      </c>
      <c r="L806" s="1" t="s">
        <v>64</v>
      </c>
      <c r="M806" s="1" t="s">
        <v>27</v>
      </c>
      <c r="N806" s="1" t="s">
        <v>35</v>
      </c>
      <c r="O806">
        <v>0</v>
      </c>
      <c r="P806">
        <v>2</v>
      </c>
      <c r="Q806" s="1" t="s">
        <v>76</v>
      </c>
      <c r="R806">
        <v>0</v>
      </c>
      <c r="S806" s="1" t="s">
        <v>27</v>
      </c>
      <c r="T806">
        <v>28317500</v>
      </c>
      <c r="U806" t="s">
        <v>183</v>
      </c>
      <c r="V806" s="1" t="s">
        <v>176</v>
      </c>
      <c r="W806" s="1" t="s">
        <v>177</v>
      </c>
      <c r="X806" s="1" t="str">
        <f>VLOOKUP(V806,Broker_Directory!A:C,3,FALSE)</f>
        <v>Tier C</v>
      </c>
      <c r="Y806" s="1">
        <f>HLOOKUP(X806, Commission_Rates!A$1:C$2, 2, FALSE)</f>
        <v>0.01</v>
      </c>
      <c r="Z806" s="1">
        <f t="shared" si="36"/>
        <v>0</v>
      </c>
      <c r="AA806" s="1">
        <f t="shared" si="37"/>
        <v>0</v>
      </c>
      <c r="AB806" s="1">
        <f t="shared" si="38"/>
        <v>0</v>
      </c>
    </row>
    <row r="807" spans="1:28" x14ac:dyDescent="0.3">
      <c r="A807" s="1" t="s">
        <v>28</v>
      </c>
      <c r="B807" s="1" t="s">
        <v>79</v>
      </c>
      <c r="C807">
        <v>4</v>
      </c>
      <c r="D807">
        <v>2</v>
      </c>
      <c r="E807">
        <v>1285</v>
      </c>
      <c r="F807">
        <v>1832</v>
      </c>
      <c r="G807">
        <v>2</v>
      </c>
      <c r="H807">
        <v>1972</v>
      </c>
      <c r="I807">
        <v>0</v>
      </c>
      <c r="J807" s="1" t="s">
        <v>58</v>
      </c>
      <c r="K807">
        <v>0</v>
      </c>
      <c r="L807" s="1" t="s">
        <v>31</v>
      </c>
      <c r="M807" s="1" t="s">
        <v>27</v>
      </c>
      <c r="N807" s="1" t="s">
        <v>35</v>
      </c>
      <c r="O807">
        <v>8</v>
      </c>
      <c r="P807">
        <v>2</v>
      </c>
      <c r="Q807" s="1" t="s">
        <v>92</v>
      </c>
      <c r="R807">
        <v>0</v>
      </c>
      <c r="S807" s="1" t="s">
        <v>27</v>
      </c>
      <c r="T807">
        <v>13150000</v>
      </c>
      <c r="U807" t="s">
        <v>182</v>
      </c>
      <c r="V807" s="1" t="s">
        <v>179</v>
      </c>
      <c r="W807" s="1" t="s">
        <v>180</v>
      </c>
      <c r="X807" s="1" t="str">
        <f>VLOOKUP(V807,Broker_Directory!A:C,3,FALSE)</f>
        <v>Tier B</v>
      </c>
      <c r="Y807" s="1">
        <f>HLOOKUP(X807, Commission_Rates!A$1:C$2, 2, FALSE)</f>
        <v>1.4999999999999999E-2</v>
      </c>
      <c r="Z807" s="1">
        <f t="shared" si="36"/>
        <v>0</v>
      </c>
      <c r="AA807" s="1">
        <f t="shared" si="37"/>
        <v>0</v>
      </c>
      <c r="AB807" s="1">
        <f t="shared" si="38"/>
        <v>0</v>
      </c>
    </row>
    <row r="808" spans="1:28" x14ac:dyDescent="0.3">
      <c r="A808" s="1" t="s">
        <v>20</v>
      </c>
      <c r="B808" s="1" t="s">
        <v>40</v>
      </c>
      <c r="C808">
        <v>2</v>
      </c>
      <c r="D808">
        <v>1</v>
      </c>
      <c r="E808">
        <v>3556</v>
      </c>
      <c r="F808">
        <v>9160</v>
      </c>
      <c r="G808">
        <v>2</v>
      </c>
      <c r="H808">
        <v>1953</v>
      </c>
      <c r="I808">
        <v>1956</v>
      </c>
      <c r="J808" s="1" t="s">
        <v>22</v>
      </c>
      <c r="K808">
        <v>3</v>
      </c>
      <c r="L808" s="1" t="s">
        <v>41</v>
      </c>
      <c r="M808" s="1" t="s">
        <v>27</v>
      </c>
      <c r="N808" s="1" t="s">
        <v>25</v>
      </c>
      <c r="O808">
        <v>0</v>
      </c>
      <c r="P808">
        <v>4</v>
      </c>
      <c r="Q808" s="1" t="s">
        <v>115</v>
      </c>
      <c r="R808">
        <v>0</v>
      </c>
      <c r="S808" s="1" t="s">
        <v>27</v>
      </c>
      <c r="T808">
        <v>42917000</v>
      </c>
      <c r="U808" t="s">
        <v>183</v>
      </c>
      <c r="V808" s="1" t="s">
        <v>168</v>
      </c>
      <c r="W808" s="1" t="s">
        <v>169</v>
      </c>
      <c r="X808" s="1" t="str">
        <f>VLOOKUP(V808,Broker_Directory!A:C,3,FALSE)</f>
        <v>Tier A</v>
      </c>
      <c r="Y808" s="1">
        <f>HLOOKUP(X808, Commission_Rates!A$1:C$2, 2, FALSE)</f>
        <v>0.02</v>
      </c>
      <c r="Z808" s="1">
        <f t="shared" si="36"/>
        <v>0</v>
      </c>
      <c r="AA808" s="1">
        <f t="shared" si="37"/>
        <v>0</v>
      </c>
      <c r="AB808" s="1">
        <f t="shared" si="38"/>
        <v>0</v>
      </c>
    </row>
    <row r="809" spans="1:28" x14ac:dyDescent="0.3">
      <c r="A809" s="1" t="s">
        <v>53</v>
      </c>
      <c r="B809" s="1" t="s">
        <v>54</v>
      </c>
      <c r="C809">
        <v>2</v>
      </c>
      <c r="D809">
        <v>3</v>
      </c>
      <c r="E809">
        <v>499</v>
      </c>
      <c r="F809">
        <v>5004</v>
      </c>
      <c r="G809">
        <v>1</v>
      </c>
      <c r="H809">
        <v>1980</v>
      </c>
      <c r="I809">
        <v>2023</v>
      </c>
      <c r="J809" s="1" t="s">
        <v>22</v>
      </c>
      <c r="K809">
        <v>0</v>
      </c>
      <c r="L809" s="1" t="s">
        <v>23</v>
      </c>
      <c r="M809" s="1" t="s">
        <v>27</v>
      </c>
      <c r="N809" s="1" t="s">
        <v>35</v>
      </c>
      <c r="O809">
        <v>7</v>
      </c>
      <c r="P809">
        <v>1</v>
      </c>
      <c r="Q809" s="1" t="s">
        <v>156</v>
      </c>
      <c r="R809">
        <v>2</v>
      </c>
      <c r="S809" s="1" t="s">
        <v>27</v>
      </c>
      <c r="T809">
        <v>4731000</v>
      </c>
      <c r="U809" t="s">
        <v>184</v>
      </c>
      <c r="V809" s="1" t="s">
        <v>171</v>
      </c>
      <c r="W809" s="1" t="s">
        <v>172</v>
      </c>
      <c r="X809" s="1" t="str">
        <f>VLOOKUP(V809,Broker_Directory!A:C,3,FALSE)</f>
        <v>Tier B</v>
      </c>
      <c r="Y809" s="1">
        <f>HLOOKUP(X809, Commission_Rates!A$1:C$2, 2, FALSE)</f>
        <v>1.4999999999999999E-2</v>
      </c>
      <c r="Z809" s="1">
        <f t="shared" si="36"/>
        <v>70965</v>
      </c>
      <c r="AA809" s="1">
        <f t="shared" si="37"/>
        <v>141930</v>
      </c>
      <c r="AB809" s="1">
        <f t="shared" si="38"/>
        <v>70965</v>
      </c>
    </row>
    <row r="810" spans="1:28" x14ac:dyDescent="0.3">
      <c r="A810" s="1" t="s">
        <v>20</v>
      </c>
      <c r="B810" s="1" t="s">
        <v>133</v>
      </c>
      <c r="C810">
        <v>3</v>
      </c>
      <c r="D810">
        <v>4</v>
      </c>
      <c r="E810">
        <v>4170</v>
      </c>
      <c r="F810">
        <v>8681</v>
      </c>
      <c r="G810">
        <v>1</v>
      </c>
      <c r="H810">
        <v>1997</v>
      </c>
      <c r="I810">
        <v>2017</v>
      </c>
      <c r="J810" s="1" t="s">
        <v>30</v>
      </c>
      <c r="K810">
        <v>1</v>
      </c>
      <c r="L810" s="1" t="s">
        <v>64</v>
      </c>
      <c r="M810" s="1" t="s">
        <v>27</v>
      </c>
      <c r="N810" s="1" t="s">
        <v>46</v>
      </c>
      <c r="O810">
        <v>2</v>
      </c>
      <c r="P810">
        <v>4</v>
      </c>
      <c r="Q810" s="1" t="s">
        <v>158</v>
      </c>
      <c r="R810">
        <v>2</v>
      </c>
      <c r="S810" s="1" t="s">
        <v>27</v>
      </c>
      <c r="T810">
        <v>50360000</v>
      </c>
      <c r="U810" t="s">
        <v>184</v>
      </c>
      <c r="V810" s="1" t="s">
        <v>168</v>
      </c>
      <c r="W810" s="1" t="s">
        <v>169</v>
      </c>
      <c r="X810" s="1" t="str">
        <f>VLOOKUP(V810,Broker_Directory!A:C,3,FALSE)</f>
        <v>Tier A</v>
      </c>
      <c r="Y810" s="1">
        <f>HLOOKUP(X810, Commission_Rates!A$1:C$2, 2, FALSE)</f>
        <v>0.02</v>
      </c>
      <c r="Z810" s="1">
        <f t="shared" si="36"/>
        <v>1007200</v>
      </c>
      <c r="AA810" s="1">
        <f t="shared" si="37"/>
        <v>1510800</v>
      </c>
      <c r="AB810" s="1">
        <f t="shared" si="38"/>
        <v>503600</v>
      </c>
    </row>
    <row r="811" spans="1:28" x14ac:dyDescent="0.3">
      <c r="A811" s="1" t="s">
        <v>53</v>
      </c>
      <c r="B811" s="1" t="s">
        <v>89</v>
      </c>
      <c r="C811">
        <v>2</v>
      </c>
      <c r="D811">
        <v>4</v>
      </c>
      <c r="E811">
        <v>4742</v>
      </c>
      <c r="F811">
        <v>8132</v>
      </c>
      <c r="G811">
        <v>2</v>
      </c>
      <c r="H811">
        <v>2005</v>
      </c>
      <c r="I811">
        <v>2006</v>
      </c>
      <c r="J811" s="1" t="s">
        <v>30</v>
      </c>
      <c r="K811">
        <v>1</v>
      </c>
      <c r="L811" s="1" t="s">
        <v>64</v>
      </c>
      <c r="M811" s="1" t="s">
        <v>27</v>
      </c>
      <c r="N811" s="1" t="s">
        <v>35</v>
      </c>
      <c r="O811">
        <v>7</v>
      </c>
      <c r="P811">
        <v>3</v>
      </c>
      <c r="Q811" s="1" t="s">
        <v>154</v>
      </c>
      <c r="R811">
        <v>0</v>
      </c>
      <c r="S811" s="1" t="s">
        <v>27</v>
      </c>
      <c r="T811">
        <v>42938000</v>
      </c>
      <c r="U811" t="s">
        <v>182</v>
      </c>
      <c r="V811" s="1" t="s">
        <v>179</v>
      </c>
      <c r="W811" s="1" t="s">
        <v>180</v>
      </c>
      <c r="X811" s="1" t="str">
        <f>VLOOKUP(V811,Broker_Directory!A:C,3,FALSE)</f>
        <v>Tier B</v>
      </c>
      <c r="Y811" s="1">
        <f>HLOOKUP(X811, Commission_Rates!A$1:C$2, 2, FALSE)</f>
        <v>1.4999999999999999E-2</v>
      </c>
      <c r="Z811" s="1">
        <f t="shared" si="36"/>
        <v>0</v>
      </c>
      <c r="AA811" s="1">
        <f t="shared" si="37"/>
        <v>0</v>
      </c>
      <c r="AB811" s="1">
        <f t="shared" si="38"/>
        <v>0</v>
      </c>
    </row>
    <row r="812" spans="1:28" x14ac:dyDescent="0.3">
      <c r="A812" s="1" t="s">
        <v>33</v>
      </c>
      <c r="B812" s="1" t="s">
        <v>75</v>
      </c>
      <c r="C812">
        <v>5</v>
      </c>
      <c r="D812">
        <v>3</v>
      </c>
      <c r="E812">
        <v>4725</v>
      </c>
      <c r="F812">
        <v>9958</v>
      </c>
      <c r="G812">
        <v>3</v>
      </c>
      <c r="H812">
        <v>1970</v>
      </c>
      <c r="I812">
        <v>2023</v>
      </c>
      <c r="J812" s="1" t="s">
        <v>52</v>
      </c>
      <c r="K812">
        <v>1</v>
      </c>
      <c r="L812" s="1" t="s">
        <v>41</v>
      </c>
      <c r="M812" s="1" t="s">
        <v>24</v>
      </c>
      <c r="N812" s="1" t="s">
        <v>46</v>
      </c>
      <c r="O812">
        <v>1</v>
      </c>
      <c r="P812">
        <v>4</v>
      </c>
      <c r="Q812" s="1" t="s">
        <v>76</v>
      </c>
      <c r="R812">
        <v>0</v>
      </c>
      <c r="S812" s="1" t="s">
        <v>24</v>
      </c>
      <c r="T812">
        <v>40637500</v>
      </c>
      <c r="U812" t="s">
        <v>182</v>
      </c>
      <c r="V812" s="1" t="s">
        <v>168</v>
      </c>
      <c r="W812" s="1" t="s">
        <v>169</v>
      </c>
      <c r="X812" s="1" t="str">
        <f>VLOOKUP(V812,Broker_Directory!A:C,3,FALSE)</f>
        <v>Tier A</v>
      </c>
      <c r="Y812" s="1">
        <f>HLOOKUP(X812, Commission_Rates!A$1:C$2, 2, FALSE)</f>
        <v>0.02</v>
      </c>
      <c r="Z812" s="1">
        <f t="shared" si="36"/>
        <v>0</v>
      </c>
      <c r="AA812" s="1">
        <f t="shared" si="37"/>
        <v>0</v>
      </c>
      <c r="AB812" s="1">
        <f t="shared" si="38"/>
        <v>0</v>
      </c>
    </row>
    <row r="813" spans="1:28" x14ac:dyDescent="0.3">
      <c r="A813" s="1" t="s">
        <v>53</v>
      </c>
      <c r="B813" s="1" t="s">
        <v>100</v>
      </c>
      <c r="C813">
        <v>2</v>
      </c>
      <c r="D813">
        <v>2</v>
      </c>
      <c r="E813">
        <v>3043</v>
      </c>
      <c r="F813">
        <v>7100</v>
      </c>
      <c r="G813">
        <v>1</v>
      </c>
      <c r="H813">
        <v>1991</v>
      </c>
      <c r="I813">
        <v>2013</v>
      </c>
      <c r="J813" s="1" t="s">
        <v>22</v>
      </c>
      <c r="K813">
        <v>3</v>
      </c>
      <c r="L813" s="1" t="s">
        <v>31</v>
      </c>
      <c r="M813" s="1" t="s">
        <v>27</v>
      </c>
      <c r="N813" s="1" t="s">
        <v>35</v>
      </c>
      <c r="O813">
        <v>6</v>
      </c>
      <c r="P813">
        <v>5</v>
      </c>
      <c r="Q813" s="1" t="s">
        <v>131</v>
      </c>
      <c r="R813">
        <v>1</v>
      </c>
      <c r="S813" s="1" t="s">
        <v>27</v>
      </c>
      <c r="T813">
        <v>27582000</v>
      </c>
      <c r="U813" t="s">
        <v>182</v>
      </c>
      <c r="V813" s="1" t="s">
        <v>176</v>
      </c>
      <c r="W813" s="1" t="s">
        <v>177</v>
      </c>
      <c r="X813" s="1" t="str">
        <f>VLOOKUP(V813,Broker_Directory!A:C,3,FALSE)</f>
        <v>Tier C</v>
      </c>
      <c r="Y813" s="1">
        <f>HLOOKUP(X813, Commission_Rates!A$1:C$2, 2, FALSE)</f>
        <v>0.01</v>
      </c>
      <c r="Z813" s="1">
        <f t="shared" si="36"/>
        <v>0</v>
      </c>
      <c r="AA813" s="1">
        <f t="shared" si="37"/>
        <v>0</v>
      </c>
      <c r="AB813" s="1">
        <f t="shared" si="38"/>
        <v>0</v>
      </c>
    </row>
    <row r="814" spans="1:28" x14ac:dyDescent="0.3">
      <c r="A814" s="1" t="s">
        <v>28</v>
      </c>
      <c r="B814" s="1" t="s">
        <v>110</v>
      </c>
      <c r="C814">
        <v>1</v>
      </c>
      <c r="D814">
        <v>1</v>
      </c>
      <c r="E814">
        <v>4356</v>
      </c>
      <c r="F814">
        <v>5588</v>
      </c>
      <c r="G814">
        <v>1</v>
      </c>
      <c r="H814">
        <v>1989</v>
      </c>
      <c r="I814">
        <v>2003</v>
      </c>
      <c r="J814" s="1" t="s">
        <v>22</v>
      </c>
      <c r="K814">
        <v>2</v>
      </c>
      <c r="L814" s="1" t="s">
        <v>31</v>
      </c>
      <c r="M814" s="1" t="s">
        <v>24</v>
      </c>
      <c r="N814" s="1" t="s">
        <v>25</v>
      </c>
      <c r="O814">
        <v>0</v>
      </c>
      <c r="P814">
        <v>0</v>
      </c>
      <c r="Q814" s="1" t="s">
        <v>119</v>
      </c>
      <c r="R814">
        <v>2</v>
      </c>
      <c r="S814" s="1" t="s">
        <v>24</v>
      </c>
      <c r="T814">
        <v>43840000</v>
      </c>
      <c r="U814" t="s">
        <v>184</v>
      </c>
      <c r="V814" s="1" t="s">
        <v>171</v>
      </c>
      <c r="W814" s="1" t="s">
        <v>172</v>
      </c>
      <c r="X814" s="1" t="str">
        <f>VLOOKUP(V814,Broker_Directory!A:C,3,FALSE)</f>
        <v>Tier B</v>
      </c>
      <c r="Y814" s="1">
        <f>HLOOKUP(X814, Commission_Rates!A$1:C$2, 2, FALSE)</f>
        <v>1.4999999999999999E-2</v>
      </c>
      <c r="Z814" s="1">
        <f t="shared" si="36"/>
        <v>657600</v>
      </c>
      <c r="AA814" s="1">
        <f t="shared" si="37"/>
        <v>1315200</v>
      </c>
      <c r="AB814" s="1">
        <f t="shared" si="38"/>
        <v>657600</v>
      </c>
    </row>
    <row r="815" spans="1:28" x14ac:dyDescent="0.3">
      <c r="A815" s="1" t="s">
        <v>28</v>
      </c>
      <c r="B815" s="1" t="s">
        <v>110</v>
      </c>
      <c r="C815">
        <v>1</v>
      </c>
      <c r="D815">
        <v>1</v>
      </c>
      <c r="E815">
        <v>2376</v>
      </c>
      <c r="F815">
        <v>6133</v>
      </c>
      <c r="G815">
        <v>1</v>
      </c>
      <c r="H815">
        <v>2004</v>
      </c>
      <c r="I815">
        <v>2014</v>
      </c>
      <c r="J815" s="1" t="s">
        <v>22</v>
      </c>
      <c r="K815">
        <v>0</v>
      </c>
      <c r="L815" s="1" t="s">
        <v>64</v>
      </c>
      <c r="M815" s="1" t="s">
        <v>27</v>
      </c>
      <c r="N815" s="1" t="s">
        <v>46</v>
      </c>
      <c r="O815">
        <v>5</v>
      </c>
      <c r="P815">
        <v>1</v>
      </c>
      <c r="Q815" s="1" t="s">
        <v>111</v>
      </c>
      <c r="R815">
        <v>3</v>
      </c>
      <c r="S815" s="1" t="s">
        <v>27</v>
      </c>
      <c r="T815">
        <v>23905000</v>
      </c>
      <c r="U815" t="s">
        <v>184</v>
      </c>
      <c r="V815" s="1" t="s">
        <v>176</v>
      </c>
      <c r="W815" s="1" t="s">
        <v>177</v>
      </c>
      <c r="X815" s="1" t="str">
        <f>VLOOKUP(V815,Broker_Directory!A:C,3,FALSE)</f>
        <v>Tier C</v>
      </c>
      <c r="Y815" s="1">
        <f>HLOOKUP(X815, Commission_Rates!A$1:C$2, 2, FALSE)</f>
        <v>0.01</v>
      </c>
      <c r="Z815" s="1">
        <f t="shared" si="36"/>
        <v>239050</v>
      </c>
      <c r="AA815" s="1">
        <f t="shared" si="37"/>
        <v>717150</v>
      </c>
      <c r="AB815" s="1">
        <f t="shared" si="38"/>
        <v>478100</v>
      </c>
    </row>
    <row r="816" spans="1:28" x14ac:dyDescent="0.3">
      <c r="A816" s="1" t="s">
        <v>33</v>
      </c>
      <c r="B816" s="1" t="s">
        <v>43</v>
      </c>
      <c r="C816">
        <v>1</v>
      </c>
      <c r="D816">
        <v>4</v>
      </c>
      <c r="E816">
        <v>558</v>
      </c>
      <c r="F816">
        <v>8799</v>
      </c>
      <c r="G816">
        <v>2</v>
      </c>
      <c r="H816">
        <v>1994</v>
      </c>
      <c r="I816">
        <v>1994</v>
      </c>
      <c r="J816" s="1" t="s">
        <v>30</v>
      </c>
      <c r="K816">
        <v>3</v>
      </c>
      <c r="L816" s="1" t="s">
        <v>41</v>
      </c>
      <c r="M816" s="1" t="s">
        <v>24</v>
      </c>
      <c r="N816" s="1" t="s">
        <v>46</v>
      </c>
      <c r="O816">
        <v>9</v>
      </c>
      <c r="P816">
        <v>4</v>
      </c>
      <c r="Q816" s="1" t="s">
        <v>71</v>
      </c>
      <c r="R816">
        <v>3</v>
      </c>
      <c r="S816" s="1" t="s">
        <v>24</v>
      </c>
      <c r="T816">
        <v>5073000</v>
      </c>
      <c r="U816" t="s">
        <v>184</v>
      </c>
      <c r="V816" s="1" t="s">
        <v>179</v>
      </c>
      <c r="W816" s="1" t="s">
        <v>180</v>
      </c>
      <c r="X816" s="1" t="str">
        <f>VLOOKUP(V816,Broker_Directory!A:C,3,FALSE)</f>
        <v>Tier B</v>
      </c>
      <c r="Y816" s="1">
        <f>HLOOKUP(X816, Commission_Rates!A$1:C$2, 2, FALSE)</f>
        <v>1.4999999999999999E-2</v>
      </c>
      <c r="Z816" s="1">
        <f t="shared" si="36"/>
        <v>76095</v>
      </c>
      <c r="AA816" s="1">
        <f t="shared" si="37"/>
        <v>152190</v>
      </c>
      <c r="AB816" s="1">
        <f t="shared" si="38"/>
        <v>76095</v>
      </c>
    </row>
    <row r="817" spans="1:28" x14ac:dyDescent="0.3">
      <c r="A817" s="1" t="s">
        <v>37</v>
      </c>
      <c r="B817" s="1" t="s">
        <v>87</v>
      </c>
      <c r="C817">
        <v>4</v>
      </c>
      <c r="D817">
        <v>1</v>
      </c>
      <c r="E817">
        <v>4190</v>
      </c>
      <c r="F817">
        <v>6305</v>
      </c>
      <c r="G817">
        <v>3</v>
      </c>
      <c r="H817">
        <v>1961</v>
      </c>
      <c r="I817">
        <v>1970</v>
      </c>
      <c r="J817" s="1" t="s">
        <v>52</v>
      </c>
      <c r="K817">
        <v>0</v>
      </c>
      <c r="L817" s="1" t="s">
        <v>41</v>
      </c>
      <c r="M817" s="1" t="s">
        <v>27</v>
      </c>
      <c r="N817" s="1" t="s">
        <v>35</v>
      </c>
      <c r="O817">
        <v>5</v>
      </c>
      <c r="P817">
        <v>1</v>
      </c>
      <c r="Q817" s="1" t="s">
        <v>138</v>
      </c>
      <c r="R817">
        <v>0</v>
      </c>
      <c r="S817" s="1" t="s">
        <v>27</v>
      </c>
      <c r="T817">
        <v>33810000</v>
      </c>
      <c r="U817" t="s">
        <v>182</v>
      </c>
      <c r="V817" s="1" t="s">
        <v>168</v>
      </c>
      <c r="W817" s="1" t="s">
        <v>169</v>
      </c>
      <c r="X817" s="1" t="str">
        <f>VLOOKUP(V817,Broker_Directory!A:C,3,FALSE)</f>
        <v>Tier A</v>
      </c>
      <c r="Y817" s="1">
        <f>HLOOKUP(X817, Commission_Rates!A$1:C$2, 2, FALSE)</f>
        <v>0.02</v>
      </c>
      <c r="Z817" s="1">
        <f t="shared" si="36"/>
        <v>0</v>
      </c>
      <c r="AA817" s="1">
        <f t="shared" si="37"/>
        <v>0</v>
      </c>
      <c r="AB817" s="1">
        <f t="shared" si="38"/>
        <v>0</v>
      </c>
    </row>
    <row r="818" spans="1:28" x14ac:dyDescent="0.3">
      <c r="A818" s="1" t="s">
        <v>53</v>
      </c>
      <c r="B818" s="1" t="s">
        <v>100</v>
      </c>
      <c r="C818">
        <v>4</v>
      </c>
      <c r="D818">
        <v>2</v>
      </c>
      <c r="E818">
        <v>3663</v>
      </c>
      <c r="F818">
        <v>4490</v>
      </c>
      <c r="G818">
        <v>1</v>
      </c>
      <c r="H818">
        <v>1966</v>
      </c>
      <c r="I818">
        <v>2002</v>
      </c>
      <c r="J818" s="1" t="s">
        <v>58</v>
      </c>
      <c r="K818">
        <v>3</v>
      </c>
      <c r="L818" s="1" t="s">
        <v>23</v>
      </c>
      <c r="M818" s="1" t="s">
        <v>24</v>
      </c>
      <c r="N818" s="1" t="s">
        <v>46</v>
      </c>
      <c r="O818">
        <v>4</v>
      </c>
      <c r="P818">
        <v>5</v>
      </c>
      <c r="Q818" s="1" t="s">
        <v>104</v>
      </c>
      <c r="R818">
        <v>0</v>
      </c>
      <c r="S818" s="1" t="s">
        <v>27</v>
      </c>
      <c r="T818">
        <v>33272000</v>
      </c>
      <c r="U818" t="s">
        <v>183</v>
      </c>
      <c r="V818" s="1" t="s">
        <v>174</v>
      </c>
      <c r="W818" s="1" t="s">
        <v>175</v>
      </c>
      <c r="X818" s="1" t="str">
        <f>VLOOKUP(V818,Broker_Directory!A:C,3,FALSE)</f>
        <v>Tier A</v>
      </c>
      <c r="Y818" s="1">
        <f>HLOOKUP(X818, Commission_Rates!A$1:C$2, 2, FALSE)</f>
        <v>0.02</v>
      </c>
      <c r="Z818" s="1">
        <f t="shared" si="36"/>
        <v>0</v>
      </c>
      <c r="AA818" s="1">
        <f t="shared" si="37"/>
        <v>0</v>
      </c>
      <c r="AB818" s="1">
        <f t="shared" si="38"/>
        <v>0</v>
      </c>
    </row>
    <row r="819" spans="1:28" x14ac:dyDescent="0.3">
      <c r="A819" s="1" t="s">
        <v>33</v>
      </c>
      <c r="B819" s="1" t="s">
        <v>48</v>
      </c>
      <c r="C819">
        <v>5</v>
      </c>
      <c r="D819">
        <v>4</v>
      </c>
      <c r="E819">
        <v>1724</v>
      </c>
      <c r="F819">
        <v>9175</v>
      </c>
      <c r="G819">
        <v>2</v>
      </c>
      <c r="H819">
        <v>1970</v>
      </c>
      <c r="I819">
        <v>1971</v>
      </c>
      <c r="J819" s="1" t="s">
        <v>30</v>
      </c>
      <c r="K819">
        <v>2</v>
      </c>
      <c r="L819" s="1" t="s">
        <v>41</v>
      </c>
      <c r="M819" s="1" t="s">
        <v>24</v>
      </c>
      <c r="N819" s="1" t="s">
        <v>35</v>
      </c>
      <c r="O819">
        <v>2</v>
      </c>
      <c r="P819">
        <v>0</v>
      </c>
      <c r="Q819" s="1" t="s">
        <v>84</v>
      </c>
      <c r="R819">
        <v>3</v>
      </c>
      <c r="S819" s="1" t="s">
        <v>27</v>
      </c>
      <c r="T819">
        <v>15134000</v>
      </c>
      <c r="U819" t="s">
        <v>183</v>
      </c>
      <c r="V819" s="1" t="s">
        <v>168</v>
      </c>
      <c r="W819" s="1" t="s">
        <v>169</v>
      </c>
      <c r="X819" s="1" t="str">
        <f>VLOOKUP(V819,Broker_Directory!A:C,3,FALSE)</f>
        <v>Tier A</v>
      </c>
      <c r="Y819" s="1">
        <f>HLOOKUP(X819, Commission_Rates!A$1:C$2, 2, FALSE)</f>
        <v>0.02</v>
      </c>
      <c r="Z819" s="1">
        <f t="shared" si="36"/>
        <v>0</v>
      </c>
      <c r="AA819" s="1">
        <f t="shared" si="37"/>
        <v>0</v>
      </c>
      <c r="AB819" s="1">
        <f t="shared" si="38"/>
        <v>0</v>
      </c>
    </row>
    <row r="820" spans="1:28" x14ac:dyDescent="0.3">
      <c r="A820" s="1" t="s">
        <v>28</v>
      </c>
      <c r="B820" s="1" t="s">
        <v>60</v>
      </c>
      <c r="C820">
        <v>4</v>
      </c>
      <c r="D820">
        <v>2</v>
      </c>
      <c r="E820">
        <v>3386</v>
      </c>
      <c r="F820">
        <v>3795</v>
      </c>
      <c r="G820">
        <v>2</v>
      </c>
      <c r="H820">
        <v>1973</v>
      </c>
      <c r="I820">
        <v>1986</v>
      </c>
      <c r="J820" s="1" t="s">
        <v>30</v>
      </c>
      <c r="K820">
        <v>3</v>
      </c>
      <c r="L820" s="1" t="s">
        <v>31</v>
      </c>
      <c r="M820" s="1" t="s">
        <v>27</v>
      </c>
      <c r="N820" s="1" t="s">
        <v>35</v>
      </c>
      <c r="O820">
        <v>1</v>
      </c>
      <c r="P820">
        <v>0</v>
      </c>
      <c r="Q820" s="1" t="s">
        <v>121</v>
      </c>
      <c r="R820">
        <v>1</v>
      </c>
      <c r="S820" s="1" t="s">
        <v>24</v>
      </c>
      <c r="T820">
        <v>34225000</v>
      </c>
      <c r="U820" t="s">
        <v>184</v>
      </c>
      <c r="V820" s="1" t="s">
        <v>174</v>
      </c>
      <c r="W820" s="1" t="s">
        <v>175</v>
      </c>
      <c r="X820" s="1" t="str">
        <f>VLOOKUP(V820,Broker_Directory!A:C,3,FALSE)</f>
        <v>Tier A</v>
      </c>
      <c r="Y820" s="1">
        <f>HLOOKUP(X820, Commission_Rates!A$1:C$2, 2, FALSE)</f>
        <v>0.02</v>
      </c>
      <c r="Z820" s="1">
        <f t="shared" si="36"/>
        <v>684500</v>
      </c>
      <c r="AA820" s="1">
        <f t="shared" si="37"/>
        <v>1026750</v>
      </c>
      <c r="AB820" s="1">
        <f t="shared" si="38"/>
        <v>342250</v>
      </c>
    </row>
    <row r="821" spans="1:28" x14ac:dyDescent="0.3">
      <c r="A821" s="1" t="s">
        <v>33</v>
      </c>
      <c r="B821" s="1" t="s">
        <v>43</v>
      </c>
      <c r="C821">
        <v>1</v>
      </c>
      <c r="D821">
        <v>4</v>
      </c>
      <c r="E821">
        <v>4364</v>
      </c>
      <c r="F821">
        <v>7417</v>
      </c>
      <c r="G821">
        <v>3</v>
      </c>
      <c r="H821">
        <v>2005</v>
      </c>
      <c r="I821">
        <v>0</v>
      </c>
      <c r="J821" s="1" t="s">
        <v>30</v>
      </c>
      <c r="K821">
        <v>0</v>
      </c>
      <c r="L821" s="1" t="s">
        <v>41</v>
      </c>
      <c r="M821" s="1" t="s">
        <v>27</v>
      </c>
      <c r="N821" s="1" t="s">
        <v>25</v>
      </c>
      <c r="O821">
        <v>4</v>
      </c>
      <c r="P821">
        <v>3</v>
      </c>
      <c r="Q821" s="1" t="s">
        <v>44</v>
      </c>
      <c r="R821">
        <v>0</v>
      </c>
      <c r="S821" s="1" t="s">
        <v>24</v>
      </c>
      <c r="T821">
        <v>37449000</v>
      </c>
      <c r="U821" t="s">
        <v>182</v>
      </c>
      <c r="V821" s="1" t="s">
        <v>168</v>
      </c>
      <c r="W821" s="1" t="s">
        <v>169</v>
      </c>
      <c r="X821" s="1" t="str">
        <f>VLOOKUP(V821,Broker_Directory!A:C,3,FALSE)</f>
        <v>Tier A</v>
      </c>
      <c r="Y821" s="1">
        <f>HLOOKUP(X821, Commission_Rates!A$1:C$2, 2, FALSE)</f>
        <v>0.02</v>
      </c>
      <c r="Z821" s="1">
        <f t="shared" si="36"/>
        <v>0</v>
      </c>
      <c r="AA821" s="1">
        <f t="shared" si="37"/>
        <v>0</v>
      </c>
      <c r="AB821" s="1">
        <f t="shared" si="38"/>
        <v>0</v>
      </c>
    </row>
    <row r="822" spans="1:28" x14ac:dyDescent="0.3">
      <c r="A822" s="1" t="s">
        <v>20</v>
      </c>
      <c r="B822" s="1" t="s">
        <v>69</v>
      </c>
      <c r="C822">
        <v>3</v>
      </c>
      <c r="D822">
        <v>4</v>
      </c>
      <c r="E822">
        <v>3587</v>
      </c>
      <c r="F822">
        <v>7791</v>
      </c>
      <c r="G822">
        <v>1</v>
      </c>
      <c r="H822">
        <v>1967</v>
      </c>
      <c r="I822">
        <v>1973</v>
      </c>
      <c r="J822" s="1" t="s">
        <v>58</v>
      </c>
      <c r="K822">
        <v>1</v>
      </c>
      <c r="L822" s="1" t="s">
        <v>23</v>
      </c>
      <c r="M822" s="1" t="s">
        <v>24</v>
      </c>
      <c r="N822" s="1" t="s">
        <v>35</v>
      </c>
      <c r="O822">
        <v>3</v>
      </c>
      <c r="P822">
        <v>3</v>
      </c>
      <c r="Q822" s="1" t="s">
        <v>103</v>
      </c>
      <c r="R822">
        <v>2</v>
      </c>
      <c r="S822" s="1" t="s">
        <v>27</v>
      </c>
      <c r="T822">
        <v>43389000</v>
      </c>
      <c r="U822" t="s">
        <v>184</v>
      </c>
      <c r="V822" s="1" t="s">
        <v>179</v>
      </c>
      <c r="W822" s="1" t="s">
        <v>180</v>
      </c>
      <c r="X822" s="1" t="str">
        <f>VLOOKUP(V822,Broker_Directory!A:C,3,FALSE)</f>
        <v>Tier B</v>
      </c>
      <c r="Y822" s="1">
        <f>HLOOKUP(X822, Commission_Rates!A$1:C$2, 2, FALSE)</f>
        <v>1.4999999999999999E-2</v>
      </c>
      <c r="Z822" s="1">
        <f t="shared" si="36"/>
        <v>650835</v>
      </c>
      <c r="AA822" s="1">
        <f t="shared" si="37"/>
        <v>1301670</v>
      </c>
      <c r="AB822" s="1">
        <f t="shared" si="38"/>
        <v>650835</v>
      </c>
    </row>
    <row r="823" spans="1:28" x14ac:dyDescent="0.3">
      <c r="A823" s="1" t="s">
        <v>20</v>
      </c>
      <c r="B823" s="1" t="s">
        <v>40</v>
      </c>
      <c r="C823">
        <v>5</v>
      </c>
      <c r="D823">
        <v>4</v>
      </c>
      <c r="E823">
        <v>1249</v>
      </c>
      <c r="F823">
        <v>1950</v>
      </c>
      <c r="G823">
        <v>1</v>
      </c>
      <c r="H823">
        <v>1975</v>
      </c>
      <c r="I823">
        <v>1983</v>
      </c>
      <c r="J823" s="1" t="s">
        <v>30</v>
      </c>
      <c r="K823">
        <v>1</v>
      </c>
      <c r="L823" s="1" t="s">
        <v>41</v>
      </c>
      <c r="M823" s="1" t="s">
        <v>24</v>
      </c>
      <c r="N823" s="1" t="s">
        <v>46</v>
      </c>
      <c r="O823">
        <v>0</v>
      </c>
      <c r="P823">
        <v>4</v>
      </c>
      <c r="Q823" s="1" t="s">
        <v>115</v>
      </c>
      <c r="R823">
        <v>0</v>
      </c>
      <c r="S823" s="1" t="s">
        <v>27</v>
      </c>
      <c r="T823">
        <v>15403000</v>
      </c>
      <c r="U823" t="s">
        <v>183</v>
      </c>
      <c r="V823" s="1" t="s">
        <v>176</v>
      </c>
      <c r="W823" s="1" t="s">
        <v>177</v>
      </c>
      <c r="X823" s="1" t="str">
        <f>VLOOKUP(V823,Broker_Directory!A:C,3,FALSE)</f>
        <v>Tier C</v>
      </c>
      <c r="Y823" s="1">
        <f>HLOOKUP(X823, Commission_Rates!A$1:C$2, 2, FALSE)</f>
        <v>0.01</v>
      </c>
      <c r="Z823" s="1">
        <f t="shared" si="36"/>
        <v>0</v>
      </c>
      <c r="AA823" s="1">
        <f t="shared" si="37"/>
        <v>0</v>
      </c>
      <c r="AB823" s="1">
        <f t="shared" si="38"/>
        <v>0</v>
      </c>
    </row>
    <row r="824" spans="1:28" x14ac:dyDescent="0.3">
      <c r="A824" s="1" t="s">
        <v>33</v>
      </c>
      <c r="B824" s="1" t="s">
        <v>43</v>
      </c>
      <c r="C824">
        <v>1</v>
      </c>
      <c r="D824">
        <v>3</v>
      </c>
      <c r="E824">
        <v>1422</v>
      </c>
      <c r="F824">
        <v>6707</v>
      </c>
      <c r="G824">
        <v>1</v>
      </c>
      <c r="H824">
        <v>2011</v>
      </c>
      <c r="I824">
        <v>2016</v>
      </c>
      <c r="J824" s="1" t="s">
        <v>52</v>
      </c>
      <c r="K824">
        <v>3</v>
      </c>
      <c r="L824" s="1" t="s">
        <v>41</v>
      </c>
      <c r="M824" s="1" t="s">
        <v>27</v>
      </c>
      <c r="N824" s="1" t="s">
        <v>25</v>
      </c>
      <c r="O824">
        <v>1</v>
      </c>
      <c r="P824">
        <v>1</v>
      </c>
      <c r="Q824" s="1" t="s">
        <v>44</v>
      </c>
      <c r="R824">
        <v>0</v>
      </c>
      <c r="S824" s="1" t="s">
        <v>24</v>
      </c>
      <c r="T824">
        <v>12372000</v>
      </c>
      <c r="U824" t="s">
        <v>182</v>
      </c>
      <c r="V824" s="1" t="s">
        <v>171</v>
      </c>
      <c r="W824" s="1" t="s">
        <v>172</v>
      </c>
      <c r="X824" s="1" t="str">
        <f>VLOOKUP(V824,Broker_Directory!A:C,3,FALSE)</f>
        <v>Tier B</v>
      </c>
      <c r="Y824" s="1">
        <f>HLOOKUP(X824, Commission_Rates!A$1:C$2, 2, FALSE)</f>
        <v>1.4999999999999999E-2</v>
      </c>
      <c r="Z824" s="1">
        <f t="shared" si="36"/>
        <v>0</v>
      </c>
      <c r="AA824" s="1">
        <f t="shared" si="37"/>
        <v>0</v>
      </c>
      <c r="AB824" s="1">
        <f t="shared" si="38"/>
        <v>0</v>
      </c>
    </row>
    <row r="825" spans="1:28" x14ac:dyDescent="0.3">
      <c r="A825" s="1" t="s">
        <v>28</v>
      </c>
      <c r="B825" s="1" t="s">
        <v>95</v>
      </c>
      <c r="C825">
        <v>2</v>
      </c>
      <c r="D825">
        <v>1</v>
      </c>
      <c r="E825">
        <v>4213</v>
      </c>
      <c r="F825">
        <v>8468</v>
      </c>
      <c r="G825">
        <v>1</v>
      </c>
      <c r="H825">
        <v>2022</v>
      </c>
      <c r="I825">
        <v>2022</v>
      </c>
      <c r="J825" s="1" t="s">
        <v>52</v>
      </c>
      <c r="K825">
        <v>3</v>
      </c>
      <c r="L825" s="1" t="s">
        <v>64</v>
      </c>
      <c r="M825" s="1" t="s">
        <v>24</v>
      </c>
      <c r="N825" s="1" t="s">
        <v>46</v>
      </c>
      <c r="O825">
        <v>6</v>
      </c>
      <c r="P825">
        <v>0</v>
      </c>
      <c r="Q825" s="1" t="s">
        <v>146</v>
      </c>
      <c r="R825">
        <v>0</v>
      </c>
      <c r="S825" s="1" t="s">
        <v>27</v>
      </c>
      <c r="T825">
        <v>42305000</v>
      </c>
      <c r="U825" t="s">
        <v>182</v>
      </c>
      <c r="V825" s="1" t="s">
        <v>176</v>
      </c>
      <c r="W825" s="1" t="s">
        <v>177</v>
      </c>
      <c r="X825" s="1" t="str">
        <f>VLOOKUP(V825,Broker_Directory!A:C,3,FALSE)</f>
        <v>Tier C</v>
      </c>
      <c r="Y825" s="1">
        <f>HLOOKUP(X825, Commission_Rates!A$1:C$2, 2, FALSE)</f>
        <v>0.01</v>
      </c>
      <c r="Z825" s="1">
        <f t="shared" si="36"/>
        <v>0</v>
      </c>
      <c r="AA825" s="1">
        <f t="shared" si="37"/>
        <v>0</v>
      </c>
      <c r="AB825" s="1">
        <f t="shared" si="38"/>
        <v>0</v>
      </c>
    </row>
    <row r="826" spans="1:28" x14ac:dyDescent="0.3">
      <c r="A826" s="1" t="s">
        <v>37</v>
      </c>
      <c r="B826" s="1" t="s">
        <v>87</v>
      </c>
      <c r="C826">
        <v>2</v>
      </c>
      <c r="D826">
        <v>3</v>
      </c>
      <c r="E826">
        <v>3501</v>
      </c>
      <c r="F826">
        <v>7235</v>
      </c>
      <c r="G826">
        <v>3</v>
      </c>
      <c r="H826">
        <v>1978</v>
      </c>
      <c r="I826">
        <v>2024</v>
      </c>
      <c r="J826" s="1" t="s">
        <v>52</v>
      </c>
      <c r="K826">
        <v>3</v>
      </c>
      <c r="L826" s="1" t="s">
        <v>41</v>
      </c>
      <c r="M826" s="1" t="s">
        <v>24</v>
      </c>
      <c r="N826" s="1" t="s">
        <v>25</v>
      </c>
      <c r="O826">
        <v>9</v>
      </c>
      <c r="P826">
        <v>4</v>
      </c>
      <c r="Q826" s="1" t="s">
        <v>88</v>
      </c>
      <c r="R826">
        <v>3</v>
      </c>
      <c r="S826" s="1" t="s">
        <v>24</v>
      </c>
      <c r="T826">
        <v>28453000</v>
      </c>
      <c r="U826" t="s">
        <v>182</v>
      </c>
      <c r="V826" s="1" t="s">
        <v>174</v>
      </c>
      <c r="W826" s="1" t="s">
        <v>175</v>
      </c>
      <c r="X826" s="1" t="str">
        <f>VLOOKUP(V826,Broker_Directory!A:C,3,FALSE)</f>
        <v>Tier A</v>
      </c>
      <c r="Y826" s="1">
        <f>HLOOKUP(X826, Commission_Rates!A$1:C$2, 2, FALSE)</f>
        <v>0.02</v>
      </c>
      <c r="Z826" s="1">
        <f t="shared" si="36"/>
        <v>0</v>
      </c>
      <c r="AA826" s="1">
        <f t="shared" si="37"/>
        <v>0</v>
      </c>
      <c r="AB826" s="1">
        <f t="shared" si="38"/>
        <v>0</v>
      </c>
    </row>
    <row r="827" spans="1:28" x14ac:dyDescent="0.3">
      <c r="A827" s="1" t="s">
        <v>37</v>
      </c>
      <c r="B827" s="1" t="s">
        <v>45</v>
      </c>
      <c r="C827">
        <v>1</v>
      </c>
      <c r="D827">
        <v>4</v>
      </c>
      <c r="E827">
        <v>843</v>
      </c>
      <c r="F827">
        <v>2283</v>
      </c>
      <c r="G827">
        <v>3</v>
      </c>
      <c r="H827">
        <v>1968</v>
      </c>
      <c r="I827">
        <v>2016</v>
      </c>
      <c r="J827" s="1" t="s">
        <v>58</v>
      </c>
      <c r="K827">
        <v>2</v>
      </c>
      <c r="L827" s="1" t="s">
        <v>64</v>
      </c>
      <c r="M827" s="1" t="s">
        <v>27</v>
      </c>
      <c r="N827" s="1" t="s">
        <v>46</v>
      </c>
      <c r="O827">
        <v>7</v>
      </c>
      <c r="P827">
        <v>5</v>
      </c>
      <c r="Q827" s="1" t="s">
        <v>77</v>
      </c>
      <c r="R827">
        <v>2</v>
      </c>
      <c r="S827" s="1" t="s">
        <v>27</v>
      </c>
      <c r="T827">
        <v>7004000</v>
      </c>
      <c r="U827" t="s">
        <v>182</v>
      </c>
      <c r="V827" s="1" t="s">
        <v>176</v>
      </c>
      <c r="W827" s="1" t="s">
        <v>177</v>
      </c>
      <c r="X827" s="1" t="str">
        <f>VLOOKUP(V827,Broker_Directory!A:C,3,FALSE)</f>
        <v>Tier C</v>
      </c>
      <c r="Y827" s="1">
        <f>HLOOKUP(X827, Commission_Rates!A$1:C$2, 2, FALSE)</f>
        <v>0.01</v>
      </c>
      <c r="Z827" s="1">
        <f t="shared" si="36"/>
        <v>0</v>
      </c>
      <c r="AA827" s="1">
        <f t="shared" si="37"/>
        <v>0</v>
      </c>
      <c r="AB827" s="1">
        <f t="shared" si="38"/>
        <v>0</v>
      </c>
    </row>
    <row r="828" spans="1:28" x14ac:dyDescent="0.3">
      <c r="A828" s="1" t="s">
        <v>53</v>
      </c>
      <c r="B828" s="1" t="s">
        <v>54</v>
      </c>
      <c r="C828">
        <v>5</v>
      </c>
      <c r="D828">
        <v>4</v>
      </c>
      <c r="E828">
        <v>3462</v>
      </c>
      <c r="F828">
        <v>9716</v>
      </c>
      <c r="G828">
        <v>3</v>
      </c>
      <c r="H828">
        <v>2025</v>
      </c>
      <c r="I828">
        <v>0</v>
      </c>
      <c r="J828" s="1" t="s">
        <v>22</v>
      </c>
      <c r="K828">
        <v>2</v>
      </c>
      <c r="L828" s="1" t="s">
        <v>23</v>
      </c>
      <c r="M828" s="1" t="s">
        <v>27</v>
      </c>
      <c r="N828" s="1" t="s">
        <v>46</v>
      </c>
      <c r="O828">
        <v>8</v>
      </c>
      <c r="P828">
        <v>4</v>
      </c>
      <c r="Q828" s="1" t="s">
        <v>156</v>
      </c>
      <c r="R828">
        <v>2</v>
      </c>
      <c r="S828" s="1" t="s">
        <v>27</v>
      </c>
      <c r="T828">
        <v>31618000</v>
      </c>
      <c r="U828" t="s">
        <v>182</v>
      </c>
      <c r="V828" s="1" t="s">
        <v>171</v>
      </c>
      <c r="W828" s="1" t="s">
        <v>172</v>
      </c>
      <c r="X828" s="1" t="str">
        <f>VLOOKUP(V828,Broker_Directory!A:C,3,FALSE)</f>
        <v>Tier B</v>
      </c>
      <c r="Y828" s="1">
        <f>HLOOKUP(X828, Commission_Rates!A$1:C$2, 2, FALSE)</f>
        <v>1.4999999999999999E-2</v>
      </c>
      <c r="Z828" s="1">
        <f t="shared" si="36"/>
        <v>0</v>
      </c>
      <c r="AA828" s="1">
        <f t="shared" si="37"/>
        <v>0</v>
      </c>
      <c r="AB828" s="1">
        <f t="shared" si="38"/>
        <v>0</v>
      </c>
    </row>
    <row r="829" spans="1:28" x14ac:dyDescent="0.3">
      <c r="A829" s="1" t="s">
        <v>53</v>
      </c>
      <c r="B829" s="1" t="s">
        <v>89</v>
      </c>
      <c r="C829">
        <v>5</v>
      </c>
      <c r="D829">
        <v>2</v>
      </c>
      <c r="E829">
        <v>2864</v>
      </c>
      <c r="F829">
        <v>5569</v>
      </c>
      <c r="G829">
        <v>1</v>
      </c>
      <c r="H829">
        <v>2022</v>
      </c>
      <c r="I829">
        <v>2022</v>
      </c>
      <c r="J829" s="1" t="s">
        <v>30</v>
      </c>
      <c r="K829">
        <v>2</v>
      </c>
      <c r="L829" s="1" t="s">
        <v>31</v>
      </c>
      <c r="M829" s="1" t="s">
        <v>27</v>
      </c>
      <c r="N829" s="1" t="s">
        <v>35</v>
      </c>
      <c r="O829">
        <v>10</v>
      </c>
      <c r="P829">
        <v>3</v>
      </c>
      <c r="Q829" s="1" t="s">
        <v>90</v>
      </c>
      <c r="R829">
        <v>2</v>
      </c>
      <c r="S829" s="1" t="s">
        <v>27</v>
      </c>
      <c r="T829">
        <v>26136000</v>
      </c>
      <c r="U829" t="s">
        <v>183</v>
      </c>
      <c r="V829" s="1" t="s">
        <v>176</v>
      </c>
      <c r="W829" s="1" t="s">
        <v>177</v>
      </c>
      <c r="X829" s="1" t="str">
        <f>VLOOKUP(V829,Broker_Directory!A:C,3,FALSE)</f>
        <v>Tier C</v>
      </c>
      <c r="Y829" s="1">
        <f>HLOOKUP(X829, Commission_Rates!A$1:C$2, 2, FALSE)</f>
        <v>0.01</v>
      </c>
      <c r="Z829" s="1">
        <f t="shared" si="36"/>
        <v>0</v>
      </c>
      <c r="AA829" s="1">
        <f t="shared" si="37"/>
        <v>0</v>
      </c>
      <c r="AB829" s="1">
        <f t="shared" si="38"/>
        <v>0</v>
      </c>
    </row>
    <row r="830" spans="1:28" x14ac:dyDescent="0.3">
      <c r="A830" s="1" t="s">
        <v>28</v>
      </c>
      <c r="B830" s="1" t="s">
        <v>95</v>
      </c>
      <c r="C830">
        <v>2</v>
      </c>
      <c r="D830">
        <v>3</v>
      </c>
      <c r="E830">
        <v>1856</v>
      </c>
      <c r="F830">
        <v>7534</v>
      </c>
      <c r="G830">
        <v>3</v>
      </c>
      <c r="H830">
        <v>1996</v>
      </c>
      <c r="I830">
        <v>2017</v>
      </c>
      <c r="J830" s="1" t="s">
        <v>30</v>
      </c>
      <c r="K830">
        <v>1</v>
      </c>
      <c r="L830" s="1" t="s">
        <v>41</v>
      </c>
      <c r="M830" s="1" t="s">
        <v>24</v>
      </c>
      <c r="N830" s="1" t="s">
        <v>25</v>
      </c>
      <c r="O830">
        <v>4</v>
      </c>
      <c r="P830">
        <v>5</v>
      </c>
      <c r="Q830" s="1" t="s">
        <v>96</v>
      </c>
      <c r="R830">
        <v>1</v>
      </c>
      <c r="S830" s="1" t="s">
        <v>27</v>
      </c>
      <c r="T830">
        <v>18925000</v>
      </c>
      <c r="U830" t="s">
        <v>184</v>
      </c>
      <c r="V830" s="1" t="s">
        <v>171</v>
      </c>
      <c r="W830" s="1" t="s">
        <v>172</v>
      </c>
      <c r="X830" s="1" t="str">
        <f>VLOOKUP(V830,Broker_Directory!A:C,3,FALSE)</f>
        <v>Tier B</v>
      </c>
      <c r="Y830" s="1">
        <f>HLOOKUP(X830, Commission_Rates!A$1:C$2, 2, FALSE)</f>
        <v>1.4999999999999999E-2</v>
      </c>
      <c r="Z830" s="1">
        <f t="shared" si="36"/>
        <v>283875</v>
      </c>
      <c r="AA830" s="1">
        <f t="shared" si="37"/>
        <v>567750</v>
      </c>
      <c r="AB830" s="1">
        <f t="shared" si="38"/>
        <v>283875</v>
      </c>
    </row>
    <row r="831" spans="1:28" x14ac:dyDescent="0.3">
      <c r="A831" s="1" t="s">
        <v>28</v>
      </c>
      <c r="B831" s="1" t="s">
        <v>29</v>
      </c>
      <c r="C831">
        <v>3</v>
      </c>
      <c r="D831">
        <v>2</v>
      </c>
      <c r="E831">
        <v>3508</v>
      </c>
      <c r="F831">
        <v>7525</v>
      </c>
      <c r="G831">
        <v>3</v>
      </c>
      <c r="H831">
        <v>1984</v>
      </c>
      <c r="I831">
        <v>2019</v>
      </c>
      <c r="J831" s="1" t="s">
        <v>22</v>
      </c>
      <c r="K831">
        <v>2</v>
      </c>
      <c r="L831" s="1" t="s">
        <v>31</v>
      </c>
      <c r="M831" s="1" t="s">
        <v>27</v>
      </c>
      <c r="N831" s="1" t="s">
        <v>35</v>
      </c>
      <c r="O831">
        <v>1</v>
      </c>
      <c r="P831">
        <v>2</v>
      </c>
      <c r="Q831" s="1" t="s">
        <v>32</v>
      </c>
      <c r="R831">
        <v>3</v>
      </c>
      <c r="S831" s="1" t="s">
        <v>27</v>
      </c>
      <c r="T831">
        <v>35395000</v>
      </c>
      <c r="U831" t="s">
        <v>182</v>
      </c>
      <c r="V831" s="1" t="s">
        <v>176</v>
      </c>
      <c r="W831" s="1" t="s">
        <v>177</v>
      </c>
      <c r="X831" s="1" t="str">
        <f>VLOOKUP(V831,Broker_Directory!A:C,3,FALSE)</f>
        <v>Tier C</v>
      </c>
      <c r="Y831" s="1">
        <f>HLOOKUP(X831, Commission_Rates!A$1:C$2, 2, FALSE)</f>
        <v>0.01</v>
      </c>
      <c r="Z831" s="1">
        <f t="shared" si="36"/>
        <v>0</v>
      </c>
      <c r="AA831" s="1">
        <f t="shared" si="37"/>
        <v>0</v>
      </c>
      <c r="AB831" s="1">
        <f t="shared" si="38"/>
        <v>0</v>
      </c>
    </row>
    <row r="832" spans="1:28" x14ac:dyDescent="0.3">
      <c r="A832" s="1" t="s">
        <v>20</v>
      </c>
      <c r="B832" s="1" t="s">
        <v>21</v>
      </c>
      <c r="C832">
        <v>2</v>
      </c>
      <c r="D832">
        <v>3</v>
      </c>
      <c r="E832">
        <v>4355</v>
      </c>
      <c r="F832">
        <v>8130</v>
      </c>
      <c r="G832">
        <v>3</v>
      </c>
      <c r="H832">
        <v>2024</v>
      </c>
      <c r="I832">
        <v>2024</v>
      </c>
      <c r="J832" s="1" t="s">
        <v>22</v>
      </c>
      <c r="K832">
        <v>1</v>
      </c>
      <c r="L832" s="1" t="s">
        <v>64</v>
      </c>
      <c r="M832" s="1" t="s">
        <v>24</v>
      </c>
      <c r="N832" s="1" t="s">
        <v>46</v>
      </c>
      <c r="O832">
        <v>10</v>
      </c>
      <c r="P832">
        <v>3</v>
      </c>
      <c r="Q832" s="1" t="s">
        <v>26</v>
      </c>
      <c r="R832">
        <v>3</v>
      </c>
      <c r="S832" s="1" t="s">
        <v>27</v>
      </c>
      <c r="T832">
        <v>52580000</v>
      </c>
      <c r="U832" t="s">
        <v>182</v>
      </c>
      <c r="V832" s="1" t="s">
        <v>179</v>
      </c>
      <c r="W832" s="1" t="s">
        <v>180</v>
      </c>
      <c r="X832" s="1" t="str">
        <f>VLOOKUP(V832,Broker_Directory!A:C,3,FALSE)</f>
        <v>Tier B</v>
      </c>
      <c r="Y832" s="1">
        <f>HLOOKUP(X832, Commission_Rates!A$1:C$2, 2, FALSE)</f>
        <v>1.4999999999999999E-2</v>
      </c>
      <c r="Z832" s="1">
        <f t="shared" si="36"/>
        <v>0</v>
      </c>
      <c r="AA832" s="1">
        <f t="shared" si="37"/>
        <v>0</v>
      </c>
      <c r="AB832" s="1">
        <f t="shared" si="38"/>
        <v>0</v>
      </c>
    </row>
    <row r="833" spans="1:28" x14ac:dyDescent="0.3">
      <c r="A833" s="1" t="s">
        <v>37</v>
      </c>
      <c r="B833" s="1" t="s">
        <v>38</v>
      </c>
      <c r="C833">
        <v>1</v>
      </c>
      <c r="D833">
        <v>2</v>
      </c>
      <c r="E833">
        <v>1783</v>
      </c>
      <c r="F833">
        <v>2839</v>
      </c>
      <c r="G833">
        <v>2</v>
      </c>
      <c r="H833">
        <v>1956</v>
      </c>
      <c r="I833">
        <v>1960</v>
      </c>
      <c r="J833" s="1" t="s">
        <v>58</v>
      </c>
      <c r="K833">
        <v>2</v>
      </c>
      <c r="L833" s="1" t="s">
        <v>23</v>
      </c>
      <c r="M833" s="1" t="s">
        <v>27</v>
      </c>
      <c r="N833" s="1" t="s">
        <v>25</v>
      </c>
      <c r="O833">
        <v>1</v>
      </c>
      <c r="P833">
        <v>5</v>
      </c>
      <c r="Q833" s="1" t="s">
        <v>78</v>
      </c>
      <c r="R833">
        <v>1</v>
      </c>
      <c r="S833" s="1" t="s">
        <v>24</v>
      </c>
      <c r="T833">
        <v>14554000</v>
      </c>
      <c r="U833" t="s">
        <v>182</v>
      </c>
      <c r="V833" s="1" t="s">
        <v>179</v>
      </c>
      <c r="W833" s="1" t="s">
        <v>180</v>
      </c>
      <c r="X833" s="1" t="str">
        <f>VLOOKUP(V833,Broker_Directory!A:C,3,FALSE)</f>
        <v>Tier B</v>
      </c>
      <c r="Y833" s="1">
        <f>HLOOKUP(X833, Commission_Rates!A$1:C$2, 2, FALSE)</f>
        <v>1.4999999999999999E-2</v>
      </c>
      <c r="Z833" s="1">
        <f t="shared" si="36"/>
        <v>0</v>
      </c>
      <c r="AA833" s="1">
        <f t="shared" si="37"/>
        <v>0</v>
      </c>
      <c r="AB833" s="1">
        <f t="shared" si="38"/>
        <v>0</v>
      </c>
    </row>
    <row r="834" spans="1:28" x14ac:dyDescent="0.3">
      <c r="A834" s="1" t="s">
        <v>33</v>
      </c>
      <c r="B834" s="1" t="s">
        <v>48</v>
      </c>
      <c r="C834">
        <v>1</v>
      </c>
      <c r="D834">
        <v>1</v>
      </c>
      <c r="E834">
        <v>3065</v>
      </c>
      <c r="F834">
        <v>8229</v>
      </c>
      <c r="G834">
        <v>3</v>
      </c>
      <c r="H834">
        <v>1985</v>
      </c>
      <c r="I834">
        <v>2002</v>
      </c>
      <c r="J834" s="1" t="s">
        <v>22</v>
      </c>
      <c r="K834">
        <v>1</v>
      </c>
      <c r="L834" s="1" t="s">
        <v>31</v>
      </c>
      <c r="M834" s="1" t="s">
        <v>24</v>
      </c>
      <c r="N834" s="1" t="s">
        <v>35</v>
      </c>
      <c r="O834">
        <v>9</v>
      </c>
      <c r="P834">
        <v>4</v>
      </c>
      <c r="Q834" s="1" t="s">
        <v>68</v>
      </c>
      <c r="R834">
        <v>2</v>
      </c>
      <c r="S834" s="1" t="s">
        <v>24</v>
      </c>
      <c r="T834">
        <v>26297500</v>
      </c>
      <c r="U834" t="s">
        <v>182</v>
      </c>
      <c r="V834" s="1" t="s">
        <v>174</v>
      </c>
      <c r="W834" s="1" t="s">
        <v>175</v>
      </c>
      <c r="X834" s="1" t="str">
        <f>VLOOKUP(V834,Broker_Directory!A:C,3,FALSE)</f>
        <v>Tier A</v>
      </c>
      <c r="Y834" s="1">
        <f>HLOOKUP(X834, Commission_Rates!A$1:C$2, 2, FALSE)</f>
        <v>0.02</v>
      </c>
      <c r="Z834" s="1">
        <f t="shared" ref="Z834:Z897" si="39">IF(U834="Sold",T834*Y834,0)</f>
        <v>0</v>
      </c>
      <c r="AA834" s="1">
        <f t="shared" ref="AA834:AA897" si="40">IF(U834="Sold", T834 * 0.03, 0)</f>
        <v>0</v>
      </c>
      <c r="AB834" s="1">
        <f t="shared" ref="AB834:AB897" si="41">AA834 - Z834</f>
        <v>0</v>
      </c>
    </row>
    <row r="835" spans="1:28" x14ac:dyDescent="0.3">
      <c r="A835" s="1" t="s">
        <v>28</v>
      </c>
      <c r="B835" s="1" t="s">
        <v>60</v>
      </c>
      <c r="C835">
        <v>5</v>
      </c>
      <c r="D835">
        <v>3</v>
      </c>
      <c r="E835">
        <v>2101</v>
      </c>
      <c r="F835">
        <v>3558</v>
      </c>
      <c r="G835">
        <v>2</v>
      </c>
      <c r="H835">
        <v>1976</v>
      </c>
      <c r="I835">
        <v>2009</v>
      </c>
      <c r="J835" s="1" t="s">
        <v>58</v>
      </c>
      <c r="K835">
        <v>1</v>
      </c>
      <c r="L835" s="1" t="s">
        <v>23</v>
      </c>
      <c r="M835" s="1" t="s">
        <v>27</v>
      </c>
      <c r="N835" s="1" t="s">
        <v>46</v>
      </c>
      <c r="O835">
        <v>1</v>
      </c>
      <c r="P835">
        <v>0</v>
      </c>
      <c r="Q835" s="1" t="s">
        <v>121</v>
      </c>
      <c r="R835">
        <v>3</v>
      </c>
      <c r="S835" s="1" t="s">
        <v>24</v>
      </c>
      <c r="T835">
        <v>21485000</v>
      </c>
      <c r="U835" t="s">
        <v>184</v>
      </c>
      <c r="V835" s="1" t="s">
        <v>174</v>
      </c>
      <c r="W835" s="1" t="s">
        <v>175</v>
      </c>
      <c r="X835" s="1" t="str">
        <f>VLOOKUP(V835,Broker_Directory!A:C,3,FALSE)</f>
        <v>Tier A</v>
      </c>
      <c r="Y835" s="1">
        <f>HLOOKUP(X835, Commission_Rates!A$1:C$2, 2, FALSE)</f>
        <v>0.02</v>
      </c>
      <c r="Z835" s="1">
        <f t="shared" si="39"/>
        <v>429700</v>
      </c>
      <c r="AA835" s="1">
        <f t="shared" si="40"/>
        <v>644550</v>
      </c>
      <c r="AB835" s="1">
        <f t="shared" si="41"/>
        <v>214850</v>
      </c>
    </row>
    <row r="836" spans="1:28" x14ac:dyDescent="0.3">
      <c r="A836" s="1" t="s">
        <v>28</v>
      </c>
      <c r="B836" s="1" t="s">
        <v>29</v>
      </c>
      <c r="C836">
        <v>5</v>
      </c>
      <c r="D836">
        <v>2</v>
      </c>
      <c r="E836">
        <v>1721</v>
      </c>
      <c r="F836">
        <v>5381</v>
      </c>
      <c r="G836">
        <v>2</v>
      </c>
      <c r="H836">
        <v>1963</v>
      </c>
      <c r="I836">
        <v>0</v>
      </c>
      <c r="J836" s="1" t="s">
        <v>52</v>
      </c>
      <c r="K836">
        <v>2</v>
      </c>
      <c r="L836" s="1" t="s">
        <v>41</v>
      </c>
      <c r="M836" s="1" t="s">
        <v>27</v>
      </c>
      <c r="N836" s="1" t="s">
        <v>46</v>
      </c>
      <c r="O836">
        <v>3</v>
      </c>
      <c r="P836">
        <v>1</v>
      </c>
      <c r="Q836" s="1" t="s">
        <v>32</v>
      </c>
      <c r="R836">
        <v>0</v>
      </c>
      <c r="S836" s="1" t="s">
        <v>27</v>
      </c>
      <c r="T836">
        <v>17560000</v>
      </c>
      <c r="U836" t="s">
        <v>182</v>
      </c>
      <c r="V836" s="1" t="s">
        <v>179</v>
      </c>
      <c r="W836" s="1" t="s">
        <v>180</v>
      </c>
      <c r="X836" s="1" t="str">
        <f>VLOOKUP(V836,Broker_Directory!A:C,3,FALSE)</f>
        <v>Tier B</v>
      </c>
      <c r="Y836" s="1">
        <f>HLOOKUP(X836, Commission_Rates!A$1:C$2, 2, FALSE)</f>
        <v>1.4999999999999999E-2</v>
      </c>
      <c r="Z836" s="1">
        <f t="shared" si="39"/>
        <v>0</v>
      </c>
      <c r="AA836" s="1">
        <f t="shared" si="40"/>
        <v>0</v>
      </c>
      <c r="AB836" s="1">
        <f t="shared" si="41"/>
        <v>0</v>
      </c>
    </row>
    <row r="837" spans="1:28" x14ac:dyDescent="0.3">
      <c r="A837" s="1" t="s">
        <v>37</v>
      </c>
      <c r="B837" s="1" t="s">
        <v>72</v>
      </c>
      <c r="C837">
        <v>2</v>
      </c>
      <c r="D837">
        <v>4</v>
      </c>
      <c r="E837">
        <v>3414</v>
      </c>
      <c r="F837">
        <v>3652</v>
      </c>
      <c r="G837">
        <v>3</v>
      </c>
      <c r="H837">
        <v>1984</v>
      </c>
      <c r="I837">
        <v>1996</v>
      </c>
      <c r="J837" s="1" t="s">
        <v>22</v>
      </c>
      <c r="K837">
        <v>3</v>
      </c>
      <c r="L837" s="1" t="s">
        <v>64</v>
      </c>
      <c r="M837" s="1" t="s">
        <v>27</v>
      </c>
      <c r="N837" s="1" t="s">
        <v>25</v>
      </c>
      <c r="O837">
        <v>7</v>
      </c>
      <c r="P837">
        <v>4</v>
      </c>
      <c r="Q837" s="1" t="s">
        <v>94</v>
      </c>
      <c r="R837">
        <v>3</v>
      </c>
      <c r="S837" s="1" t="s">
        <v>24</v>
      </c>
      <c r="T837">
        <v>27762000</v>
      </c>
      <c r="U837" t="s">
        <v>184</v>
      </c>
      <c r="V837" s="1" t="s">
        <v>171</v>
      </c>
      <c r="W837" s="1" t="s">
        <v>172</v>
      </c>
      <c r="X837" s="1" t="str">
        <f>VLOOKUP(V837,Broker_Directory!A:C,3,FALSE)</f>
        <v>Tier B</v>
      </c>
      <c r="Y837" s="1">
        <f>HLOOKUP(X837, Commission_Rates!A$1:C$2, 2, FALSE)</f>
        <v>1.4999999999999999E-2</v>
      </c>
      <c r="Z837" s="1">
        <f t="shared" si="39"/>
        <v>416430</v>
      </c>
      <c r="AA837" s="1">
        <f t="shared" si="40"/>
        <v>832860</v>
      </c>
      <c r="AB837" s="1">
        <f t="shared" si="41"/>
        <v>416430</v>
      </c>
    </row>
    <row r="838" spans="1:28" x14ac:dyDescent="0.3">
      <c r="A838" s="1" t="s">
        <v>53</v>
      </c>
      <c r="B838" s="1" t="s">
        <v>66</v>
      </c>
      <c r="C838">
        <v>1</v>
      </c>
      <c r="D838">
        <v>4</v>
      </c>
      <c r="E838">
        <v>1679</v>
      </c>
      <c r="F838">
        <v>8348</v>
      </c>
      <c r="G838">
        <v>1</v>
      </c>
      <c r="H838">
        <v>1977</v>
      </c>
      <c r="I838">
        <v>1996</v>
      </c>
      <c r="J838" s="1" t="s">
        <v>30</v>
      </c>
      <c r="K838">
        <v>3</v>
      </c>
      <c r="L838" s="1" t="s">
        <v>64</v>
      </c>
      <c r="M838" s="1" t="s">
        <v>24</v>
      </c>
      <c r="N838" s="1" t="s">
        <v>35</v>
      </c>
      <c r="O838">
        <v>4</v>
      </c>
      <c r="P838">
        <v>1</v>
      </c>
      <c r="Q838" s="1" t="s">
        <v>91</v>
      </c>
      <c r="R838">
        <v>3</v>
      </c>
      <c r="S838" s="1" t="s">
        <v>24</v>
      </c>
      <c r="T838">
        <v>15421000</v>
      </c>
      <c r="U838" t="s">
        <v>183</v>
      </c>
      <c r="V838" s="1" t="s">
        <v>176</v>
      </c>
      <c r="W838" s="1" t="s">
        <v>177</v>
      </c>
      <c r="X838" s="1" t="str">
        <f>VLOOKUP(V838,Broker_Directory!A:C,3,FALSE)</f>
        <v>Tier C</v>
      </c>
      <c r="Y838" s="1">
        <f>HLOOKUP(X838, Commission_Rates!A$1:C$2, 2, FALSE)</f>
        <v>0.01</v>
      </c>
      <c r="Z838" s="1">
        <f t="shared" si="39"/>
        <v>0</v>
      </c>
      <c r="AA838" s="1">
        <f t="shared" si="40"/>
        <v>0</v>
      </c>
      <c r="AB838" s="1">
        <f t="shared" si="41"/>
        <v>0</v>
      </c>
    </row>
    <row r="839" spans="1:28" x14ac:dyDescent="0.3">
      <c r="A839" s="1" t="s">
        <v>33</v>
      </c>
      <c r="B839" s="1" t="s">
        <v>75</v>
      </c>
      <c r="C839">
        <v>1</v>
      </c>
      <c r="D839">
        <v>4</v>
      </c>
      <c r="E839">
        <v>479</v>
      </c>
      <c r="F839">
        <v>6900</v>
      </c>
      <c r="G839">
        <v>3</v>
      </c>
      <c r="H839">
        <v>1994</v>
      </c>
      <c r="I839">
        <v>2016</v>
      </c>
      <c r="J839" s="1" t="s">
        <v>22</v>
      </c>
      <c r="K839">
        <v>0</v>
      </c>
      <c r="L839" s="1" t="s">
        <v>41</v>
      </c>
      <c r="M839" s="1" t="s">
        <v>27</v>
      </c>
      <c r="N839" s="1" t="s">
        <v>35</v>
      </c>
      <c r="O839">
        <v>7</v>
      </c>
      <c r="P839">
        <v>3</v>
      </c>
      <c r="Q839" s="1" t="s">
        <v>76</v>
      </c>
      <c r="R839">
        <v>3</v>
      </c>
      <c r="S839" s="1" t="s">
        <v>27</v>
      </c>
      <c r="T839">
        <v>4346500</v>
      </c>
      <c r="U839" t="s">
        <v>183</v>
      </c>
      <c r="V839" s="1" t="s">
        <v>176</v>
      </c>
      <c r="W839" s="1" t="s">
        <v>177</v>
      </c>
      <c r="X839" s="1" t="str">
        <f>VLOOKUP(V839,Broker_Directory!A:C,3,FALSE)</f>
        <v>Tier C</v>
      </c>
      <c r="Y839" s="1">
        <f>HLOOKUP(X839, Commission_Rates!A$1:C$2, 2, FALSE)</f>
        <v>0.01</v>
      </c>
      <c r="Z839" s="1">
        <f t="shared" si="39"/>
        <v>0</v>
      </c>
      <c r="AA839" s="1">
        <f t="shared" si="40"/>
        <v>0</v>
      </c>
      <c r="AB839" s="1">
        <f t="shared" si="41"/>
        <v>0</v>
      </c>
    </row>
    <row r="840" spans="1:28" x14ac:dyDescent="0.3">
      <c r="A840" s="1" t="s">
        <v>53</v>
      </c>
      <c r="B840" s="1" t="s">
        <v>66</v>
      </c>
      <c r="C840">
        <v>3</v>
      </c>
      <c r="D840">
        <v>3</v>
      </c>
      <c r="E840">
        <v>2428</v>
      </c>
      <c r="F840">
        <v>6398</v>
      </c>
      <c r="G840">
        <v>1</v>
      </c>
      <c r="H840">
        <v>1971</v>
      </c>
      <c r="I840">
        <v>1984</v>
      </c>
      <c r="J840" s="1" t="s">
        <v>52</v>
      </c>
      <c r="K840">
        <v>0</v>
      </c>
      <c r="L840" s="1" t="s">
        <v>41</v>
      </c>
      <c r="M840" s="1" t="s">
        <v>27</v>
      </c>
      <c r="N840" s="1" t="s">
        <v>25</v>
      </c>
      <c r="O840">
        <v>3</v>
      </c>
      <c r="P840">
        <v>0</v>
      </c>
      <c r="Q840" s="1" t="s">
        <v>67</v>
      </c>
      <c r="R840">
        <v>0</v>
      </c>
      <c r="S840" s="1" t="s">
        <v>24</v>
      </c>
      <c r="T840">
        <v>22237000</v>
      </c>
      <c r="U840" t="s">
        <v>182</v>
      </c>
      <c r="V840" s="1" t="s">
        <v>168</v>
      </c>
      <c r="W840" s="1" t="s">
        <v>169</v>
      </c>
      <c r="X840" s="1" t="str">
        <f>VLOOKUP(V840,Broker_Directory!A:C,3,FALSE)</f>
        <v>Tier A</v>
      </c>
      <c r="Y840" s="1">
        <f>HLOOKUP(X840, Commission_Rates!A$1:C$2, 2, FALSE)</f>
        <v>0.02</v>
      </c>
      <c r="Z840" s="1">
        <f t="shared" si="39"/>
        <v>0</v>
      </c>
      <c r="AA840" s="1">
        <f t="shared" si="40"/>
        <v>0</v>
      </c>
      <c r="AB840" s="1">
        <f t="shared" si="41"/>
        <v>0</v>
      </c>
    </row>
    <row r="841" spans="1:28" x14ac:dyDescent="0.3">
      <c r="A841" s="1" t="s">
        <v>53</v>
      </c>
      <c r="B841" s="1" t="s">
        <v>105</v>
      </c>
      <c r="C841">
        <v>5</v>
      </c>
      <c r="D841">
        <v>3</v>
      </c>
      <c r="E841">
        <v>4011</v>
      </c>
      <c r="F841">
        <v>5281</v>
      </c>
      <c r="G841">
        <v>2</v>
      </c>
      <c r="H841">
        <v>1968</v>
      </c>
      <c r="I841">
        <v>2021</v>
      </c>
      <c r="J841" s="1" t="s">
        <v>22</v>
      </c>
      <c r="K841">
        <v>2</v>
      </c>
      <c r="L841" s="1" t="s">
        <v>31</v>
      </c>
      <c r="M841" s="1" t="s">
        <v>24</v>
      </c>
      <c r="N841" s="1" t="s">
        <v>46</v>
      </c>
      <c r="O841">
        <v>4</v>
      </c>
      <c r="P841">
        <v>1</v>
      </c>
      <c r="Q841" s="1" t="s">
        <v>108</v>
      </c>
      <c r="R841">
        <v>1</v>
      </c>
      <c r="S841" s="1" t="s">
        <v>24</v>
      </c>
      <c r="T841">
        <v>36569000</v>
      </c>
      <c r="U841" t="s">
        <v>182</v>
      </c>
      <c r="V841" s="1" t="s">
        <v>176</v>
      </c>
      <c r="W841" s="1" t="s">
        <v>177</v>
      </c>
      <c r="X841" s="1" t="str">
        <f>VLOOKUP(V841,Broker_Directory!A:C,3,FALSE)</f>
        <v>Tier C</v>
      </c>
      <c r="Y841" s="1">
        <f>HLOOKUP(X841, Commission_Rates!A$1:C$2, 2, FALSE)</f>
        <v>0.01</v>
      </c>
      <c r="Z841" s="1">
        <f t="shared" si="39"/>
        <v>0</v>
      </c>
      <c r="AA841" s="1">
        <f t="shared" si="40"/>
        <v>0</v>
      </c>
      <c r="AB841" s="1">
        <f t="shared" si="41"/>
        <v>0</v>
      </c>
    </row>
    <row r="842" spans="1:28" x14ac:dyDescent="0.3">
      <c r="A842" s="1" t="s">
        <v>33</v>
      </c>
      <c r="B842" s="1" t="s">
        <v>48</v>
      </c>
      <c r="C842">
        <v>5</v>
      </c>
      <c r="D842">
        <v>2</v>
      </c>
      <c r="E842">
        <v>2661</v>
      </c>
      <c r="F842">
        <v>7199</v>
      </c>
      <c r="G842">
        <v>2</v>
      </c>
      <c r="H842">
        <v>2004</v>
      </c>
      <c r="I842">
        <v>2008</v>
      </c>
      <c r="J842" s="1" t="s">
        <v>52</v>
      </c>
      <c r="K842">
        <v>0</v>
      </c>
      <c r="L842" s="1" t="s">
        <v>31</v>
      </c>
      <c r="M842" s="1" t="s">
        <v>24</v>
      </c>
      <c r="N842" s="1" t="s">
        <v>25</v>
      </c>
      <c r="O842">
        <v>1</v>
      </c>
      <c r="P842">
        <v>2</v>
      </c>
      <c r="Q842" s="1" t="s">
        <v>84</v>
      </c>
      <c r="R842">
        <v>0</v>
      </c>
      <c r="S842" s="1" t="s">
        <v>27</v>
      </c>
      <c r="T842">
        <v>23068500</v>
      </c>
      <c r="U842" t="s">
        <v>183</v>
      </c>
      <c r="V842" s="1" t="s">
        <v>174</v>
      </c>
      <c r="W842" s="1" t="s">
        <v>175</v>
      </c>
      <c r="X842" s="1" t="str">
        <f>VLOOKUP(V842,Broker_Directory!A:C,3,FALSE)</f>
        <v>Tier A</v>
      </c>
      <c r="Y842" s="1">
        <f>HLOOKUP(X842, Commission_Rates!A$1:C$2, 2, FALSE)</f>
        <v>0.02</v>
      </c>
      <c r="Z842" s="1">
        <f t="shared" si="39"/>
        <v>0</v>
      </c>
      <c r="AA842" s="1">
        <f t="shared" si="40"/>
        <v>0</v>
      </c>
      <c r="AB842" s="1">
        <f t="shared" si="41"/>
        <v>0</v>
      </c>
    </row>
    <row r="843" spans="1:28" x14ac:dyDescent="0.3">
      <c r="A843" s="1" t="s">
        <v>33</v>
      </c>
      <c r="B843" s="1" t="s">
        <v>34</v>
      </c>
      <c r="C843">
        <v>2</v>
      </c>
      <c r="D843">
        <v>2</v>
      </c>
      <c r="E843">
        <v>4671</v>
      </c>
      <c r="F843">
        <v>6251</v>
      </c>
      <c r="G843">
        <v>1</v>
      </c>
      <c r="H843">
        <v>1951</v>
      </c>
      <c r="I843">
        <v>1991</v>
      </c>
      <c r="J843" s="1" t="s">
        <v>52</v>
      </c>
      <c r="K843">
        <v>2</v>
      </c>
      <c r="L843" s="1" t="s">
        <v>23</v>
      </c>
      <c r="M843" s="1" t="s">
        <v>24</v>
      </c>
      <c r="N843" s="1" t="s">
        <v>46</v>
      </c>
      <c r="O843">
        <v>2</v>
      </c>
      <c r="P843">
        <v>1</v>
      </c>
      <c r="Q843" s="1" t="s">
        <v>36</v>
      </c>
      <c r="R843">
        <v>3</v>
      </c>
      <c r="S843" s="1" t="s">
        <v>24</v>
      </c>
      <c r="T843">
        <v>40003500</v>
      </c>
      <c r="U843" t="s">
        <v>184</v>
      </c>
      <c r="V843" s="1" t="s">
        <v>168</v>
      </c>
      <c r="W843" s="1" t="s">
        <v>169</v>
      </c>
      <c r="X843" s="1" t="str">
        <f>VLOOKUP(V843,Broker_Directory!A:C,3,FALSE)</f>
        <v>Tier A</v>
      </c>
      <c r="Y843" s="1">
        <f>HLOOKUP(X843, Commission_Rates!A$1:C$2, 2, FALSE)</f>
        <v>0.02</v>
      </c>
      <c r="Z843" s="1">
        <f t="shared" si="39"/>
        <v>800070</v>
      </c>
      <c r="AA843" s="1">
        <f t="shared" si="40"/>
        <v>1200105</v>
      </c>
      <c r="AB843" s="1">
        <f t="shared" si="41"/>
        <v>400035</v>
      </c>
    </row>
    <row r="844" spans="1:28" x14ac:dyDescent="0.3">
      <c r="A844" s="1" t="s">
        <v>28</v>
      </c>
      <c r="B844" s="1" t="s">
        <v>110</v>
      </c>
      <c r="C844">
        <v>5</v>
      </c>
      <c r="D844">
        <v>3</v>
      </c>
      <c r="E844">
        <v>2587</v>
      </c>
      <c r="F844">
        <v>6425</v>
      </c>
      <c r="G844">
        <v>1</v>
      </c>
      <c r="H844">
        <v>2008</v>
      </c>
      <c r="I844">
        <v>2012</v>
      </c>
      <c r="J844" s="1" t="s">
        <v>58</v>
      </c>
      <c r="K844">
        <v>1</v>
      </c>
      <c r="L844" s="1" t="s">
        <v>31</v>
      </c>
      <c r="M844" s="1" t="s">
        <v>24</v>
      </c>
      <c r="N844" s="1" t="s">
        <v>25</v>
      </c>
      <c r="O844">
        <v>6</v>
      </c>
      <c r="P844">
        <v>1</v>
      </c>
      <c r="Q844" s="1" t="s">
        <v>119</v>
      </c>
      <c r="R844">
        <v>2</v>
      </c>
      <c r="S844" s="1" t="s">
        <v>27</v>
      </c>
      <c r="T844">
        <v>26360000</v>
      </c>
      <c r="U844" t="s">
        <v>182</v>
      </c>
      <c r="V844" s="1" t="s">
        <v>171</v>
      </c>
      <c r="W844" s="1" t="s">
        <v>172</v>
      </c>
      <c r="X844" s="1" t="str">
        <f>VLOOKUP(V844,Broker_Directory!A:C,3,FALSE)</f>
        <v>Tier B</v>
      </c>
      <c r="Y844" s="1">
        <f>HLOOKUP(X844, Commission_Rates!A$1:C$2, 2, FALSE)</f>
        <v>1.4999999999999999E-2</v>
      </c>
      <c r="Z844" s="1">
        <f t="shared" si="39"/>
        <v>0</v>
      </c>
      <c r="AA844" s="1">
        <f t="shared" si="40"/>
        <v>0</v>
      </c>
      <c r="AB844" s="1">
        <f t="shared" si="41"/>
        <v>0</v>
      </c>
    </row>
    <row r="845" spans="1:28" x14ac:dyDescent="0.3">
      <c r="A845" s="1" t="s">
        <v>33</v>
      </c>
      <c r="B845" s="1" t="s">
        <v>98</v>
      </c>
      <c r="C845">
        <v>4</v>
      </c>
      <c r="D845">
        <v>4</v>
      </c>
      <c r="E845">
        <v>4601</v>
      </c>
      <c r="F845">
        <v>8473</v>
      </c>
      <c r="G845">
        <v>3</v>
      </c>
      <c r="H845">
        <v>2016</v>
      </c>
      <c r="I845">
        <v>2020</v>
      </c>
      <c r="J845" s="1" t="s">
        <v>22</v>
      </c>
      <c r="K845">
        <v>2</v>
      </c>
      <c r="L845" s="1" t="s">
        <v>41</v>
      </c>
      <c r="M845" s="1" t="s">
        <v>24</v>
      </c>
      <c r="N845" s="1" t="s">
        <v>35</v>
      </c>
      <c r="O845">
        <v>7</v>
      </c>
      <c r="P845">
        <v>1</v>
      </c>
      <c r="Q845" s="1" t="s">
        <v>145</v>
      </c>
      <c r="R845">
        <v>1</v>
      </c>
      <c r="S845" s="1" t="s">
        <v>24</v>
      </c>
      <c r="T845">
        <v>39578500</v>
      </c>
      <c r="U845" t="s">
        <v>184</v>
      </c>
      <c r="V845" s="1" t="s">
        <v>179</v>
      </c>
      <c r="W845" s="1" t="s">
        <v>180</v>
      </c>
      <c r="X845" s="1" t="str">
        <f>VLOOKUP(V845,Broker_Directory!A:C,3,FALSE)</f>
        <v>Tier B</v>
      </c>
      <c r="Y845" s="1">
        <f>HLOOKUP(X845, Commission_Rates!A$1:C$2, 2, FALSE)</f>
        <v>1.4999999999999999E-2</v>
      </c>
      <c r="Z845" s="1">
        <f t="shared" si="39"/>
        <v>593677.5</v>
      </c>
      <c r="AA845" s="1">
        <f t="shared" si="40"/>
        <v>1187355</v>
      </c>
      <c r="AB845" s="1">
        <f t="shared" si="41"/>
        <v>593677.5</v>
      </c>
    </row>
    <row r="846" spans="1:28" x14ac:dyDescent="0.3">
      <c r="A846" s="1" t="s">
        <v>33</v>
      </c>
      <c r="B846" s="1" t="s">
        <v>34</v>
      </c>
      <c r="C846">
        <v>3</v>
      </c>
      <c r="D846">
        <v>1</v>
      </c>
      <c r="E846">
        <v>3678</v>
      </c>
      <c r="F846">
        <v>6862</v>
      </c>
      <c r="G846">
        <v>2</v>
      </c>
      <c r="H846">
        <v>1988</v>
      </c>
      <c r="I846">
        <v>2010</v>
      </c>
      <c r="J846" s="1" t="s">
        <v>58</v>
      </c>
      <c r="K846">
        <v>2</v>
      </c>
      <c r="L846" s="1" t="s">
        <v>41</v>
      </c>
      <c r="M846" s="1" t="s">
        <v>24</v>
      </c>
      <c r="N846" s="1" t="s">
        <v>25</v>
      </c>
      <c r="O846">
        <v>3</v>
      </c>
      <c r="P846">
        <v>3</v>
      </c>
      <c r="Q846" s="1" t="s">
        <v>132</v>
      </c>
      <c r="R846">
        <v>3</v>
      </c>
      <c r="S846" s="1" t="s">
        <v>24</v>
      </c>
      <c r="T846">
        <v>31678000</v>
      </c>
      <c r="U846" t="s">
        <v>184</v>
      </c>
      <c r="V846" s="1" t="s">
        <v>176</v>
      </c>
      <c r="W846" s="1" t="s">
        <v>177</v>
      </c>
      <c r="X846" s="1" t="str">
        <f>VLOOKUP(V846,Broker_Directory!A:C,3,FALSE)</f>
        <v>Tier C</v>
      </c>
      <c r="Y846" s="1">
        <f>HLOOKUP(X846, Commission_Rates!A$1:C$2, 2, FALSE)</f>
        <v>0.01</v>
      </c>
      <c r="Z846" s="1">
        <f t="shared" si="39"/>
        <v>316780</v>
      </c>
      <c r="AA846" s="1">
        <f t="shared" si="40"/>
        <v>950340</v>
      </c>
      <c r="AB846" s="1">
        <f t="shared" si="41"/>
        <v>633560</v>
      </c>
    </row>
    <row r="847" spans="1:28" x14ac:dyDescent="0.3">
      <c r="A847" s="1" t="s">
        <v>53</v>
      </c>
      <c r="B847" s="1" t="s">
        <v>54</v>
      </c>
      <c r="C847">
        <v>2</v>
      </c>
      <c r="D847">
        <v>2</v>
      </c>
      <c r="E847">
        <v>434</v>
      </c>
      <c r="F847">
        <v>4204</v>
      </c>
      <c r="G847">
        <v>2</v>
      </c>
      <c r="H847">
        <v>1982</v>
      </c>
      <c r="I847">
        <v>2012</v>
      </c>
      <c r="J847" s="1" t="s">
        <v>22</v>
      </c>
      <c r="K847">
        <v>3</v>
      </c>
      <c r="L847" s="1" t="s">
        <v>41</v>
      </c>
      <c r="M847" s="1" t="s">
        <v>27</v>
      </c>
      <c r="N847" s="1" t="s">
        <v>25</v>
      </c>
      <c r="O847">
        <v>7</v>
      </c>
      <c r="P847">
        <v>1</v>
      </c>
      <c r="Q847" s="1" t="s">
        <v>55</v>
      </c>
      <c r="R847">
        <v>0</v>
      </c>
      <c r="S847" s="1" t="s">
        <v>24</v>
      </c>
      <c r="T847">
        <v>4231000</v>
      </c>
      <c r="U847" t="s">
        <v>184</v>
      </c>
      <c r="V847" s="1" t="s">
        <v>174</v>
      </c>
      <c r="W847" s="1" t="s">
        <v>175</v>
      </c>
      <c r="X847" s="1" t="str">
        <f>VLOOKUP(V847,Broker_Directory!A:C,3,FALSE)</f>
        <v>Tier A</v>
      </c>
      <c r="Y847" s="1">
        <f>HLOOKUP(X847, Commission_Rates!A$1:C$2, 2, FALSE)</f>
        <v>0.02</v>
      </c>
      <c r="Z847" s="1">
        <f t="shared" si="39"/>
        <v>84620</v>
      </c>
      <c r="AA847" s="1">
        <f t="shared" si="40"/>
        <v>126930</v>
      </c>
      <c r="AB847" s="1">
        <f t="shared" si="41"/>
        <v>42310</v>
      </c>
    </row>
    <row r="848" spans="1:28" x14ac:dyDescent="0.3">
      <c r="A848" s="1" t="s">
        <v>28</v>
      </c>
      <c r="B848" s="1" t="s">
        <v>60</v>
      </c>
      <c r="C848">
        <v>3</v>
      </c>
      <c r="D848">
        <v>3</v>
      </c>
      <c r="E848">
        <v>735</v>
      </c>
      <c r="F848">
        <v>6528</v>
      </c>
      <c r="G848">
        <v>2</v>
      </c>
      <c r="H848">
        <v>1999</v>
      </c>
      <c r="I848">
        <v>2018</v>
      </c>
      <c r="J848" s="1" t="s">
        <v>22</v>
      </c>
      <c r="K848">
        <v>0</v>
      </c>
      <c r="L848" s="1" t="s">
        <v>64</v>
      </c>
      <c r="M848" s="1" t="s">
        <v>27</v>
      </c>
      <c r="N848" s="1" t="s">
        <v>35</v>
      </c>
      <c r="O848">
        <v>8</v>
      </c>
      <c r="P848">
        <v>3</v>
      </c>
      <c r="Q848" s="1" t="s">
        <v>118</v>
      </c>
      <c r="R848">
        <v>3</v>
      </c>
      <c r="S848" s="1" t="s">
        <v>24</v>
      </c>
      <c r="T848">
        <v>7725000</v>
      </c>
      <c r="U848" t="s">
        <v>182</v>
      </c>
      <c r="V848" s="1" t="s">
        <v>174</v>
      </c>
      <c r="W848" s="1" t="s">
        <v>175</v>
      </c>
      <c r="X848" s="1" t="str">
        <f>VLOOKUP(V848,Broker_Directory!A:C,3,FALSE)</f>
        <v>Tier A</v>
      </c>
      <c r="Y848" s="1">
        <f>HLOOKUP(X848, Commission_Rates!A$1:C$2, 2, FALSE)</f>
        <v>0.02</v>
      </c>
      <c r="Z848" s="1">
        <f t="shared" si="39"/>
        <v>0</v>
      </c>
      <c r="AA848" s="1">
        <f t="shared" si="40"/>
        <v>0</v>
      </c>
      <c r="AB848" s="1">
        <f t="shared" si="41"/>
        <v>0</v>
      </c>
    </row>
    <row r="849" spans="1:28" x14ac:dyDescent="0.3">
      <c r="A849" s="1" t="s">
        <v>53</v>
      </c>
      <c r="B849" s="1" t="s">
        <v>89</v>
      </c>
      <c r="C849">
        <v>2</v>
      </c>
      <c r="D849">
        <v>3</v>
      </c>
      <c r="E849">
        <v>4451</v>
      </c>
      <c r="F849">
        <v>5860</v>
      </c>
      <c r="G849">
        <v>1</v>
      </c>
      <c r="H849">
        <v>1962</v>
      </c>
      <c r="I849">
        <v>1979</v>
      </c>
      <c r="J849" s="1" t="s">
        <v>30</v>
      </c>
      <c r="K849">
        <v>0</v>
      </c>
      <c r="L849" s="1" t="s">
        <v>23</v>
      </c>
      <c r="M849" s="1" t="s">
        <v>24</v>
      </c>
      <c r="N849" s="1" t="s">
        <v>35</v>
      </c>
      <c r="O849">
        <v>8</v>
      </c>
      <c r="P849">
        <v>2</v>
      </c>
      <c r="Q849" s="1" t="s">
        <v>125</v>
      </c>
      <c r="R849">
        <v>3</v>
      </c>
      <c r="S849" s="1" t="s">
        <v>27</v>
      </c>
      <c r="T849">
        <v>40339000</v>
      </c>
      <c r="U849" t="s">
        <v>183</v>
      </c>
      <c r="V849" s="1" t="s">
        <v>174</v>
      </c>
      <c r="W849" s="1" t="s">
        <v>175</v>
      </c>
      <c r="X849" s="1" t="str">
        <f>VLOOKUP(V849,Broker_Directory!A:C,3,FALSE)</f>
        <v>Tier A</v>
      </c>
      <c r="Y849" s="1">
        <f>HLOOKUP(X849, Commission_Rates!A$1:C$2, 2, FALSE)</f>
        <v>0.02</v>
      </c>
      <c r="Z849" s="1">
        <f t="shared" si="39"/>
        <v>0</v>
      </c>
      <c r="AA849" s="1">
        <f t="shared" si="40"/>
        <v>0</v>
      </c>
      <c r="AB849" s="1">
        <f t="shared" si="41"/>
        <v>0</v>
      </c>
    </row>
    <row r="850" spans="1:28" x14ac:dyDescent="0.3">
      <c r="A850" s="1" t="s">
        <v>53</v>
      </c>
      <c r="B850" s="1" t="s">
        <v>100</v>
      </c>
      <c r="C850">
        <v>4</v>
      </c>
      <c r="D850">
        <v>3</v>
      </c>
      <c r="E850">
        <v>2975</v>
      </c>
      <c r="F850">
        <v>5359</v>
      </c>
      <c r="G850">
        <v>2</v>
      </c>
      <c r="H850">
        <v>1956</v>
      </c>
      <c r="I850">
        <v>2021</v>
      </c>
      <c r="J850" s="1" t="s">
        <v>58</v>
      </c>
      <c r="K850">
        <v>3</v>
      </c>
      <c r="L850" s="1" t="s">
        <v>41</v>
      </c>
      <c r="M850" s="1" t="s">
        <v>27</v>
      </c>
      <c r="N850" s="1" t="s">
        <v>35</v>
      </c>
      <c r="O850">
        <v>0</v>
      </c>
      <c r="P850">
        <v>5</v>
      </c>
      <c r="Q850" s="1" t="s">
        <v>131</v>
      </c>
      <c r="R850">
        <v>1</v>
      </c>
      <c r="S850" s="1" t="s">
        <v>27</v>
      </c>
      <c r="T850">
        <v>27120000</v>
      </c>
      <c r="U850" t="s">
        <v>184</v>
      </c>
      <c r="V850" s="1" t="s">
        <v>174</v>
      </c>
      <c r="W850" s="1" t="s">
        <v>175</v>
      </c>
      <c r="X850" s="1" t="str">
        <f>VLOOKUP(V850,Broker_Directory!A:C,3,FALSE)</f>
        <v>Tier A</v>
      </c>
      <c r="Y850" s="1">
        <f>HLOOKUP(X850, Commission_Rates!A$1:C$2, 2, FALSE)</f>
        <v>0.02</v>
      </c>
      <c r="Z850" s="1">
        <f t="shared" si="39"/>
        <v>542400</v>
      </c>
      <c r="AA850" s="1">
        <f t="shared" si="40"/>
        <v>813600</v>
      </c>
      <c r="AB850" s="1">
        <f t="shared" si="41"/>
        <v>271200</v>
      </c>
    </row>
    <row r="851" spans="1:28" x14ac:dyDescent="0.3">
      <c r="A851" s="1" t="s">
        <v>53</v>
      </c>
      <c r="B851" s="1" t="s">
        <v>54</v>
      </c>
      <c r="C851">
        <v>3</v>
      </c>
      <c r="D851">
        <v>2</v>
      </c>
      <c r="E851">
        <v>1464</v>
      </c>
      <c r="F851">
        <v>4730</v>
      </c>
      <c r="G851">
        <v>1</v>
      </c>
      <c r="H851">
        <v>1999</v>
      </c>
      <c r="I851">
        <v>2006</v>
      </c>
      <c r="J851" s="1" t="s">
        <v>22</v>
      </c>
      <c r="K851">
        <v>1</v>
      </c>
      <c r="L851" s="1" t="s">
        <v>23</v>
      </c>
      <c r="M851" s="1" t="s">
        <v>24</v>
      </c>
      <c r="N851" s="1" t="s">
        <v>46</v>
      </c>
      <c r="O851">
        <v>0</v>
      </c>
      <c r="P851">
        <v>1</v>
      </c>
      <c r="Q851" s="1" t="s">
        <v>59</v>
      </c>
      <c r="R851">
        <v>3</v>
      </c>
      <c r="S851" s="1" t="s">
        <v>24</v>
      </c>
      <c r="T851">
        <v>13526000</v>
      </c>
      <c r="U851" t="s">
        <v>184</v>
      </c>
      <c r="V851" s="1" t="s">
        <v>168</v>
      </c>
      <c r="W851" s="1" t="s">
        <v>169</v>
      </c>
      <c r="X851" s="1" t="str">
        <f>VLOOKUP(V851,Broker_Directory!A:C,3,FALSE)</f>
        <v>Tier A</v>
      </c>
      <c r="Y851" s="1">
        <f>HLOOKUP(X851, Commission_Rates!A$1:C$2, 2, FALSE)</f>
        <v>0.02</v>
      </c>
      <c r="Z851" s="1">
        <f t="shared" si="39"/>
        <v>270520</v>
      </c>
      <c r="AA851" s="1">
        <f t="shared" si="40"/>
        <v>405780</v>
      </c>
      <c r="AB851" s="1">
        <f t="shared" si="41"/>
        <v>135260</v>
      </c>
    </row>
    <row r="852" spans="1:28" x14ac:dyDescent="0.3">
      <c r="A852" s="1" t="s">
        <v>37</v>
      </c>
      <c r="B852" s="1" t="s">
        <v>62</v>
      </c>
      <c r="C852">
        <v>4</v>
      </c>
      <c r="D852">
        <v>3</v>
      </c>
      <c r="E852">
        <v>2025</v>
      </c>
      <c r="F852">
        <v>2079</v>
      </c>
      <c r="G852">
        <v>1</v>
      </c>
      <c r="H852">
        <v>1970</v>
      </c>
      <c r="I852">
        <v>2023</v>
      </c>
      <c r="J852" s="1" t="s">
        <v>58</v>
      </c>
      <c r="K852">
        <v>2</v>
      </c>
      <c r="L852" s="1" t="s">
        <v>41</v>
      </c>
      <c r="M852" s="1" t="s">
        <v>24</v>
      </c>
      <c r="N852" s="1" t="s">
        <v>25</v>
      </c>
      <c r="O852">
        <v>7</v>
      </c>
      <c r="P852">
        <v>1</v>
      </c>
      <c r="Q852" s="1" t="s">
        <v>97</v>
      </c>
      <c r="R852">
        <v>0</v>
      </c>
      <c r="S852" s="1" t="s">
        <v>24</v>
      </c>
      <c r="T852">
        <v>16660000</v>
      </c>
      <c r="U852" t="s">
        <v>184</v>
      </c>
      <c r="V852" s="1" t="s">
        <v>168</v>
      </c>
      <c r="W852" s="1" t="s">
        <v>169</v>
      </c>
      <c r="X852" s="1" t="str">
        <f>VLOOKUP(V852,Broker_Directory!A:C,3,FALSE)</f>
        <v>Tier A</v>
      </c>
      <c r="Y852" s="1">
        <f>HLOOKUP(X852, Commission_Rates!A$1:C$2, 2, FALSE)</f>
        <v>0.02</v>
      </c>
      <c r="Z852" s="1">
        <f t="shared" si="39"/>
        <v>333200</v>
      </c>
      <c r="AA852" s="1">
        <f t="shared" si="40"/>
        <v>499800</v>
      </c>
      <c r="AB852" s="1">
        <f t="shared" si="41"/>
        <v>166600</v>
      </c>
    </row>
    <row r="853" spans="1:28" x14ac:dyDescent="0.3">
      <c r="A853" s="1" t="s">
        <v>37</v>
      </c>
      <c r="B853" s="1" t="s">
        <v>38</v>
      </c>
      <c r="C853">
        <v>5</v>
      </c>
      <c r="D853">
        <v>3</v>
      </c>
      <c r="E853">
        <v>4141</v>
      </c>
      <c r="F853">
        <v>6305</v>
      </c>
      <c r="G853">
        <v>3</v>
      </c>
      <c r="H853">
        <v>2021</v>
      </c>
      <c r="I853">
        <v>2024</v>
      </c>
      <c r="J853" s="1" t="s">
        <v>30</v>
      </c>
      <c r="K853">
        <v>2</v>
      </c>
      <c r="L853" s="1" t="s">
        <v>31</v>
      </c>
      <c r="M853" s="1" t="s">
        <v>27</v>
      </c>
      <c r="N853" s="1" t="s">
        <v>35</v>
      </c>
      <c r="O853">
        <v>3</v>
      </c>
      <c r="P853">
        <v>1</v>
      </c>
      <c r="Q853" s="1" t="s">
        <v>93</v>
      </c>
      <c r="R853">
        <v>3</v>
      </c>
      <c r="S853" s="1" t="s">
        <v>27</v>
      </c>
      <c r="T853">
        <v>33573000</v>
      </c>
      <c r="U853" t="s">
        <v>183</v>
      </c>
      <c r="V853" s="1" t="s">
        <v>179</v>
      </c>
      <c r="W853" s="1" t="s">
        <v>180</v>
      </c>
      <c r="X853" s="1" t="str">
        <f>VLOOKUP(V853,Broker_Directory!A:C,3,FALSE)</f>
        <v>Tier B</v>
      </c>
      <c r="Y853" s="1">
        <f>HLOOKUP(X853, Commission_Rates!A$1:C$2, 2, FALSE)</f>
        <v>1.4999999999999999E-2</v>
      </c>
      <c r="Z853" s="1">
        <f t="shared" si="39"/>
        <v>0</v>
      </c>
      <c r="AA853" s="1">
        <f t="shared" si="40"/>
        <v>0</v>
      </c>
      <c r="AB853" s="1">
        <f t="shared" si="41"/>
        <v>0</v>
      </c>
    </row>
    <row r="854" spans="1:28" x14ac:dyDescent="0.3">
      <c r="A854" s="1" t="s">
        <v>53</v>
      </c>
      <c r="B854" s="1" t="s">
        <v>89</v>
      </c>
      <c r="C854">
        <v>5</v>
      </c>
      <c r="D854">
        <v>3</v>
      </c>
      <c r="E854">
        <v>4386</v>
      </c>
      <c r="F854">
        <v>7751</v>
      </c>
      <c r="G854">
        <v>1</v>
      </c>
      <c r="H854">
        <v>2025</v>
      </c>
      <c r="I854">
        <v>2025</v>
      </c>
      <c r="J854" s="1" t="s">
        <v>30</v>
      </c>
      <c r="K854">
        <v>0</v>
      </c>
      <c r="L854" s="1" t="s">
        <v>31</v>
      </c>
      <c r="M854" s="1" t="s">
        <v>24</v>
      </c>
      <c r="N854" s="1" t="s">
        <v>25</v>
      </c>
      <c r="O854">
        <v>3</v>
      </c>
      <c r="P854">
        <v>3</v>
      </c>
      <c r="Q854" s="1" t="s">
        <v>154</v>
      </c>
      <c r="R854">
        <v>0</v>
      </c>
      <c r="S854" s="1" t="s">
        <v>27</v>
      </c>
      <c r="T854">
        <v>39934000</v>
      </c>
      <c r="U854" t="s">
        <v>184</v>
      </c>
      <c r="V854" s="1" t="s">
        <v>179</v>
      </c>
      <c r="W854" s="1" t="s">
        <v>180</v>
      </c>
      <c r="X854" s="1" t="str">
        <f>VLOOKUP(V854,Broker_Directory!A:C,3,FALSE)</f>
        <v>Tier B</v>
      </c>
      <c r="Y854" s="1">
        <f>HLOOKUP(X854, Commission_Rates!A$1:C$2, 2, FALSE)</f>
        <v>1.4999999999999999E-2</v>
      </c>
      <c r="Z854" s="1">
        <f t="shared" si="39"/>
        <v>599010</v>
      </c>
      <c r="AA854" s="1">
        <f t="shared" si="40"/>
        <v>1198020</v>
      </c>
      <c r="AB854" s="1">
        <f t="shared" si="41"/>
        <v>599010</v>
      </c>
    </row>
    <row r="855" spans="1:28" x14ac:dyDescent="0.3">
      <c r="A855" s="1" t="s">
        <v>37</v>
      </c>
      <c r="B855" s="1" t="s">
        <v>72</v>
      </c>
      <c r="C855">
        <v>4</v>
      </c>
      <c r="D855">
        <v>3</v>
      </c>
      <c r="E855">
        <v>2750</v>
      </c>
      <c r="F855">
        <v>3464</v>
      </c>
      <c r="G855">
        <v>1</v>
      </c>
      <c r="H855">
        <v>1970</v>
      </c>
      <c r="I855">
        <v>2008</v>
      </c>
      <c r="J855" s="1" t="s">
        <v>22</v>
      </c>
      <c r="K855">
        <v>0</v>
      </c>
      <c r="L855" s="1" t="s">
        <v>64</v>
      </c>
      <c r="M855" s="1" t="s">
        <v>24</v>
      </c>
      <c r="N855" s="1" t="s">
        <v>46</v>
      </c>
      <c r="O855">
        <v>6</v>
      </c>
      <c r="P855">
        <v>3</v>
      </c>
      <c r="Q855" s="1" t="s">
        <v>73</v>
      </c>
      <c r="R855">
        <v>3</v>
      </c>
      <c r="S855" s="1" t="s">
        <v>27</v>
      </c>
      <c r="T855">
        <v>22380000</v>
      </c>
      <c r="U855" t="s">
        <v>184</v>
      </c>
      <c r="V855" s="1" t="s">
        <v>171</v>
      </c>
      <c r="W855" s="1" t="s">
        <v>172</v>
      </c>
      <c r="X855" s="1" t="str">
        <f>VLOOKUP(V855,Broker_Directory!A:C,3,FALSE)</f>
        <v>Tier B</v>
      </c>
      <c r="Y855" s="1">
        <f>HLOOKUP(X855, Commission_Rates!A$1:C$2, 2, FALSE)</f>
        <v>1.4999999999999999E-2</v>
      </c>
      <c r="Z855" s="1">
        <f t="shared" si="39"/>
        <v>335700</v>
      </c>
      <c r="AA855" s="1">
        <f t="shared" si="40"/>
        <v>671400</v>
      </c>
      <c r="AB855" s="1">
        <f t="shared" si="41"/>
        <v>335700</v>
      </c>
    </row>
    <row r="856" spans="1:28" x14ac:dyDescent="0.3">
      <c r="A856" s="1" t="s">
        <v>20</v>
      </c>
      <c r="B856" s="1" t="s">
        <v>69</v>
      </c>
      <c r="C856">
        <v>3</v>
      </c>
      <c r="D856">
        <v>1</v>
      </c>
      <c r="E856">
        <v>2823</v>
      </c>
      <c r="F856">
        <v>4803</v>
      </c>
      <c r="G856">
        <v>2</v>
      </c>
      <c r="H856">
        <v>2012</v>
      </c>
      <c r="I856">
        <v>2025</v>
      </c>
      <c r="J856" s="1" t="s">
        <v>22</v>
      </c>
      <c r="K856">
        <v>1</v>
      </c>
      <c r="L856" s="1" t="s">
        <v>41</v>
      </c>
      <c r="M856" s="1" t="s">
        <v>27</v>
      </c>
      <c r="N856" s="1" t="s">
        <v>25</v>
      </c>
      <c r="O856">
        <v>4</v>
      </c>
      <c r="P856">
        <v>1</v>
      </c>
      <c r="Q856" s="1" t="s">
        <v>70</v>
      </c>
      <c r="R856">
        <v>2</v>
      </c>
      <c r="S856" s="1" t="s">
        <v>24</v>
      </c>
      <c r="T856">
        <v>34251000</v>
      </c>
      <c r="U856" t="s">
        <v>182</v>
      </c>
      <c r="V856" s="1" t="s">
        <v>168</v>
      </c>
      <c r="W856" s="1" t="s">
        <v>169</v>
      </c>
      <c r="X856" s="1" t="str">
        <f>VLOOKUP(V856,Broker_Directory!A:C,3,FALSE)</f>
        <v>Tier A</v>
      </c>
      <c r="Y856" s="1">
        <f>HLOOKUP(X856, Commission_Rates!A$1:C$2, 2, FALSE)</f>
        <v>0.02</v>
      </c>
      <c r="Z856" s="1">
        <f t="shared" si="39"/>
        <v>0</v>
      </c>
      <c r="AA856" s="1">
        <f t="shared" si="40"/>
        <v>0</v>
      </c>
      <c r="AB856" s="1">
        <f t="shared" si="41"/>
        <v>0</v>
      </c>
    </row>
    <row r="857" spans="1:28" x14ac:dyDescent="0.3">
      <c r="A857" s="1" t="s">
        <v>33</v>
      </c>
      <c r="B857" s="1" t="s">
        <v>34</v>
      </c>
      <c r="C857">
        <v>5</v>
      </c>
      <c r="D857">
        <v>4</v>
      </c>
      <c r="E857">
        <v>978</v>
      </c>
      <c r="F857">
        <v>2677</v>
      </c>
      <c r="G857">
        <v>1</v>
      </c>
      <c r="H857">
        <v>1960</v>
      </c>
      <c r="I857">
        <v>1960</v>
      </c>
      <c r="J857" s="1" t="s">
        <v>52</v>
      </c>
      <c r="K857">
        <v>3</v>
      </c>
      <c r="L857" s="1" t="s">
        <v>41</v>
      </c>
      <c r="M857" s="1" t="s">
        <v>24</v>
      </c>
      <c r="N857" s="1" t="s">
        <v>35</v>
      </c>
      <c r="O857">
        <v>10</v>
      </c>
      <c r="P857">
        <v>1</v>
      </c>
      <c r="Q857" s="1" t="s">
        <v>36</v>
      </c>
      <c r="R857">
        <v>0</v>
      </c>
      <c r="S857" s="1" t="s">
        <v>27</v>
      </c>
      <c r="T857">
        <v>8728000</v>
      </c>
      <c r="U857" t="s">
        <v>184</v>
      </c>
      <c r="V857" s="1" t="s">
        <v>176</v>
      </c>
      <c r="W857" s="1" t="s">
        <v>177</v>
      </c>
      <c r="X857" s="1" t="str">
        <f>VLOOKUP(V857,Broker_Directory!A:C,3,FALSE)</f>
        <v>Tier C</v>
      </c>
      <c r="Y857" s="1">
        <f>HLOOKUP(X857, Commission_Rates!A$1:C$2, 2, FALSE)</f>
        <v>0.01</v>
      </c>
      <c r="Z857" s="1">
        <f t="shared" si="39"/>
        <v>87280</v>
      </c>
      <c r="AA857" s="1">
        <f t="shared" si="40"/>
        <v>261840</v>
      </c>
      <c r="AB857" s="1">
        <f t="shared" si="41"/>
        <v>174560</v>
      </c>
    </row>
    <row r="858" spans="1:28" x14ac:dyDescent="0.3">
      <c r="A858" s="1" t="s">
        <v>28</v>
      </c>
      <c r="B858" s="1" t="s">
        <v>60</v>
      </c>
      <c r="C858">
        <v>2</v>
      </c>
      <c r="D858">
        <v>3</v>
      </c>
      <c r="E858">
        <v>3304</v>
      </c>
      <c r="F858">
        <v>8914</v>
      </c>
      <c r="G858">
        <v>3</v>
      </c>
      <c r="H858">
        <v>1995</v>
      </c>
      <c r="I858">
        <v>1999</v>
      </c>
      <c r="J858" s="1" t="s">
        <v>58</v>
      </c>
      <c r="K858">
        <v>1</v>
      </c>
      <c r="L858" s="1" t="s">
        <v>64</v>
      </c>
      <c r="M858" s="1" t="s">
        <v>27</v>
      </c>
      <c r="N858" s="1" t="s">
        <v>25</v>
      </c>
      <c r="O858">
        <v>0</v>
      </c>
      <c r="P858">
        <v>4</v>
      </c>
      <c r="Q858" s="1" t="s">
        <v>118</v>
      </c>
      <c r="R858">
        <v>0</v>
      </c>
      <c r="S858" s="1" t="s">
        <v>24</v>
      </c>
      <c r="T858">
        <v>33415000</v>
      </c>
      <c r="U858" t="s">
        <v>182</v>
      </c>
      <c r="V858" s="1" t="s">
        <v>171</v>
      </c>
      <c r="W858" s="1" t="s">
        <v>172</v>
      </c>
      <c r="X858" s="1" t="str">
        <f>VLOOKUP(V858,Broker_Directory!A:C,3,FALSE)</f>
        <v>Tier B</v>
      </c>
      <c r="Y858" s="1">
        <f>HLOOKUP(X858, Commission_Rates!A$1:C$2, 2, FALSE)</f>
        <v>1.4999999999999999E-2</v>
      </c>
      <c r="Z858" s="1">
        <f t="shared" si="39"/>
        <v>0</v>
      </c>
      <c r="AA858" s="1">
        <f t="shared" si="40"/>
        <v>0</v>
      </c>
      <c r="AB858" s="1">
        <f t="shared" si="41"/>
        <v>0</v>
      </c>
    </row>
    <row r="859" spans="1:28" x14ac:dyDescent="0.3">
      <c r="A859" s="1" t="s">
        <v>28</v>
      </c>
      <c r="B859" s="1" t="s">
        <v>110</v>
      </c>
      <c r="C859">
        <v>4</v>
      </c>
      <c r="D859">
        <v>4</v>
      </c>
      <c r="E859">
        <v>1180</v>
      </c>
      <c r="F859">
        <v>5609</v>
      </c>
      <c r="G859">
        <v>3</v>
      </c>
      <c r="H859">
        <v>1987</v>
      </c>
      <c r="I859">
        <v>2025</v>
      </c>
      <c r="J859" s="1" t="s">
        <v>58</v>
      </c>
      <c r="K859">
        <v>2</v>
      </c>
      <c r="L859" s="1" t="s">
        <v>31</v>
      </c>
      <c r="M859" s="1" t="s">
        <v>24</v>
      </c>
      <c r="N859" s="1" t="s">
        <v>46</v>
      </c>
      <c r="O859">
        <v>9</v>
      </c>
      <c r="P859">
        <v>2</v>
      </c>
      <c r="Q859" s="1" t="s">
        <v>117</v>
      </c>
      <c r="R859">
        <v>0</v>
      </c>
      <c r="S859" s="1" t="s">
        <v>27</v>
      </c>
      <c r="T859">
        <v>12205000</v>
      </c>
      <c r="U859" t="s">
        <v>184</v>
      </c>
      <c r="V859" s="1" t="s">
        <v>174</v>
      </c>
      <c r="W859" s="1" t="s">
        <v>175</v>
      </c>
      <c r="X859" s="1" t="str">
        <f>VLOOKUP(V859,Broker_Directory!A:C,3,FALSE)</f>
        <v>Tier A</v>
      </c>
      <c r="Y859" s="1">
        <f>HLOOKUP(X859, Commission_Rates!A$1:C$2, 2, FALSE)</f>
        <v>0.02</v>
      </c>
      <c r="Z859" s="1">
        <f t="shared" si="39"/>
        <v>244100</v>
      </c>
      <c r="AA859" s="1">
        <f t="shared" si="40"/>
        <v>366150</v>
      </c>
      <c r="AB859" s="1">
        <f t="shared" si="41"/>
        <v>122050</v>
      </c>
    </row>
    <row r="860" spans="1:28" x14ac:dyDescent="0.3">
      <c r="A860" s="1" t="s">
        <v>33</v>
      </c>
      <c r="B860" s="1" t="s">
        <v>75</v>
      </c>
      <c r="C860">
        <v>3</v>
      </c>
      <c r="D860">
        <v>1</v>
      </c>
      <c r="E860">
        <v>3522</v>
      </c>
      <c r="F860">
        <v>6346</v>
      </c>
      <c r="G860">
        <v>3</v>
      </c>
      <c r="H860">
        <v>1970</v>
      </c>
      <c r="I860">
        <v>2013</v>
      </c>
      <c r="J860" s="1" t="s">
        <v>22</v>
      </c>
      <c r="K860">
        <v>3</v>
      </c>
      <c r="L860" s="1" t="s">
        <v>64</v>
      </c>
      <c r="M860" s="1" t="s">
        <v>27</v>
      </c>
      <c r="N860" s="1" t="s">
        <v>46</v>
      </c>
      <c r="O860">
        <v>10</v>
      </c>
      <c r="P860">
        <v>5</v>
      </c>
      <c r="Q860" s="1" t="s">
        <v>140</v>
      </c>
      <c r="R860">
        <v>3</v>
      </c>
      <c r="S860" s="1" t="s">
        <v>24</v>
      </c>
      <c r="T860">
        <v>30272000</v>
      </c>
      <c r="U860" t="s">
        <v>182</v>
      </c>
      <c r="V860" s="1" t="s">
        <v>176</v>
      </c>
      <c r="W860" s="1" t="s">
        <v>177</v>
      </c>
      <c r="X860" s="1" t="str">
        <f>VLOOKUP(V860,Broker_Directory!A:C,3,FALSE)</f>
        <v>Tier C</v>
      </c>
      <c r="Y860" s="1">
        <f>HLOOKUP(X860, Commission_Rates!A$1:C$2, 2, FALSE)</f>
        <v>0.01</v>
      </c>
      <c r="Z860" s="1">
        <f t="shared" si="39"/>
        <v>0</v>
      </c>
      <c r="AA860" s="1">
        <f t="shared" si="40"/>
        <v>0</v>
      </c>
      <c r="AB860" s="1">
        <f t="shared" si="41"/>
        <v>0</v>
      </c>
    </row>
    <row r="861" spans="1:28" x14ac:dyDescent="0.3">
      <c r="A861" s="1" t="s">
        <v>53</v>
      </c>
      <c r="B861" s="1" t="s">
        <v>89</v>
      </c>
      <c r="C861">
        <v>2</v>
      </c>
      <c r="D861">
        <v>2</v>
      </c>
      <c r="E861">
        <v>4078</v>
      </c>
      <c r="F861">
        <v>5346</v>
      </c>
      <c r="G861">
        <v>3</v>
      </c>
      <c r="H861">
        <v>1969</v>
      </c>
      <c r="I861">
        <v>1970</v>
      </c>
      <c r="J861" s="1" t="s">
        <v>58</v>
      </c>
      <c r="K861">
        <v>0</v>
      </c>
      <c r="L861" s="1" t="s">
        <v>23</v>
      </c>
      <c r="M861" s="1" t="s">
        <v>24</v>
      </c>
      <c r="N861" s="1" t="s">
        <v>25</v>
      </c>
      <c r="O861">
        <v>7</v>
      </c>
      <c r="P861">
        <v>1</v>
      </c>
      <c r="Q861" s="1" t="s">
        <v>154</v>
      </c>
      <c r="R861">
        <v>0</v>
      </c>
      <c r="S861" s="1" t="s">
        <v>27</v>
      </c>
      <c r="T861">
        <v>37022000</v>
      </c>
      <c r="U861" t="s">
        <v>182</v>
      </c>
      <c r="V861" s="1" t="s">
        <v>179</v>
      </c>
      <c r="W861" s="1" t="s">
        <v>180</v>
      </c>
      <c r="X861" s="1" t="str">
        <f>VLOOKUP(V861,Broker_Directory!A:C,3,FALSE)</f>
        <v>Tier B</v>
      </c>
      <c r="Y861" s="1">
        <f>HLOOKUP(X861, Commission_Rates!A$1:C$2, 2, FALSE)</f>
        <v>1.4999999999999999E-2</v>
      </c>
      <c r="Z861" s="1">
        <f t="shared" si="39"/>
        <v>0</v>
      </c>
      <c r="AA861" s="1">
        <f t="shared" si="40"/>
        <v>0</v>
      </c>
      <c r="AB861" s="1">
        <f t="shared" si="41"/>
        <v>0</v>
      </c>
    </row>
    <row r="862" spans="1:28" x14ac:dyDescent="0.3">
      <c r="A862" s="1" t="s">
        <v>53</v>
      </c>
      <c r="B862" s="1" t="s">
        <v>89</v>
      </c>
      <c r="C862">
        <v>5</v>
      </c>
      <c r="D862">
        <v>2</v>
      </c>
      <c r="E862">
        <v>4245</v>
      </c>
      <c r="F862">
        <v>7861</v>
      </c>
      <c r="G862">
        <v>2</v>
      </c>
      <c r="H862">
        <v>1965</v>
      </c>
      <c r="I862">
        <v>2023</v>
      </c>
      <c r="J862" s="1" t="s">
        <v>30</v>
      </c>
      <c r="K862">
        <v>1</v>
      </c>
      <c r="L862" s="1" t="s">
        <v>41</v>
      </c>
      <c r="M862" s="1" t="s">
        <v>24</v>
      </c>
      <c r="N862" s="1" t="s">
        <v>46</v>
      </c>
      <c r="O862">
        <v>2</v>
      </c>
      <c r="P862">
        <v>3</v>
      </c>
      <c r="Q862" s="1" t="s">
        <v>154</v>
      </c>
      <c r="R862">
        <v>2</v>
      </c>
      <c r="S862" s="1" t="s">
        <v>24</v>
      </c>
      <c r="T862">
        <v>38660000</v>
      </c>
      <c r="U862" t="s">
        <v>183</v>
      </c>
      <c r="V862" s="1" t="s">
        <v>176</v>
      </c>
      <c r="W862" s="1" t="s">
        <v>177</v>
      </c>
      <c r="X862" s="1" t="str">
        <f>VLOOKUP(V862,Broker_Directory!A:C,3,FALSE)</f>
        <v>Tier C</v>
      </c>
      <c r="Y862" s="1">
        <f>HLOOKUP(X862, Commission_Rates!A$1:C$2, 2, FALSE)</f>
        <v>0.01</v>
      </c>
      <c r="Z862" s="1">
        <f t="shared" si="39"/>
        <v>0</v>
      </c>
      <c r="AA862" s="1">
        <f t="shared" si="40"/>
        <v>0</v>
      </c>
      <c r="AB862" s="1">
        <f t="shared" si="41"/>
        <v>0</v>
      </c>
    </row>
    <row r="863" spans="1:28" x14ac:dyDescent="0.3">
      <c r="A863" s="1" t="s">
        <v>20</v>
      </c>
      <c r="B863" s="1" t="s">
        <v>21</v>
      </c>
      <c r="C863">
        <v>3</v>
      </c>
      <c r="D863">
        <v>4</v>
      </c>
      <c r="E863">
        <v>1828</v>
      </c>
      <c r="F863">
        <v>8534</v>
      </c>
      <c r="G863">
        <v>2</v>
      </c>
      <c r="H863">
        <v>2009</v>
      </c>
      <c r="I863">
        <v>2020</v>
      </c>
      <c r="J863" s="1" t="s">
        <v>30</v>
      </c>
      <c r="K863">
        <v>3</v>
      </c>
      <c r="L863" s="1" t="s">
        <v>31</v>
      </c>
      <c r="M863" s="1" t="s">
        <v>27</v>
      </c>
      <c r="N863" s="1" t="s">
        <v>35</v>
      </c>
      <c r="O863">
        <v>6</v>
      </c>
      <c r="P863">
        <v>5</v>
      </c>
      <c r="Q863" s="1" t="s">
        <v>114</v>
      </c>
      <c r="R863">
        <v>1</v>
      </c>
      <c r="S863" s="1" t="s">
        <v>24</v>
      </c>
      <c r="T863">
        <v>22311000</v>
      </c>
      <c r="U863" t="s">
        <v>184</v>
      </c>
      <c r="V863" s="1" t="s">
        <v>176</v>
      </c>
      <c r="W863" s="1" t="s">
        <v>177</v>
      </c>
      <c r="X863" s="1" t="str">
        <f>VLOOKUP(V863,Broker_Directory!A:C,3,FALSE)</f>
        <v>Tier C</v>
      </c>
      <c r="Y863" s="1">
        <f>HLOOKUP(X863, Commission_Rates!A$1:C$2, 2, FALSE)</f>
        <v>0.01</v>
      </c>
      <c r="Z863" s="1">
        <f t="shared" si="39"/>
        <v>223110</v>
      </c>
      <c r="AA863" s="1">
        <f t="shared" si="40"/>
        <v>669330</v>
      </c>
      <c r="AB863" s="1">
        <f t="shared" si="41"/>
        <v>446220</v>
      </c>
    </row>
    <row r="864" spans="1:28" x14ac:dyDescent="0.3">
      <c r="A864" s="1" t="s">
        <v>28</v>
      </c>
      <c r="B864" s="1" t="s">
        <v>79</v>
      </c>
      <c r="C864">
        <v>4</v>
      </c>
      <c r="D864">
        <v>1</v>
      </c>
      <c r="E864">
        <v>4288</v>
      </c>
      <c r="F864">
        <v>7078</v>
      </c>
      <c r="G864">
        <v>1</v>
      </c>
      <c r="H864">
        <v>1955</v>
      </c>
      <c r="I864">
        <v>1971</v>
      </c>
      <c r="J864" s="1" t="s">
        <v>52</v>
      </c>
      <c r="K864">
        <v>3</v>
      </c>
      <c r="L864" s="1" t="s">
        <v>64</v>
      </c>
      <c r="M864" s="1" t="s">
        <v>24</v>
      </c>
      <c r="N864" s="1" t="s">
        <v>35</v>
      </c>
      <c r="O864">
        <v>2</v>
      </c>
      <c r="P864">
        <v>3</v>
      </c>
      <c r="Q864" s="1" t="s">
        <v>80</v>
      </c>
      <c r="R864">
        <v>0</v>
      </c>
      <c r="S864" s="1" t="s">
        <v>27</v>
      </c>
      <c r="T864">
        <v>43155000</v>
      </c>
      <c r="U864" t="s">
        <v>184</v>
      </c>
      <c r="V864" s="1" t="s">
        <v>179</v>
      </c>
      <c r="W864" s="1" t="s">
        <v>180</v>
      </c>
      <c r="X864" s="1" t="str">
        <f>VLOOKUP(V864,Broker_Directory!A:C,3,FALSE)</f>
        <v>Tier B</v>
      </c>
      <c r="Y864" s="1">
        <f>HLOOKUP(X864, Commission_Rates!A$1:C$2, 2, FALSE)</f>
        <v>1.4999999999999999E-2</v>
      </c>
      <c r="Z864" s="1">
        <f t="shared" si="39"/>
        <v>647325</v>
      </c>
      <c r="AA864" s="1">
        <f t="shared" si="40"/>
        <v>1294650</v>
      </c>
      <c r="AB864" s="1">
        <f t="shared" si="41"/>
        <v>647325</v>
      </c>
    </row>
    <row r="865" spans="1:28" x14ac:dyDescent="0.3">
      <c r="A865" s="1" t="s">
        <v>53</v>
      </c>
      <c r="B865" s="1" t="s">
        <v>100</v>
      </c>
      <c r="C865">
        <v>3</v>
      </c>
      <c r="D865">
        <v>3</v>
      </c>
      <c r="E865">
        <v>322</v>
      </c>
      <c r="F865">
        <v>2085</v>
      </c>
      <c r="G865">
        <v>2</v>
      </c>
      <c r="H865">
        <v>2014</v>
      </c>
      <c r="I865">
        <v>2016</v>
      </c>
      <c r="J865" s="1" t="s">
        <v>52</v>
      </c>
      <c r="K865">
        <v>1</v>
      </c>
      <c r="L865" s="1" t="s">
        <v>64</v>
      </c>
      <c r="M865" s="1" t="s">
        <v>27</v>
      </c>
      <c r="N865" s="1" t="s">
        <v>35</v>
      </c>
      <c r="O865">
        <v>6</v>
      </c>
      <c r="P865">
        <v>4</v>
      </c>
      <c r="Q865" s="1" t="s">
        <v>101</v>
      </c>
      <c r="R865">
        <v>3</v>
      </c>
      <c r="S865" s="1" t="s">
        <v>24</v>
      </c>
      <c r="T865">
        <v>3273000</v>
      </c>
      <c r="U865" t="s">
        <v>184</v>
      </c>
      <c r="V865" s="1" t="s">
        <v>174</v>
      </c>
      <c r="W865" s="1" t="s">
        <v>175</v>
      </c>
      <c r="X865" s="1" t="str">
        <f>VLOOKUP(V865,Broker_Directory!A:C,3,FALSE)</f>
        <v>Tier A</v>
      </c>
      <c r="Y865" s="1">
        <f>HLOOKUP(X865, Commission_Rates!A$1:C$2, 2, FALSE)</f>
        <v>0.02</v>
      </c>
      <c r="Z865" s="1">
        <f t="shared" si="39"/>
        <v>65460</v>
      </c>
      <c r="AA865" s="1">
        <f t="shared" si="40"/>
        <v>98190</v>
      </c>
      <c r="AB865" s="1">
        <f t="shared" si="41"/>
        <v>32730</v>
      </c>
    </row>
    <row r="866" spans="1:28" x14ac:dyDescent="0.3">
      <c r="A866" s="1" t="s">
        <v>37</v>
      </c>
      <c r="B866" s="1" t="s">
        <v>45</v>
      </c>
      <c r="C866">
        <v>5</v>
      </c>
      <c r="D866">
        <v>3</v>
      </c>
      <c r="E866">
        <v>4713</v>
      </c>
      <c r="F866">
        <v>8502</v>
      </c>
      <c r="G866">
        <v>1</v>
      </c>
      <c r="H866">
        <v>1986</v>
      </c>
      <c r="I866">
        <v>2006</v>
      </c>
      <c r="J866" s="1" t="s">
        <v>58</v>
      </c>
      <c r="K866">
        <v>3</v>
      </c>
      <c r="L866" s="1" t="s">
        <v>23</v>
      </c>
      <c r="M866" s="1" t="s">
        <v>27</v>
      </c>
      <c r="N866" s="1" t="s">
        <v>46</v>
      </c>
      <c r="O866">
        <v>7</v>
      </c>
      <c r="P866">
        <v>4</v>
      </c>
      <c r="Q866" s="1" t="s">
        <v>124</v>
      </c>
      <c r="R866">
        <v>2</v>
      </c>
      <c r="S866" s="1" t="s">
        <v>24</v>
      </c>
      <c r="T866">
        <v>38144000</v>
      </c>
      <c r="U866" t="s">
        <v>183</v>
      </c>
      <c r="V866" s="1" t="s">
        <v>174</v>
      </c>
      <c r="W866" s="1" t="s">
        <v>175</v>
      </c>
      <c r="X866" s="1" t="str">
        <f>VLOOKUP(V866,Broker_Directory!A:C,3,FALSE)</f>
        <v>Tier A</v>
      </c>
      <c r="Y866" s="1">
        <f>HLOOKUP(X866, Commission_Rates!A$1:C$2, 2, FALSE)</f>
        <v>0.02</v>
      </c>
      <c r="Z866" s="1">
        <f t="shared" si="39"/>
        <v>0</v>
      </c>
      <c r="AA866" s="1">
        <f t="shared" si="40"/>
        <v>0</v>
      </c>
      <c r="AB866" s="1">
        <f t="shared" si="41"/>
        <v>0</v>
      </c>
    </row>
    <row r="867" spans="1:28" x14ac:dyDescent="0.3">
      <c r="A867" s="1" t="s">
        <v>37</v>
      </c>
      <c r="B867" s="1" t="s">
        <v>38</v>
      </c>
      <c r="C867">
        <v>3</v>
      </c>
      <c r="D867">
        <v>1</v>
      </c>
      <c r="E867">
        <v>2179</v>
      </c>
      <c r="F867">
        <v>7704</v>
      </c>
      <c r="G867">
        <v>3</v>
      </c>
      <c r="H867">
        <v>1982</v>
      </c>
      <c r="I867">
        <v>2006</v>
      </c>
      <c r="J867" s="1" t="s">
        <v>30</v>
      </c>
      <c r="K867">
        <v>0</v>
      </c>
      <c r="L867" s="1" t="s">
        <v>31</v>
      </c>
      <c r="M867" s="1" t="s">
        <v>24</v>
      </c>
      <c r="N867" s="1" t="s">
        <v>25</v>
      </c>
      <c r="O867">
        <v>7</v>
      </c>
      <c r="P867">
        <v>1</v>
      </c>
      <c r="Q867" s="1" t="s">
        <v>78</v>
      </c>
      <c r="R867">
        <v>0</v>
      </c>
      <c r="S867" s="1" t="s">
        <v>27</v>
      </c>
      <c r="T867">
        <v>17772000</v>
      </c>
      <c r="U867" t="s">
        <v>182</v>
      </c>
      <c r="V867" s="1" t="s">
        <v>179</v>
      </c>
      <c r="W867" s="1" t="s">
        <v>180</v>
      </c>
      <c r="X867" s="1" t="str">
        <f>VLOOKUP(V867,Broker_Directory!A:C,3,FALSE)</f>
        <v>Tier B</v>
      </c>
      <c r="Y867" s="1">
        <f>HLOOKUP(X867, Commission_Rates!A$1:C$2, 2, FALSE)</f>
        <v>1.4999999999999999E-2</v>
      </c>
      <c r="Z867" s="1">
        <f t="shared" si="39"/>
        <v>0</v>
      </c>
      <c r="AA867" s="1">
        <f t="shared" si="40"/>
        <v>0</v>
      </c>
      <c r="AB867" s="1">
        <f t="shared" si="41"/>
        <v>0</v>
      </c>
    </row>
    <row r="868" spans="1:28" x14ac:dyDescent="0.3">
      <c r="A868" s="1" t="s">
        <v>20</v>
      </c>
      <c r="B868" s="1" t="s">
        <v>21</v>
      </c>
      <c r="C868">
        <v>3</v>
      </c>
      <c r="D868">
        <v>4</v>
      </c>
      <c r="E868">
        <v>433</v>
      </c>
      <c r="F868">
        <v>8703</v>
      </c>
      <c r="G868">
        <v>3</v>
      </c>
      <c r="H868">
        <v>1989</v>
      </c>
      <c r="I868">
        <v>1991</v>
      </c>
      <c r="J868" s="1" t="s">
        <v>22</v>
      </c>
      <c r="K868">
        <v>1</v>
      </c>
      <c r="L868" s="1" t="s">
        <v>64</v>
      </c>
      <c r="M868" s="1" t="s">
        <v>24</v>
      </c>
      <c r="N868" s="1" t="s">
        <v>25</v>
      </c>
      <c r="O868">
        <v>6</v>
      </c>
      <c r="P868">
        <v>4</v>
      </c>
      <c r="Q868" s="1" t="s">
        <v>114</v>
      </c>
      <c r="R868">
        <v>1</v>
      </c>
      <c r="S868" s="1" t="s">
        <v>24</v>
      </c>
      <c r="T868">
        <v>5691000</v>
      </c>
      <c r="U868" t="s">
        <v>183</v>
      </c>
      <c r="V868" s="1" t="s">
        <v>179</v>
      </c>
      <c r="W868" s="1" t="s">
        <v>180</v>
      </c>
      <c r="X868" s="1" t="str">
        <f>VLOOKUP(V868,Broker_Directory!A:C,3,FALSE)</f>
        <v>Tier B</v>
      </c>
      <c r="Y868" s="1">
        <f>HLOOKUP(X868, Commission_Rates!A$1:C$2, 2, FALSE)</f>
        <v>1.4999999999999999E-2</v>
      </c>
      <c r="Z868" s="1">
        <f t="shared" si="39"/>
        <v>0</v>
      </c>
      <c r="AA868" s="1">
        <f t="shared" si="40"/>
        <v>0</v>
      </c>
      <c r="AB868" s="1">
        <f t="shared" si="41"/>
        <v>0</v>
      </c>
    </row>
    <row r="869" spans="1:28" x14ac:dyDescent="0.3">
      <c r="A869" s="1" t="s">
        <v>20</v>
      </c>
      <c r="B869" s="1" t="s">
        <v>50</v>
      </c>
      <c r="C869">
        <v>1</v>
      </c>
      <c r="D869">
        <v>3</v>
      </c>
      <c r="E869">
        <v>2311</v>
      </c>
      <c r="F869">
        <v>6292</v>
      </c>
      <c r="G869">
        <v>1</v>
      </c>
      <c r="H869">
        <v>1962</v>
      </c>
      <c r="I869">
        <v>1977</v>
      </c>
      <c r="J869" s="1" t="s">
        <v>30</v>
      </c>
      <c r="K869">
        <v>1</v>
      </c>
      <c r="L869" s="1" t="s">
        <v>64</v>
      </c>
      <c r="M869" s="1" t="s">
        <v>27</v>
      </c>
      <c r="N869" s="1" t="s">
        <v>46</v>
      </c>
      <c r="O869">
        <v>2</v>
      </c>
      <c r="P869">
        <v>3</v>
      </c>
      <c r="Q869" s="1" t="s">
        <v>112</v>
      </c>
      <c r="R869">
        <v>1</v>
      </c>
      <c r="S869" s="1" t="s">
        <v>27</v>
      </c>
      <c r="T869">
        <v>27907000</v>
      </c>
      <c r="U869" t="s">
        <v>183</v>
      </c>
      <c r="V869" s="1" t="s">
        <v>174</v>
      </c>
      <c r="W869" s="1" t="s">
        <v>175</v>
      </c>
      <c r="X869" s="1" t="str">
        <f>VLOOKUP(V869,Broker_Directory!A:C,3,FALSE)</f>
        <v>Tier A</v>
      </c>
      <c r="Y869" s="1">
        <f>HLOOKUP(X869, Commission_Rates!A$1:C$2, 2, FALSE)</f>
        <v>0.02</v>
      </c>
      <c r="Z869" s="1">
        <f t="shared" si="39"/>
        <v>0</v>
      </c>
      <c r="AA869" s="1">
        <f t="shared" si="40"/>
        <v>0</v>
      </c>
      <c r="AB869" s="1">
        <f t="shared" si="41"/>
        <v>0</v>
      </c>
    </row>
    <row r="870" spans="1:28" x14ac:dyDescent="0.3">
      <c r="A870" s="1" t="s">
        <v>20</v>
      </c>
      <c r="B870" s="1" t="s">
        <v>69</v>
      </c>
      <c r="C870">
        <v>3</v>
      </c>
      <c r="D870">
        <v>1</v>
      </c>
      <c r="E870">
        <v>924</v>
      </c>
      <c r="F870">
        <v>3522</v>
      </c>
      <c r="G870">
        <v>1</v>
      </c>
      <c r="H870">
        <v>1950</v>
      </c>
      <c r="I870">
        <v>1979</v>
      </c>
      <c r="J870" s="1" t="s">
        <v>58</v>
      </c>
      <c r="K870">
        <v>2</v>
      </c>
      <c r="L870" s="1" t="s">
        <v>31</v>
      </c>
      <c r="M870" s="1" t="s">
        <v>24</v>
      </c>
      <c r="N870" s="1" t="s">
        <v>46</v>
      </c>
      <c r="O870">
        <v>5</v>
      </c>
      <c r="P870">
        <v>0</v>
      </c>
      <c r="Q870" s="1" t="s">
        <v>120</v>
      </c>
      <c r="R870">
        <v>0</v>
      </c>
      <c r="S870" s="1" t="s">
        <v>27</v>
      </c>
      <c r="T870">
        <v>11313000</v>
      </c>
      <c r="U870" t="s">
        <v>184</v>
      </c>
      <c r="V870" s="1" t="s">
        <v>179</v>
      </c>
      <c r="W870" s="1" t="s">
        <v>180</v>
      </c>
      <c r="X870" s="1" t="str">
        <f>VLOOKUP(V870,Broker_Directory!A:C,3,FALSE)</f>
        <v>Tier B</v>
      </c>
      <c r="Y870" s="1">
        <f>HLOOKUP(X870, Commission_Rates!A$1:C$2, 2, FALSE)</f>
        <v>1.4999999999999999E-2</v>
      </c>
      <c r="Z870" s="1">
        <f t="shared" si="39"/>
        <v>169695</v>
      </c>
      <c r="AA870" s="1">
        <f t="shared" si="40"/>
        <v>339390</v>
      </c>
      <c r="AB870" s="1">
        <f t="shared" si="41"/>
        <v>169695</v>
      </c>
    </row>
    <row r="871" spans="1:28" x14ac:dyDescent="0.3">
      <c r="A871" s="1" t="s">
        <v>33</v>
      </c>
      <c r="B871" s="1" t="s">
        <v>34</v>
      </c>
      <c r="C871">
        <v>1</v>
      </c>
      <c r="D871">
        <v>3</v>
      </c>
      <c r="E871">
        <v>1053</v>
      </c>
      <c r="F871">
        <v>6890</v>
      </c>
      <c r="G871">
        <v>1</v>
      </c>
      <c r="H871">
        <v>1999</v>
      </c>
      <c r="I871">
        <v>2023</v>
      </c>
      <c r="J871" s="1" t="s">
        <v>52</v>
      </c>
      <c r="K871">
        <v>2</v>
      </c>
      <c r="L871" s="1" t="s">
        <v>23</v>
      </c>
      <c r="M871" s="1" t="s">
        <v>24</v>
      </c>
      <c r="N871" s="1" t="s">
        <v>25</v>
      </c>
      <c r="O871">
        <v>2</v>
      </c>
      <c r="P871">
        <v>1</v>
      </c>
      <c r="Q871" s="1" t="s">
        <v>147</v>
      </c>
      <c r="R871">
        <v>1</v>
      </c>
      <c r="S871" s="1" t="s">
        <v>24</v>
      </c>
      <c r="T871">
        <v>9275500</v>
      </c>
      <c r="U871" t="s">
        <v>183</v>
      </c>
      <c r="V871" s="1" t="s">
        <v>171</v>
      </c>
      <c r="W871" s="1" t="s">
        <v>172</v>
      </c>
      <c r="X871" s="1" t="str">
        <f>VLOOKUP(V871,Broker_Directory!A:C,3,FALSE)</f>
        <v>Tier B</v>
      </c>
      <c r="Y871" s="1">
        <f>HLOOKUP(X871, Commission_Rates!A$1:C$2, 2, FALSE)</f>
        <v>1.4999999999999999E-2</v>
      </c>
      <c r="Z871" s="1">
        <f t="shared" si="39"/>
        <v>0</v>
      </c>
      <c r="AA871" s="1">
        <f t="shared" si="40"/>
        <v>0</v>
      </c>
      <c r="AB871" s="1">
        <f t="shared" si="41"/>
        <v>0</v>
      </c>
    </row>
    <row r="872" spans="1:28" x14ac:dyDescent="0.3">
      <c r="A872" s="1" t="s">
        <v>37</v>
      </c>
      <c r="B872" s="1" t="s">
        <v>38</v>
      </c>
      <c r="C872">
        <v>1</v>
      </c>
      <c r="D872">
        <v>3</v>
      </c>
      <c r="E872">
        <v>3488</v>
      </c>
      <c r="F872">
        <v>9737</v>
      </c>
      <c r="G872">
        <v>2</v>
      </c>
      <c r="H872">
        <v>1963</v>
      </c>
      <c r="I872">
        <v>2013</v>
      </c>
      <c r="J872" s="1" t="s">
        <v>52</v>
      </c>
      <c r="K872">
        <v>1</v>
      </c>
      <c r="L872" s="1" t="s">
        <v>31</v>
      </c>
      <c r="M872" s="1" t="s">
        <v>27</v>
      </c>
      <c r="N872" s="1" t="s">
        <v>35</v>
      </c>
      <c r="O872">
        <v>1</v>
      </c>
      <c r="P872">
        <v>5</v>
      </c>
      <c r="Q872" s="1" t="s">
        <v>86</v>
      </c>
      <c r="R872">
        <v>3</v>
      </c>
      <c r="S872" s="1" t="s">
        <v>27</v>
      </c>
      <c r="T872">
        <v>28129000</v>
      </c>
      <c r="U872" t="s">
        <v>182</v>
      </c>
      <c r="V872" s="1" t="s">
        <v>176</v>
      </c>
      <c r="W872" s="1" t="s">
        <v>177</v>
      </c>
      <c r="X872" s="1" t="str">
        <f>VLOOKUP(V872,Broker_Directory!A:C,3,FALSE)</f>
        <v>Tier C</v>
      </c>
      <c r="Y872" s="1">
        <f>HLOOKUP(X872, Commission_Rates!A$1:C$2, 2, FALSE)</f>
        <v>0.01</v>
      </c>
      <c r="Z872" s="1">
        <f t="shared" si="39"/>
        <v>0</v>
      </c>
      <c r="AA872" s="1">
        <f t="shared" si="40"/>
        <v>0</v>
      </c>
      <c r="AB872" s="1">
        <f t="shared" si="41"/>
        <v>0</v>
      </c>
    </row>
    <row r="873" spans="1:28" x14ac:dyDescent="0.3">
      <c r="A873" s="1" t="s">
        <v>37</v>
      </c>
      <c r="B873" s="1" t="s">
        <v>38</v>
      </c>
      <c r="C873">
        <v>3</v>
      </c>
      <c r="D873">
        <v>2</v>
      </c>
      <c r="E873">
        <v>643</v>
      </c>
      <c r="F873">
        <v>1289</v>
      </c>
      <c r="G873">
        <v>2</v>
      </c>
      <c r="H873">
        <v>1974</v>
      </c>
      <c r="I873">
        <v>0</v>
      </c>
      <c r="J873" s="1" t="s">
        <v>30</v>
      </c>
      <c r="K873">
        <v>0</v>
      </c>
      <c r="L873" s="1" t="s">
        <v>64</v>
      </c>
      <c r="M873" s="1" t="s">
        <v>27</v>
      </c>
      <c r="N873" s="1" t="s">
        <v>46</v>
      </c>
      <c r="O873">
        <v>0</v>
      </c>
      <c r="P873">
        <v>2</v>
      </c>
      <c r="Q873" s="1" t="s">
        <v>78</v>
      </c>
      <c r="R873">
        <v>0</v>
      </c>
      <c r="S873" s="1" t="s">
        <v>24</v>
      </c>
      <c r="T873">
        <v>5444000</v>
      </c>
      <c r="U873" t="s">
        <v>182</v>
      </c>
      <c r="V873" s="1" t="s">
        <v>168</v>
      </c>
      <c r="W873" s="1" t="s">
        <v>169</v>
      </c>
      <c r="X873" s="1" t="str">
        <f>VLOOKUP(V873,Broker_Directory!A:C,3,FALSE)</f>
        <v>Tier A</v>
      </c>
      <c r="Y873" s="1">
        <f>HLOOKUP(X873, Commission_Rates!A$1:C$2, 2, FALSE)</f>
        <v>0.02</v>
      </c>
      <c r="Z873" s="1">
        <f t="shared" si="39"/>
        <v>0</v>
      </c>
      <c r="AA873" s="1">
        <f t="shared" si="40"/>
        <v>0</v>
      </c>
      <c r="AB873" s="1">
        <f t="shared" si="41"/>
        <v>0</v>
      </c>
    </row>
    <row r="874" spans="1:28" x14ac:dyDescent="0.3">
      <c r="A874" s="1" t="s">
        <v>20</v>
      </c>
      <c r="B874" s="1" t="s">
        <v>133</v>
      </c>
      <c r="C874">
        <v>5</v>
      </c>
      <c r="D874">
        <v>1</v>
      </c>
      <c r="E874">
        <v>1412</v>
      </c>
      <c r="F874">
        <v>9218</v>
      </c>
      <c r="G874">
        <v>2</v>
      </c>
      <c r="H874">
        <v>2020</v>
      </c>
      <c r="I874">
        <v>2023</v>
      </c>
      <c r="J874" s="1" t="s">
        <v>30</v>
      </c>
      <c r="K874">
        <v>0</v>
      </c>
      <c r="L874" s="1" t="s">
        <v>23</v>
      </c>
      <c r="M874" s="1" t="s">
        <v>27</v>
      </c>
      <c r="N874" s="1" t="s">
        <v>25</v>
      </c>
      <c r="O874">
        <v>4</v>
      </c>
      <c r="P874">
        <v>4</v>
      </c>
      <c r="Q874" s="1" t="s">
        <v>158</v>
      </c>
      <c r="R874">
        <v>2</v>
      </c>
      <c r="S874" s="1" t="s">
        <v>24</v>
      </c>
      <c r="T874">
        <v>17419000</v>
      </c>
      <c r="U874" t="s">
        <v>183</v>
      </c>
      <c r="V874" s="1" t="s">
        <v>176</v>
      </c>
      <c r="W874" s="1" t="s">
        <v>177</v>
      </c>
      <c r="X874" s="1" t="str">
        <f>VLOOKUP(V874,Broker_Directory!A:C,3,FALSE)</f>
        <v>Tier C</v>
      </c>
      <c r="Y874" s="1">
        <f>HLOOKUP(X874, Commission_Rates!A$1:C$2, 2, FALSE)</f>
        <v>0.01</v>
      </c>
      <c r="Z874" s="1">
        <f t="shared" si="39"/>
        <v>0</v>
      </c>
      <c r="AA874" s="1">
        <f t="shared" si="40"/>
        <v>0</v>
      </c>
      <c r="AB874" s="1">
        <f t="shared" si="41"/>
        <v>0</v>
      </c>
    </row>
    <row r="875" spans="1:28" x14ac:dyDescent="0.3">
      <c r="A875" s="1" t="s">
        <v>20</v>
      </c>
      <c r="B875" s="1" t="s">
        <v>21</v>
      </c>
      <c r="C875">
        <v>3</v>
      </c>
      <c r="D875">
        <v>2</v>
      </c>
      <c r="E875">
        <v>2415</v>
      </c>
      <c r="F875">
        <v>9147</v>
      </c>
      <c r="G875">
        <v>2</v>
      </c>
      <c r="H875">
        <v>1969</v>
      </c>
      <c r="I875">
        <v>1985</v>
      </c>
      <c r="J875" s="1" t="s">
        <v>30</v>
      </c>
      <c r="K875">
        <v>3</v>
      </c>
      <c r="L875" s="1" t="s">
        <v>23</v>
      </c>
      <c r="M875" s="1" t="s">
        <v>27</v>
      </c>
      <c r="N875" s="1" t="s">
        <v>25</v>
      </c>
      <c r="O875">
        <v>7</v>
      </c>
      <c r="P875">
        <v>2</v>
      </c>
      <c r="Q875" s="1" t="s">
        <v>114</v>
      </c>
      <c r="R875">
        <v>3</v>
      </c>
      <c r="S875" s="1" t="s">
        <v>24</v>
      </c>
      <c r="T875">
        <v>29400000</v>
      </c>
      <c r="U875" t="s">
        <v>184</v>
      </c>
      <c r="V875" s="1" t="s">
        <v>179</v>
      </c>
      <c r="W875" s="1" t="s">
        <v>180</v>
      </c>
      <c r="X875" s="1" t="str">
        <f>VLOOKUP(V875,Broker_Directory!A:C,3,FALSE)</f>
        <v>Tier B</v>
      </c>
      <c r="Y875" s="1">
        <f>HLOOKUP(X875, Commission_Rates!A$1:C$2, 2, FALSE)</f>
        <v>1.4999999999999999E-2</v>
      </c>
      <c r="Z875" s="1">
        <f t="shared" si="39"/>
        <v>441000</v>
      </c>
      <c r="AA875" s="1">
        <f t="shared" si="40"/>
        <v>882000</v>
      </c>
      <c r="AB875" s="1">
        <f t="shared" si="41"/>
        <v>441000</v>
      </c>
    </row>
    <row r="876" spans="1:28" x14ac:dyDescent="0.3">
      <c r="A876" s="1" t="s">
        <v>20</v>
      </c>
      <c r="B876" s="1" t="s">
        <v>69</v>
      </c>
      <c r="C876">
        <v>3</v>
      </c>
      <c r="D876">
        <v>2</v>
      </c>
      <c r="E876">
        <v>1062</v>
      </c>
      <c r="F876">
        <v>3363</v>
      </c>
      <c r="G876">
        <v>3</v>
      </c>
      <c r="H876">
        <v>1962</v>
      </c>
      <c r="I876">
        <v>2007</v>
      </c>
      <c r="J876" s="1" t="s">
        <v>58</v>
      </c>
      <c r="K876">
        <v>0</v>
      </c>
      <c r="L876" s="1" t="s">
        <v>64</v>
      </c>
      <c r="M876" s="1" t="s">
        <v>27</v>
      </c>
      <c r="N876" s="1" t="s">
        <v>46</v>
      </c>
      <c r="O876">
        <v>1</v>
      </c>
      <c r="P876">
        <v>1</v>
      </c>
      <c r="Q876" s="1" t="s">
        <v>70</v>
      </c>
      <c r="R876">
        <v>0</v>
      </c>
      <c r="S876" s="1" t="s">
        <v>24</v>
      </c>
      <c r="T876">
        <v>13064000</v>
      </c>
      <c r="U876" t="s">
        <v>183</v>
      </c>
      <c r="V876" s="1" t="s">
        <v>168</v>
      </c>
      <c r="W876" s="1" t="s">
        <v>169</v>
      </c>
      <c r="X876" s="1" t="str">
        <f>VLOOKUP(V876,Broker_Directory!A:C,3,FALSE)</f>
        <v>Tier A</v>
      </c>
      <c r="Y876" s="1">
        <f>HLOOKUP(X876, Commission_Rates!A$1:C$2, 2, FALSE)</f>
        <v>0.02</v>
      </c>
      <c r="Z876" s="1">
        <f t="shared" si="39"/>
        <v>0</v>
      </c>
      <c r="AA876" s="1">
        <f t="shared" si="40"/>
        <v>0</v>
      </c>
      <c r="AB876" s="1">
        <f t="shared" si="41"/>
        <v>0</v>
      </c>
    </row>
    <row r="877" spans="1:28" x14ac:dyDescent="0.3">
      <c r="A877" s="1" t="s">
        <v>20</v>
      </c>
      <c r="B877" s="1" t="s">
        <v>69</v>
      </c>
      <c r="C877">
        <v>3</v>
      </c>
      <c r="D877">
        <v>1</v>
      </c>
      <c r="E877">
        <v>4796</v>
      </c>
      <c r="F877">
        <v>9575</v>
      </c>
      <c r="G877">
        <v>3</v>
      </c>
      <c r="H877">
        <v>2019</v>
      </c>
      <c r="I877">
        <v>2022</v>
      </c>
      <c r="J877" s="1" t="s">
        <v>30</v>
      </c>
      <c r="K877">
        <v>0</v>
      </c>
      <c r="L877" s="1" t="s">
        <v>41</v>
      </c>
      <c r="M877" s="1" t="s">
        <v>24</v>
      </c>
      <c r="N877" s="1" t="s">
        <v>46</v>
      </c>
      <c r="O877">
        <v>6</v>
      </c>
      <c r="P877">
        <v>0</v>
      </c>
      <c r="Q877" s="1" t="s">
        <v>103</v>
      </c>
      <c r="R877">
        <v>2</v>
      </c>
      <c r="S877" s="1" t="s">
        <v>24</v>
      </c>
      <c r="T877">
        <v>57897000</v>
      </c>
      <c r="U877" t="s">
        <v>182</v>
      </c>
      <c r="V877" s="1" t="s">
        <v>171</v>
      </c>
      <c r="W877" s="1" t="s">
        <v>172</v>
      </c>
      <c r="X877" s="1" t="str">
        <f>VLOOKUP(V877,Broker_Directory!A:C,3,FALSE)</f>
        <v>Tier B</v>
      </c>
      <c r="Y877" s="1">
        <f>HLOOKUP(X877, Commission_Rates!A$1:C$2, 2, FALSE)</f>
        <v>1.4999999999999999E-2</v>
      </c>
      <c r="Z877" s="1">
        <f t="shared" si="39"/>
        <v>0</v>
      </c>
      <c r="AA877" s="1">
        <f t="shared" si="40"/>
        <v>0</v>
      </c>
      <c r="AB877" s="1">
        <f t="shared" si="41"/>
        <v>0</v>
      </c>
    </row>
    <row r="878" spans="1:28" x14ac:dyDescent="0.3">
      <c r="A878" s="1" t="s">
        <v>28</v>
      </c>
      <c r="B878" s="1" t="s">
        <v>60</v>
      </c>
      <c r="C878">
        <v>1</v>
      </c>
      <c r="D878">
        <v>1</v>
      </c>
      <c r="E878">
        <v>1175</v>
      </c>
      <c r="F878">
        <v>9039</v>
      </c>
      <c r="G878">
        <v>1</v>
      </c>
      <c r="H878">
        <v>2010</v>
      </c>
      <c r="I878">
        <v>2020</v>
      </c>
      <c r="J878" s="1" t="s">
        <v>22</v>
      </c>
      <c r="K878">
        <v>0</v>
      </c>
      <c r="L878" s="1" t="s">
        <v>64</v>
      </c>
      <c r="M878" s="1" t="s">
        <v>24</v>
      </c>
      <c r="N878" s="1" t="s">
        <v>35</v>
      </c>
      <c r="O878">
        <v>8</v>
      </c>
      <c r="P878">
        <v>1</v>
      </c>
      <c r="Q878" s="1" t="s">
        <v>118</v>
      </c>
      <c r="R878">
        <v>2</v>
      </c>
      <c r="S878" s="1" t="s">
        <v>24</v>
      </c>
      <c r="T878">
        <v>11955000</v>
      </c>
      <c r="U878" t="s">
        <v>183</v>
      </c>
      <c r="V878" s="1" t="s">
        <v>168</v>
      </c>
      <c r="W878" s="1" t="s">
        <v>169</v>
      </c>
      <c r="X878" s="1" t="str">
        <f>VLOOKUP(V878,Broker_Directory!A:C,3,FALSE)</f>
        <v>Tier A</v>
      </c>
      <c r="Y878" s="1">
        <f>HLOOKUP(X878, Commission_Rates!A$1:C$2, 2, FALSE)</f>
        <v>0.02</v>
      </c>
      <c r="Z878" s="1">
        <f t="shared" si="39"/>
        <v>0</v>
      </c>
      <c r="AA878" s="1">
        <f t="shared" si="40"/>
        <v>0</v>
      </c>
      <c r="AB878" s="1">
        <f t="shared" si="41"/>
        <v>0</v>
      </c>
    </row>
    <row r="879" spans="1:28" x14ac:dyDescent="0.3">
      <c r="A879" s="1" t="s">
        <v>28</v>
      </c>
      <c r="B879" s="1" t="s">
        <v>95</v>
      </c>
      <c r="C879">
        <v>1</v>
      </c>
      <c r="D879">
        <v>1</v>
      </c>
      <c r="E879">
        <v>4152</v>
      </c>
      <c r="F879">
        <v>5991</v>
      </c>
      <c r="G879">
        <v>3</v>
      </c>
      <c r="H879">
        <v>1966</v>
      </c>
      <c r="I879">
        <v>1975</v>
      </c>
      <c r="J879" s="1" t="s">
        <v>52</v>
      </c>
      <c r="K879">
        <v>3</v>
      </c>
      <c r="L879" s="1" t="s">
        <v>23</v>
      </c>
      <c r="M879" s="1" t="s">
        <v>27</v>
      </c>
      <c r="N879" s="1" t="s">
        <v>35</v>
      </c>
      <c r="O879">
        <v>3</v>
      </c>
      <c r="P879">
        <v>3</v>
      </c>
      <c r="Q879" s="1" t="s">
        <v>96</v>
      </c>
      <c r="R879">
        <v>0</v>
      </c>
      <c r="S879" s="1" t="s">
        <v>27</v>
      </c>
      <c r="T879">
        <v>41660000</v>
      </c>
      <c r="U879" t="s">
        <v>182</v>
      </c>
      <c r="V879" s="1" t="s">
        <v>168</v>
      </c>
      <c r="W879" s="1" t="s">
        <v>169</v>
      </c>
      <c r="X879" s="1" t="str">
        <f>VLOOKUP(V879,Broker_Directory!A:C,3,FALSE)</f>
        <v>Tier A</v>
      </c>
      <c r="Y879" s="1">
        <f>HLOOKUP(X879, Commission_Rates!A$1:C$2, 2, FALSE)</f>
        <v>0.02</v>
      </c>
      <c r="Z879" s="1">
        <f t="shared" si="39"/>
        <v>0</v>
      </c>
      <c r="AA879" s="1">
        <f t="shared" si="40"/>
        <v>0</v>
      </c>
      <c r="AB879" s="1">
        <f t="shared" si="41"/>
        <v>0</v>
      </c>
    </row>
    <row r="880" spans="1:28" x14ac:dyDescent="0.3">
      <c r="A880" s="1" t="s">
        <v>28</v>
      </c>
      <c r="B880" s="1" t="s">
        <v>95</v>
      </c>
      <c r="C880">
        <v>4</v>
      </c>
      <c r="D880">
        <v>2</v>
      </c>
      <c r="E880">
        <v>4623</v>
      </c>
      <c r="F880">
        <v>7070</v>
      </c>
      <c r="G880">
        <v>2</v>
      </c>
      <c r="H880">
        <v>1967</v>
      </c>
      <c r="I880">
        <v>1991</v>
      </c>
      <c r="J880" s="1" t="s">
        <v>22</v>
      </c>
      <c r="K880">
        <v>2</v>
      </c>
      <c r="L880" s="1" t="s">
        <v>64</v>
      </c>
      <c r="M880" s="1" t="s">
        <v>24</v>
      </c>
      <c r="N880" s="1" t="s">
        <v>35</v>
      </c>
      <c r="O880">
        <v>1</v>
      </c>
      <c r="P880">
        <v>5</v>
      </c>
      <c r="Q880" s="1" t="s">
        <v>146</v>
      </c>
      <c r="R880">
        <v>2</v>
      </c>
      <c r="S880" s="1" t="s">
        <v>27</v>
      </c>
      <c r="T880">
        <v>46585000</v>
      </c>
      <c r="U880" t="s">
        <v>182</v>
      </c>
      <c r="V880" s="1" t="s">
        <v>171</v>
      </c>
      <c r="W880" s="1" t="s">
        <v>172</v>
      </c>
      <c r="X880" s="1" t="str">
        <f>VLOOKUP(V880,Broker_Directory!A:C,3,FALSE)</f>
        <v>Tier B</v>
      </c>
      <c r="Y880" s="1">
        <f>HLOOKUP(X880, Commission_Rates!A$1:C$2, 2, FALSE)</f>
        <v>1.4999999999999999E-2</v>
      </c>
      <c r="Z880" s="1">
        <f t="shared" si="39"/>
        <v>0</v>
      </c>
      <c r="AA880" s="1">
        <f t="shared" si="40"/>
        <v>0</v>
      </c>
      <c r="AB880" s="1">
        <f t="shared" si="41"/>
        <v>0</v>
      </c>
    </row>
    <row r="881" spans="1:28" x14ac:dyDescent="0.3">
      <c r="A881" s="1" t="s">
        <v>20</v>
      </c>
      <c r="B881" s="1" t="s">
        <v>21</v>
      </c>
      <c r="C881">
        <v>4</v>
      </c>
      <c r="D881">
        <v>2</v>
      </c>
      <c r="E881">
        <v>2372</v>
      </c>
      <c r="F881">
        <v>8085</v>
      </c>
      <c r="G881">
        <v>1</v>
      </c>
      <c r="H881">
        <v>2023</v>
      </c>
      <c r="I881">
        <v>2023</v>
      </c>
      <c r="J881" s="1" t="s">
        <v>58</v>
      </c>
      <c r="K881">
        <v>1</v>
      </c>
      <c r="L881" s="1" t="s">
        <v>31</v>
      </c>
      <c r="M881" s="1" t="s">
        <v>24</v>
      </c>
      <c r="N881" s="1" t="s">
        <v>25</v>
      </c>
      <c r="O881">
        <v>3</v>
      </c>
      <c r="P881">
        <v>5</v>
      </c>
      <c r="Q881" s="1" t="s">
        <v>26</v>
      </c>
      <c r="R881">
        <v>0</v>
      </c>
      <c r="S881" s="1" t="s">
        <v>27</v>
      </c>
      <c r="T881">
        <v>28844000</v>
      </c>
      <c r="U881" t="s">
        <v>183</v>
      </c>
      <c r="V881" s="1" t="s">
        <v>174</v>
      </c>
      <c r="W881" s="1" t="s">
        <v>175</v>
      </c>
      <c r="X881" s="1" t="str">
        <f>VLOOKUP(V881,Broker_Directory!A:C,3,FALSE)</f>
        <v>Tier A</v>
      </c>
      <c r="Y881" s="1">
        <f>HLOOKUP(X881, Commission_Rates!A$1:C$2, 2, FALSE)</f>
        <v>0.02</v>
      </c>
      <c r="Z881" s="1">
        <f t="shared" si="39"/>
        <v>0</v>
      </c>
      <c r="AA881" s="1">
        <f t="shared" si="40"/>
        <v>0</v>
      </c>
      <c r="AB881" s="1">
        <f t="shared" si="41"/>
        <v>0</v>
      </c>
    </row>
    <row r="882" spans="1:28" x14ac:dyDescent="0.3">
      <c r="A882" s="1" t="s">
        <v>28</v>
      </c>
      <c r="B882" s="1" t="s">
        <v>110</v>
      </c>
      <c r="C882">
        <v>3</v>
      </c>
      <c r="D882">
        <v>1</v>
      </c>
      <c r="E882">
        <v>323</v>
      </c>
      <c r="F882">
        <v>3816</v>
      </c>
      <c r="G882">
        <v>3</v>
      </c>
      <c r="H882">
        <v>1964</v>
      </c>
      <c r="I882">
        <v>2016</v>
      </c>
      <c r="J882" s="1" t="s">
        <v>58</v>
      </c>
      <c r="K882">
        <v>3</v>
      </c>
      <c r="L882" s="1" t="s">
        <v>23</v>
      </c>
      <c r="M882" s="1" t="s">
        <v>27</v>
      </c>
      <c r="N882" s="1" t="s">
        <v>25</v>
      </c>
      <c r="O882">
        <v>7</v>
      </c>
      <c r="P882">
        <v>1</v>
      </c>
      <c r="Q882" s="1" t="s">
        <v>117</v>
      </c>
      <c r="R882">
        <v>0</v>
      </c>
      <c r="S882" s="1" t="s">
        <v>27</v>
      </c>
      <c r="T882">
        <v>3545000</v>
      </c>
      <c r="U882" t="s">
        <v>184</v>
      </c>
      <c r="V882" s="1" t="s">
        <v>168</v>
      </c>
      <c r="W882" s="1" t="s">
        <v>169</v>
      </c>
      <c r="X882" s="1" t="str">
        <f>VLOOKUP(V882,Broker_Directory!A:C,3,FALSE)</f>
        <v>Tier A</v>
      </c>
      <c r="Y882" s="1">
        <f>HLOOKUP(X882, Commission_Rates!A$1:C$2, 2, FALSE)</f>
        <v>0.02</v>
      </c>
      <c r="Z882" s="1">
        <f t="shared" si="39"/>
        <v>70900</v>
      </c>
      <c r="AA882" s="1">
        <f t="shared" si="40"/>
        <v>106350</v>
      </c>
      <c r="AB882" s="1">
        <f t="shared" si="41"/>
        <v>35450</v>
      </c>
    </row>
    <row r="883" spans="1:28" x14ac:dyDescent="0.3">
      <c r="A883" s="1" t="s">
        <v>53</v>
      </c>
      <c r="B883" s="1" t="s">
        <v>54</v>
      </c>
      <c r="C883">
        <v>4</v>
      </c>
      <c r="D883">
        <v>3</v>
      </c>
      <c r="E883">
        <v>3932</v>
      </c>
      <c r="F883">
        <v>9414</v>
      </c>
      <c r="G883">
        <v>1</v>
      </c>
      <c r="H883">
        <v>1968</v>
      </c>
      <c r="I883">
        <v>1980</v>
      </c>
      <c r="J883" s="1" t="s">
        <v>22</v>
      </c>
      <c r="K883">
        <v>2</v>
      </c>
      <c r="L883" s="1" t="s">
        <v>31</v>
      </c>
      <c r="M883" s="1" t="s">
        <v>24</v>
      </c>
      <c r="N883" s="1" t="s">
        <v>46</v>
      </c>
      <c r="O883">
        <v>7</v>
      </c>
      <c r="P883">
        <v>2</v>
      </c>
      <c r="Q883" s="1" t="s">
        <v>55</v>
      </c>
      <c r="R883">
        <v>0</v>
      </c>
      <c r="S883" s="1" t="s">
        <v>27</v>
      </c>
      <c r="T883">
        <v>35723000</v>
      </c>
      <c r="U883" t="s">
        <v>184</v>
      </c>
      <c r="V883" s="1" t="s">
        <v>176</v>
      </c>
      <c r="W883" s="1" t="s">
        <v>177</v>
      </c>
      <c r="X883" s="1" t="str">
        <f>VLOOKUP(V883,Broker_Directory!A:C,3,FALSE)</f>
        <v>Tier C</v>
      </c>
      <c r="Y883" s="1">
        <f>HLOOKUP(X883, Commission_Rates!A$1:C$2, 2, FALSE)</f>
        <v>0.01</v>
      </c>
      <c r="Z883" s="1">
        <f t="shared" si="39"/>
        <v>357230</v>
      </c>
      <c r="AA883" s="1">
        <f t="shared" si="40"/>
        <v>1071690</v>
      </c>
      <c r="AB883" s="1">
        <f t="shared" si="41"/>
        <v>714460</v>
      </c>
    </row>
    <row r="884" spans="1:28" x14ac:dyDescent="0.3">
      <c r="A884" s="1" t="s">
        <v>20</v>
      </c>
      <c r="B884" s="1" t="s">
        <v>50</v>
      </c>
      <c r="C884">
        <v>4</v>
      </c>
      <c r="D884">
        <v>2</v>
      </c>
      <c r="E884">
        <v>803</v>
      </c>
      <c r="F884">
        <v>1829</v>
      </c>
      <c r="G884">
        <v>3</v>
      </c>
      <c r="H884">
        <v>2008</v>
      </c>
      <c r="I884">
        <v>2023</v>
      </c>
      <c r="J884" s="1" t="s">
        <v>30</v>
      </c>
      <c r="K884">
        <v>1</v>
      </c>
      <c r="L884" s="1" t="s">
        <v>41</v>
      </c>
      <c r="M884" s="1" t="s">
        <v>24</v>
      </c>
      <c r="N884" s="1" t="s">
        <v>46</v>
      </c>
      <c r="O884">
        <v>2</v>
      </c>
      <c r="P884">
        <v>2</v>
      </c>
      <c r="Q884" s="1" t="s">
        <v>51</v>
      </c>
      <c r="R884">
        <v>1</v>
      </c>
      <c r="S884" s="1" t="s">
        <v>27</v>
      </c>
      <c r="T884">
        <v>9996000</v>
      </c>
      <c r="U884" t="s">
        <v>182</v>
      </c>
      <c r="V884" s="1" t="s">
        <v>168</v>
      </c>
      <c r="W884" s="1" t="s">
        <v>169</v>
      </c>
      <c r="X884" s="1" t="str">
        <f>VLOOKUP(V884,Broker_Directory!A:C,3,FALSE)</f>
        <v>Tier A</v>
      </c>
      <c r="Y884" s="1">
        <f>HLOOKUP(X884, Commission_Rates!A$1:C$2, 2, FALSE)</f>
        <v>0.02</v>
      </c>
      <c r="Z884" s="1">
        <f t="shared" si="39"/>
        <v>0</v>
      </c>
      <c r="AA884" s="1">
        <f t="shared" si="40"/>
        <v>0</v>
      </c>
      <c r="AB884" s="1">
        <f t="shared" si="41"/>
        <v>0</v>
      </c>
    </row>
    <row r="885" spans="1:28" x14ac:dyDescent="0.3">
      <c r="A885" s="1" t="s">
        <v>20</v>
      </c>
      <c r="B885" s="1" t="s">
        <v>50</v>
      </c>
      <c r="C885">
        <v>5</v>
      </c>
      <c r="D885">
        <v>1</v>
      </c>
      <c r="E885">
        <v>4022</v>
      </c>
      <c r="F885">
        <v>6921</v>
      </c>
      <c r="G885">
        <v>2</v>
      </c>
      <c r="H885">
        <v>1978</v>
      </c>
      <c r="I885">
        <v>2005</v>
      </c>
      <c r="J885" s="1" t="s">
        <v>52</v>
      </c>
      <c r="K885">
        <v>2</v>
      </c>
      <c r="L885" s="1" t="s">
        <v>41</v>
      </c>
      <c r="M885" s="1" t="s">
        <v>27</v>
      </c>
      <c r="N885" s="1" t="s">
        <v>46</v>
      </c>
      <c r="O885">
        <v>2</v>
      </c>
      <c r="P885">
        <v>3</v>
      </c>
      <c r="Q885" s="1" t="s">
        <v>112</v>
      </c>
      <c r="R885">
        <v>3</v>
      </c>
      <c r="S885" s="1" t="s">
        <v>24</v>
      </c>
      <c r="T885">
        <v>48679000</v>
      </c>
      <c r="U885" t="s">
        <v>183</v>
      </c>
      <c r="V885" s="1" t="s">
        <v>171</v>
      </c>
      <c r="W885" s="1" t="s">
        <v>172</v>
      </c>
      <c r="X885" s="1" t="str">
        <f>VLOOKUP(V885,Broker_Directory!A:C,3,FALSE)</f>
        <v>Tier B</v>
      </c>
      <c r="Y885" s="1">
        <f>HLOOKUP(X885, Commission_Rates!A$1:C$2, 2, FALSE)</f>
        <v>1.4999999999999999E-2</v>
      </c>
      <c r="Z885" s="1">
        <f t="shared" si="39"/>
        <v>0</v>
      </c>
      <c r="AA885" s="1">
        <f t="shared" si="40"/>
        <v>0</v>
      </c>
      <c r="AB885" s="1">
        <f t="shared" si="41"/>
        <v>0</v>
      </c>
    </row>
    <row r="886" spans="1:28" x14ac:dyDescent="0.3">
      <c r="A886" s="1" t="s">
        <v>20</v>
      </c>
      <c r="B886" s="1" t="s">
        <v>40</v>
      </c>
      <c r="C886">
        <v>4</v>
      </c>
      <c r="D886">
        <v>4</v>
      </c>
      <c r="E886">
        <v>2093</v>
      </c>
      <c r="F886">
        <v>9913</v>
      </c>
      <c r="G886">
        <v>3</v>
      </c>
      <c r="H886">
        <v>2015</v>
      </c>
      <c r="I886">
        <v>2024</v>
      </c>
      <c r="J886" s="1" t="s">
        <v>52</v>
      </c>
      <c r="K886">
        <v>0</v>
      </c>
      <c r="L886" s="1" t="s">
        <v>64</v>
      </c>
      <c r="M886" s="1" t="s">
        <v>27</v>
      </c>
      <c r="N886" s="1" t="s">
        <v>35</v>
      </c>
      <c r="O886">
        <v>4</v>
      </c>
      <c r="P886">
        <v>5</v>
      </c>
      <c r="Q886" s="1" t="s">
        <v>115</v>
      </c>
      <c r="R886">
        <v>2</v>
      </c>
      <c r="S886" s="1" t="s">
        <v>27</v>
      </c>
      <c r="T886">
        <v>25526000</v>
      </c>
      <c r="U886" t="s">
        <v>183</v>
      </c>
      <c r="V886" s="1" t="s">
        <v>171</v>
      </c>
      <c r="W886" s="1" t="s">
        <v>172</v>
      </c>
      <c r="X886" s="1" t="str">
        <f>VLOOKUP(V886,Broker_Directory!A:C,3,FALSE)</f>
        <v>Tier B</v>
      </c>
      <c r="Y886" s="1">
        <f>HLOOKUP(X886, Commission_Rates!A$1:C$2, 2, FALSE)</f>
        <v>1.4999999999999999E-2</v>
      </c>
      <c r="Z886" s="1">
        <f t="shared" si="39"/>
        <v>0</v>
      </c>
      <c r="AA886" s="1">
        <f t="shared" si="40"/>
        <v>0</v>
      </c>
      <c r="AB886" s="1">
        <f t="shared" si="41"/>
        <v>0</v>
      </c>
    </row>
    <row r="887" spans="1:28" x14ac:dyDescent="0.3">
      <c r="A887" s="1" t="s">
        <v>37</v>
      </c>
      <c r="B887" s="1" t="s">
        <v>87</v>
      </c>
      <c r="C887">
        <v>1</v>
      </c>
      <c r="D887">
        <v>1</v>
      </c>
      <c r="E887">
        <v>2276</v>
      </c>
      <c r="F887">
        <v>9688</v>
      </c>
      <c r="G887">
        <v>2</v>
      </c>
      <c r="H887">
        <v>1982</v>
      </c>
      <c r="I887">
        <v>1996</v>
      </c>
      <c r="J887" s="1" t="s">
        <v>52</v>
      </c>
      <c r="K887">
        <v>3</v>
      </c>
      <c r="L887" s="1" t="s">
        <v>23</v>
      </c>
      <c r="M887" s="1" t="s">
        <v>24</v>
      </c>
      <c r="N887" s="1" t="s">
        <v>25</v>
      </c>
      <c r="O887">
        <v>5</v>
      </c>
      <c r="P887">
        <v>5</v>
      </c>
      <c r="Q887" s="1" t="s">
        <v>138</v>
      </c>
      <c r="R887">
        <v>2</v>
      </c>
      <c r="S887" s="1" t="s">
        <v>24</v>
      </c>
      <c r="T887">
        <v>18508000</v>
      </c>
      <c r="U887" t="s">
        <v>184</v>
      </c>
      <c r="V887" s="1" t="s">
        <v>179</v>
      </c>
      <c r="W887" s="1" t="s">
        <v>180</v>
      </c>
      <c r="X887" s="1" t="str">
        <f>VLOOKUP(V887,Broker_Directory!A:C,3,FALSE)</f>
        <v>Tier B</v>
      </c>
      <c r="Y887" s="1">
        <f>HLOOKUP(X887, Commission_Rates!A$1:C$2, 2, FALSE)</f>
        <v>1.4999999999999999E-2</v>
      </c>
      <c r="Z887" s="1">
        <f t="shared" si="39"/>
        <v>277620</v>
      </c>
      <c r="AA887" s="1">
        <f t="shared" si="40"/>
        <v>555240</v>
      </c>
      <c r="AB887" s="1">
        <f t="shared" si="41"/>
        <v>277620</v>
      </c>
    </row>
    <row r="888" spans="1:28" x14ac:dyDescent="0.3">
      <c r="A888" s="1" t="s">
        <v>37</v>
      </c>
      <c r="B888" s="1" t="s">
        <v>62</v>
      </c>
      <c r="C888">
        <v>2</v>
      </c>
      <c r="D888">
        <v>1</v>
      </c>
      <c r="E888">
        <v>2809</v>
      </c>
      <c r="F888">
        <v>8764</v>
      </c>
      <c r="G888">
        <v>2</v>
      </c>
      <c r="H888">
        <v>1982</v>
      </c>
      <c r="I888">
        <v>2025</v>
      </c>
      <c r="J888" s="1" t="s">
        <v>30</v>
      </c>
      <c r="K888">
        <v>1</v>
      </c>
      <c r="L888" s="1" t="s">
        <v>41</v>
      </c>
      <c r="M888" s="1" t="s">
        <v>27</v>
      </c>
      <c r="N888" s="1" t="s">
        <v>25</v>
      </c>
      <c r="O888">
        <v>6</v>
      </c>
      <c r="P888">
        <v>3</v>
      </c>
      <c r="Q888" s="1" t="s">
        <v>63</v>
      </c>
      <c r="R888">
        <v>1</v>
      </c>
      <c r="S888" s="1" t="s">
        <v>27</v>
      </c>
      <c r="T888">
        <v>22732000</v>
      </c>
      <c r="U888" t="s">
        <v>183</v>
      </c>
      <c r="V888" s="1" t="s">
        <v>168</v>
      </c>
      <c r="W888" s="1" t="s">
        <v>169</v>
      </c>
      <c r="X888" s="1" t="str">
        <f>VLOOKUP(V888,Broker_Directory!A:C,3,FALSE)</f>
        <v>Tier A</v>
      </c>
      <c r="Y888" s="1">
        <f>HLOOKUP(X888, Commission_Rates!A$1:C$2, 2, FALSE)</f>
        <v>0.02</v>
      </c>
      <c r="Z888" s="1">
        <f t="shared" si="39"/>
        <v>0</v>
      </c>
      <c r="AA888" s="1">
        <f t="shared" si="40"/>
        <v>0</v>
      </c>
      <c r="AB888" s="1">
        <f t="shared" si="41"/>
        <v>0</v>
      </c>
    </row>
    <row r="889" spans="1:28" x14ac:dyDescent="0.3">
      <c r="A889" s="1" t="s">
        <v>20</v>
      </c>
      <c r="B889" s="1" t="s">
        <v>69</v>
      </c>
      <c r="C889">
        <v>3</v>
      </c>
      <c r="D889">
        <v>4</v>
      </c>
      <c r="E889">
        <v>2275</v>
      </c>
      <c r="F889">
        <v>6687</v>
      </c>
      <c r="G889">
        <v>2</v>
      </c>
      <c r="H889">
        <v>2013</v>
      </c>
      <c r="I889">
        <v>2015</v>
      </c>
      <c r="J889" s="1" t="s">
        <v>22</v>
      </c>
      <c r="K889">
        <v>0</v>
      </c>
      <c r="L889" s="1" t="s">
        <v>23</v>
      </c>
      <c r="M889" s="1" t="s">
        <v>24</v>
      </c>
      <c r="N889" s="1" t="s">
        <v>35</v>
      </c>
      <c r="O889">
        <v>2</v>
      </c>
      <c r="P889">
        <v>1</v>
      </c>
      <c r="Q889" s="1" t="s">
        <v>120</v>
      </c>
      <c r="R889">
        <v>0</v>
      </c>
      <c r="S889" s="1" t="s">
        <v>24</v>
      </c>
      <c r="T889">
        <v>27685000</v>
      </c>
      <c r="U889" t="s">
        <v>184</v>
      </c>
      <c r="V889" s="1" t="s">
        <v>168</v>
      </c>
      <c r="W889" s="1" t="s">
        <v>169</v>
      </c>
      <c r="X889" s="1" t="str">
        <f>VLOOKUP(V889,Broker_Directory!A:C,3,FALSE)</f>
        <v>Tier A</v>
      </c>
      <c r="Y889" s="1">
        <f>HLOOKUP(X889, Commission_Rates!A$1:C$2, 2, FALSE)</f>
        <v>0.02</v>
      </c>
      <c r="Z889" s="1">
        <f t="shared" si="39"/>
        <v>553700</v>
      </c>
      <c r="AA889" s="1">
        <f t="shared" si="40"/>
        <v>830550</v>
      </c>
      <c r="AB889" s="1">
        <f t="shared" si="41"/>
        <v>276850</v>
      </c>
    </row>
    <row r="890" spans="1:28" x14ac:dyDescent="0.3">
      <c r="A890" s="1" t="s">
        <v>37</v>
      </c>
      <c r="B890" s="1" t="s">
        <v>72</v>
      </c>
      <c r="C890">
        <v>5</v>
      </c>
      <c r="D890">
        <v>1</v>
      </c>
      <c r="E890">
        <v>1140</v>
      </c>
      <c r="F890">
        <v>8419</v>
      </c>
      <c r="G890">
        <v>3</v>
      </c>
      <c r="H890">
        <v>1967</v>
      </c>
      <c r="I890">
        <v>1980</v>
      </c>
      <c r="J890" s="1" t="s">
        <v>52</v>
      </c>
      <c r="K890">
        <v>1</v>
      </c>
      <c r="L890" s="1" t="s">
        <v>64</v>
      </c>
      <c r="M890" s="1" t="s">
        <v>24</v>
      </c>
      <c r="N890" s="1" t="s">
        <v>25</v>
      </c>
      <c r="O890">
        <v>4</v>
      </c>
      <c r="P890">
        <v>0</v>
      </c>
      <c r="Q890" s="1" t="s">
        <v>94</v>
      </c>
      <c r="R890">
        <v>0</v>
      </c>
      <c r="S890" s="1" t="s">
        <v>27</v>
      </c>
      <c r="T890">
        <v>9560000</v>
      </c>
      <c r="U890" t="s">
        <v>184</v>
      </c>
      <c r="V890" s="1" t="s">
        <v>179</v>
      </c>
      <c r="W890" s="1" t="s">
        <v>180</v>
      </c>
      <c r="X890" s="1" t="str">
        <f>VLOOKUP(V890,Broker_Directory!A:C,3,FALSE)</f>
        <v>Tier B</v>
      </c>
      <c r="Y890" s="1">
        <f>HLOOKUP(X890, Commission_Rates!A$1:C$2, 2, FALSE)</f>
        <v>1.4999999999999999E-2</v>
      </c>
      <c r="Z890" s="1">
        <f t="shared" si="39"/>
        <v>143400</v>
      </c>
      <c r="AA890" s="1">
        <f t="shared" si="40"/>
        <v>286800</v>
      </c>
      <c r="AB890" s="1">
        <f t="shared" si="41"/>
        <v>143400</v>
      </c>
    </row>
    <row r="891" spans="1:28" x14ac:dyDescent="0.3">
      <c r="A891" s="1" t="s">
        <v>33</v>
      </c>
      <c r="B891" s="1" t="s">
        <v>98</v>
      </c>
      <c r="C891">
        <v>2</v>
      </c>
      <c r="D891">
        <v>1</v>
      </c>
      <c r="E891">
        <v>3091</v>
      </c>
      <c r="F891">
        <v>5080</v>
      </c>
      <c r="G891">
        <v>3</v>
      </c>
      <c r="H891">
        <v>1965</v>
      </c>
      <c r="I891">
        <v>1969</v>
      </c>
      <c r="J891" s="1" t="s">
        <v>30</v>
      </c>
      <c r="K891">
        <v>1</v>
      </c>
      <c r="L891" s="1" t="s">
        <v>23</v>
      </c>
      <c r="M891" s="1" t="s">
        <v>27</v>
      </c>
      <c r="N891" s="1" t="s">
        <v>35</v>
      </c>
      <c r="O891">
        <v>4</v>
      </c>
      <c r="P891">
        <v>4</v>
      </c>
      <c r="Q891" s="1" t="s">
        <v>123</v>
      </c>
      <c r="R891">
        <v>0</v>
      </c>
      <c r="S891" s="1" t="s">
        <v>27</v>
      </c>
      <c r="T891">
        <v>26463500</v>
      </c>
      <c r="U891" t="s">
        <v>182</v>
      </c>
      <c r="V891" s="1" t="s">
        <v>168</v>
      </c>
      <c r="W891" s="1" t="s">
        <v>169</v>
      </c>
      <c r="X891" s="1" t="str">
        <f>VLOOKUP(V891,Broker_Directory!A:C,3,FALSE)</f>
        <v>Tier A</v>
      </c>
      <c r="Y891" s="1">
        <f>HLOOKUP(X891, Commission_Rates!A$1:C$2, 2, FALSE)</f>
        <v>0.02</v>
      </c>
      <c r="Z891" s="1">
        <f t="shared" si="39"/>
        <v>0</v>
      </c>
      <c r="AA891" s="1">
        <f t="shared" si="40"/>
        <v>0</v>
      </c>
      <c r="AB891" s="1">
        <f t="shared" si="41"/>
        <v>0</v>
      </c>
    </row>
    <row r="892" spans="1:28" x14ac:dyDescent="0.3">
      <c r="A892" s="1" t="s">
        <v>28</v>
      </c>
      <c r="B892" s="1" t="s">
        <v>29</v>
      </c>
      <c r="C892">
        <v>3</v>
      </c>
      <c r="D892">
        <v>1</v>
      </c>
      <c r="E892">
        <v>1026</v>
      </c>
      <c r="F892">
        <v>9328</v>
      </c>
      <c r="G892">
        <v>3</v>
      </c>
      <c r="H892">
        <v>1979</v>
      </c>
      <c r="I892">
        <v>2014</v>
      </c>
      <c r="J892" s="1" t="s">
        <v>30</v>
      </c>
      <c r="K892">
        <v>0</v>
      </c>
      <c r="L892" s="1" t="s">
        <v>41</v>
      </c>
      <c r="M892" s="1" t="s">
        <v>27</v>
      </c>
      <c r="N892" s="1" t="s">
        <v>46</v>
      </c>
      <c r="O892">
        <v>7</v>
      </c>
      <c r="P892">
        <v>4</v>
      </c>
      <c r="Q892" s="1" t="s">
        <v>149</v>
      </c>
      <c r="R892">
        <v>0</v>
      </c>
      <c r="S892" s="1" t="s">
        <v>24</v>
      </c>
      <c r="T892">
        <v>10550000</v>
      </c>
      <c r="U892" t="s">
        <v>183</v>
      </c>
      <c r="V892" s="1" t="s">
        <v>168</v>
      </c>
      <c r="W892" s="1" t="s">
        <v>169</v>
      </c>
      <c r="X892" s="1" t="str">
        <f>VLOOKUP(V892,Broker_Directory!A:C,3,FALSE)</f>
        <v>Tier A</v>
      </c>
      <c r="Y892" s="1">
        <f>HLOOKUP(X892, Commission_Rates!A$1:C$2, 2, FALSE)</f>
        <v>0.02</v>
      </c>
      <c r="Z892" s="1">
        <f t="shared" si="39"/>
        <v>0</v>
      </c>
      <c r="AA892" s="1">
        <f t="shared" si="40"/>
        <v>0</v>
      </c>
      <c r="AB892" s="1">
        <f t="shared" si="41"/>
        <v>0</v>
      </c>
    </row>
    <row r="893" spans="1:28" x14ac:dyDescent="0.3">
      <c r="A893" s="1" t="s">
        <v>33</v>
      </c>
      <c r="B893" s="1" t="s">
        <v>48</v>
      </c>
      <c r="C893">
        <v>3</v>
      </c>
      <c r="D893">
        <v>2</v>
      </c>
      <c r="E893">
        <v>1709</v>
      </c>
      <c r="F893">
        <v>4330</v>
      </c>
      <c r="G893">
        <v>1</v>
      </c>
      <c r="H893">
        <v>1955</v>
      </c>
      <c r="I893">
        <v>1976</v>
      </c>
      <c r="J893" s="1" t="s">
        <v>52</v>
      </c>
      <c r="K893">
        <v>1</v>
      </c>
      <c r="L893" s="1" t="s">
        <v>31</v>
      </c>
      <c r="M893" s="1" t="s">
        <v>24</v>
      </c>
      <c r="N893" s="1" t="s">
        <v>46</v>
      </c>
      <c r="O893">
        <v>7</v>
      </c>
      <c r="P893">
        <v>0</v>
      </c>
      <c r="Q893" s="1" t="s">
        <v>57</v>
      </c>
      <c r="R893">
        <v>1</v>
      </c>
      <c r="S893" s="1" t="s">
        <v>24</v>
      </c>
      <c r="T893">
        <v>14846500</v>
      </c>
      <c r="U893" t="s">
        <v>184</v>
      </c>
      <c r="V893" s="1" t="s">
        <v>168</v>
      </c>
      <c r="W893" s="1" t="s">
        <v>169</v>
      </c>
      <c r="X893" s="1" t="str">
        <f>VLOOKUP(V893,Broker_Directory!A:C,3,FALSE)</f>
        <v>Tier A</v>
      </c>
      <c r="Y893" s="1">
        <f>HLOOKUP(X893, Commission_Rates!A$1:C$2, 2, FALSE)</f>
        <v>0.02</v>
      </c>
      <c r="Z893" s="1">
        <f t="shared" si="39"/>
        <v>296930</v>
      </c>
      <c r="AA893" s="1">
        <f t="shared" si="40"/>
        <v>445395</v>
      </c>
      <c r="AB893" s="1">
        <f t="shared" si="41"/>
        <v>148465</v>
      </c>
    </row>
    <row r="894" spans="1:28" x14ac:dyDescent="0.3">
      <c r="A894" s="1" t="s">
        <v>20</v>
      </c>
      <c r="B894" s="1" t="s">
        <v>21</v>
      </c>
      <c r="C894">
        <v>2</v>
      </c>
      <c r="D894">
        <v>3</v>
      </c>
      <c r="E894">
        <v>2754</v>
      </c>
      <c r="F894">
        <v>9642</v>
      </c>
      <c r="G894">
        <v>3</v>
      </c>
      <c r="H894">
        <v>2005</v>
      </c>
      <c r="I894">
        <v>2008</v>
      </c>
      <c r="J894" s="1" t="s">
        <v>58</v>
      </c>
      <c r="K894">
        <v>1</v>
      </c>
      <c r="L894" s="1" t="s">
        <v>41</v>
      </c>
      <c r="M894" s="1" t="s">
        <v>27</v>
      </c>
      <c r="N894" s="1" t="s">
        <v>25</v>
      </c>
      <c r="O894">
        <v>2</v>
      </c>
      <c r="P894">
        <v>2</v>
      </c>
      <c r="Q894" s="1" t="s">
        <v>26</v>
      </c>
      <c r="R894">
        <v>1</v>
      </c>
      <c r="S894" s="1" t="s">
        <v>27</v>
      </c>
      <c r="T894">
        <v>33388000</v>
      </c>
      <c r="U894" t="s">
        <v>182</v>
      </c>
      <c r="V894" s="1" t="s">
        <v>179</v>
      </c>
      <c r="W894" s="1" t="s">
        <v>180</v>
      </c>
      <c r="X894" s="1" t="str">
        <f>VLOOKUP(V894,Broker_Directory!A:C,3,FALSE)</f>
        <v>Tier B</v>
      </c>
      <c r="Y894" s="1">
        <f>HLOOKUP(X894, Commission_Rates!A$1:C$2, 2, FALSE)</f>
        <v>1.4999999999999999E-2</v>
      </c>
      <c r="Z894" s="1">
        <f t="shared" si="39"/>
        <v>0</v>
      </c>
      <c r="AA894" s="1">
        <f t="shared" si="40"/>
        <v>0</v>
      </c>
      <c r="AB894" s="1">
        <f t="shared" si="41"/>
        <v>0</v>
      </c>
    </row>
    <row r="895" spans="1:28" x14ac:dyDescent="0.3">
      <c r="A895" s="1" t="s">
        <v>20</v>
      </c>
      <c r="B895" s="1" t="s">
        <v>21</v>
      </c>
      <c r="C895">
        <v>2</v>
      </c>
      <c r="D895">
        <v>2</v>
      </c>
      <c r="E895">
        <v>899</v>
      </c>
      <c r="F895">
        <v>3467</v>
      </c>
      <c r="G895">
        <v>2</v>
      </c>
      <c r="H895">
        <v>1963</v>
      </c>
      <c r="I895">
        <v>2017</v>
      </c>
      <c r="J895" s="1" t="s">
        <v>52</v>
      </c>
      <c r="K895">
        <v>1</v>
      </c>
      <c r="L895" s="1" t="s">
        <v>64</v>
      </c>
      <c r="M895" s="1" t="s">
        <v>27</v>
      </c>
      <c r="N895" s="1" t="s">
        <v>46</v>
      </c>
      <c r="O895">
        <v>2</v>
      </c>
      <c r="P895">
        <v>4</v>
      </c>
      <c r="Q895" s="1" t="s">
        <v>56</v>
      </c>
      <c r="R895">
        <v>3</v>
      </c>
      <c r="S895" s="1" t="s">
        <v>27</v>
      </c>
      <c r="T895">
        <v>11033000</v>
      </c>
      <c r="U895" t="s">
        <v>184</v>
      </c>
      <c r="V895" s="1" t="s">
        <v>168</v>
      </c>
      <c r="W895" s="1" t="s">
        <v>169</v>
      </c>
      <c r="X895" s="1" t="str">
        <f>VLOOKUP(V895,Broker_Directory!A:C,3,FALSE)</f>
        <v>Tier A</v>
      </c>
      <c r="Y895" s="1">
        <f>HLOOKUP(X895, Commission_Rates!A$1:C$2, 2, FALSE)</f>
        <v>0.02</v>
      </c>
      <c r="Z895" s="1">
        <f t="shared" si="39"/>
        <v>220660</v>
      </c>
      <c r="AA895" s="1">
        <f t="shared" si="40"/>
        <v>330990</v>
      </c>
      <c r="AB895" s="1">
        <f t="shared" si="41"/>
        <v>110330</v>
      </c>
    </row>
    <row r="896" spans="1:28" x14ac:dyDescent="0.3">
      <c r="A896" s="1" t="s">
        <v>28</v>
      </c>
      <c r="B896" s="1" t="s">
        <v>95</v>
      </c>
      <c r="C896">
        <v>4</v>
      </c>
      <c r="D896">
        <v>3</v>
      </c>
      <c r="E896">
        <v>2886</v>
      </c>
      <c r="F896">
        <v>5067</v>
      </c>
      <c r="G896">
        <v>3</v>
      </c>
      <c r="H896">
        <v>1977</v>
      </c>
      <c r="I896">
        <v>2022</v>
      </c>
      <c r="J896" s="1" t="s">
        <v>58</v>
      </c>
      <c r="K896">
        <v>1</v>
      </c>
      <c r="L896" s="1" t="s">
        <v>41</v>
      </c>
      <c r="M896" s="1" t="s">
        <v>27</v>
      </c>
      <c r="N896" s="1" t="s">
        <v>46</v>
      </c>
      <c r="O896">
        <v>8</v>
      </c>
      <c r="P896">
        <v>3</v>
      </c>
      <c r="Q896" s="1" t="s">
        <v>126</v>
      </c>
      <c r="R896">
        <v>0</v>
      </c>
      <c r="S896" s="1" t="s">
        <v>24</v>
      </c>
      <c r="T896">
        <v>29260000</v>
      </c>
      <c r="U896" t="s">
        <v>183</v>
      </c>
      <c r="V896" s="1" t="s">
        <v>168</v>
      </c>
      <c r="W896" s="1" t="s">
        <v>169</v>
      </c>
      <c r="X896" s="1" t="str">
        <f>VLOOKUP(V896,Broker_Directory!A:C,3,FALSE)</f>
        <v>Tier A</v>
      </c>
      <c r="Y896" s="1">
        <f>HLOOKUP(X896, Commission_Rates!A$1:C$2, 2, FALSE)</f>
        <v>0.02</v>
      </c>
      <c r="Z896" s="1">
        <f t="shared" si="39"/>
        <v>0</v>
      </c>
      <c r="AA896" s="1">
        <f t="shared" si="40"/>
        <v>0</v>
      </c>
      <c r="AB896" s="1">
        <f t="shared" si="41"/>
        <v>0</v>
      </c>
    </row>
    <row r="897" spans="1:28" x14ac:dyDescent="0.3">
      <c r="A897" s="1" t="s">
        <v>20</v>
      </c>
      <c r="B897" s="1" t="s">
        <v>40</v>
      </c>
      <c r="C897">
        <v>5</v>
      </c>
      <c r="D897">
        <v>1</v>
      </c>
      <c r="E897">
        <v>4888</v>
      </c>
      <c r="F897">
        <v>8864</v>
      </c>
      <c r="G897">
        <v>2</v>
      </c>
      <c r="H897">
        <v>2024</v>
      </c>
      <c r="I897">
        <v>2025</v>
      </c>
      <c r="J897" s="1" t="s">
        <v>52</v>
      </c>
      <c r="K897">
        <v>0</v>
      </c>
      <c r="L897" s="1" t="s">
        <v>31</v>
      </c>
      <c r="M897" s="1" t="s">
        <v>24</v>
      </c>
      <c r="N897" s="1" t="s">
        <v>25</v>
      </c>
      <c r="O897">
        <v>3</v>
      </c>
      <c r="P897">
        <v>0</v>
      </c>
      <c r="Q897" s="1" t="s">
        <v>115</v>
      </c>
      <c r="R897">
        <v>1</v>
      </c>
      <c r="S897" s="1" t="s">
        <v>24</v>
      </c>
      <c r="T897">
        <v>59141000</v>
      </c>
      <c r="U897" t="s">
        <v>182</v>
      </c>
      <c r="V897" s="1" t="s">
        <v>176</v>
      </c>
      <c r="W897" s="1" t="s">
        <v>177</v>
      </c>
      <c r="X897" s="1" t="str">
        <f>VLOOKUP(V897,Broker_Directory!A:C,3,FALSE)</f>
        <v>Tier C</v>
      </c>
      <c r="Y897" s="1">
        <f>HLOOKUP(X897, Commission_Rates!A$1:C$2, 2, FALSE)</f>
        <v>0.01</v>
      </c>
      <c r="Z897" s="1">
        <f t="shared" si="39"/>
        <v>0</v>
      </c>
      <c r="AA897" s="1">
        <f t="shared" si="40"/>
        <v>0</v>
      </c>
      <c r="AB897" s="1">
        <f t="shared" si="41"/>
        <v>0</v>
      </c>
    </row>
    <row r="898" spans="1:28" x14ac:dyDescent="0.3">
      <c r="A898" s="1" t="s">
        <v>53</v>
      </c>
      <c r="B898" s="1" t="s">
        <v>100</v>
      </c>
      <c r="C898">
        <v>5</v>
      </c>
      <c r="D898">
        <v>1</v>
      </c>
      <c r="E898">
        <v>2427</v>
      </c>
      <c r="F898">
        <v>4616</v>
      </c>
      <c r="G898">
        <v>2</v>
      </c>
      <c r="H898">
        <v>2020</v>
      </c>
      <c r="I898">
        <v>2020</v>
      </c>
      <c r="J898" s="1" t="s">
        <v>52</v>
      </c>
      <c r="K898">
        <v>0</v>
      </c>
      <c r="L898" s="1" t="s">
        <v>41</v>
      </c>
      <c r="M898" s="1" t="s">
        <v>27</v>
      </c>
      <c r="N898" s="1" t="s">
        <v>25</v>
      </c>
      <c r="O898">
        <v>2</v>
      </c>
      <c r="P898">
        <v>1</v>
      </c>
      <c r="Q898" s="1" t="s">
        <v>131</v>
      </c>
      <c r="R898">
        <v>1</v>
      </c>
      <c r="S898" s="1" t="s">
        <v>27</v>
      </c>
      <c r="T898">
        <v>22253000</v>
      </c>
      <c r="U898" t="s">
        <v>183</v>
      </c>
      <c r="V898" s="1" t="s">
        <v>171</v>
      </c>
      <c r="W898" s="1" t="s">
        <v>172</v>
      </c>
      <c r="X898" s="1" t="str">
        <f>VLOOKUP(V898,Broker_Directory!A:C,3,FALSE)</f>
        <v>Tier B</v>
      </c>
      <c r="Y898" s="1">
        <f>HLOOKUP(X898, Commission_Rates!A$1:C$2, 2, FALSE)</f>
        <v>1.4999999999999999E-2</v>
      </c>
      <c r="Z898" s="1">
        <f t="shared" ref="Z898:Z961" si="42">IF(U898="Sold",T898*Y898,0)</f>
        <v>0</v>
      </c>
      <c r="AA898" s="1">
        <f t="shared" ref="AA898:AA961" si="43">IF(U898="Sold", T898 * 0.03, 0)</f>
        <v>0</v>
      </c>
      <c r="AB898" s="1">
        <f t="shared" ref="AB898:AB961" si="44">AA898 - Z898</f>
        <v>0</v>
      </c>
    </row>
    <row r="899" spans="1:28" x14ac:dyDescent="0.3">
      <c r="A899" s="1" t="s">
        <v>20</v>
      </c>
      <c r="B899" s="1" t="s">
        <v>50</v>
      </c>
      <c r="C899">
        <v>5</v>
      </c>
      <c r="D899">
        <v>1</v>
      </c>
      <c r="E899">
        <v>2936</v>
      </c>
      <c r="F899">
        <v>6761</v>
      </c>
      <c r="G899">
        <v>1</v>
      </c>
      <c r="H899">
        <v>1985</v>
      </c>
      <c r="I899">
        <v>2005</v>
      </c>
      <c r="J899" s="1" t="s">
        <v>58</v>
      </c>
      <c r="K899">
        <v>0</v>
      </c>
      <c r="L899" s="1" t="s">
        <v>23</v>
      </c>
      <c r="M899" s="1" t="s">
        <v>24</v>
      </c>
      <c r="N899" s="1" t="s">
        <v>35</v>
      </c>
      <c r="O899">
        <v>0</v>
      </c>
      <c r="P899">
        <v>5</v>
      </c>
      <c r="Q899" s="1" t="s">
        <v>113</v>
      </c>
      <c r="R899">
        <v>0</v>
      </c>
      <c r="S899" s="1" t="s">
        <v>27</v>
      </c>
      <c r="T899">
        <v>35557000</v>
      </c>
      <c r="U899" t="s">
        <v>184</v>
      </c>
      <c r="V899" s="1" t="s">
        <v>174</v>
      </c>
      <c r="W899" s="1" t="s">
        <v>175</v>
      </c>
      <c r="X899" s="1" t="str">
        <f>VLOOKUP(V899,Broker_Directory!A:C,3,FALSE)</f>
        <v>Tier A</v>
      </c>
      <c r="Y899" s="1">
        <f>HLOOKUP(X899, Commission_Rates!A$1:C$2, 2, FALSE)</f>
        <v>0.02</v>
      </c>
      <c r="Z899" s="1">
        <f t="shared" si="42"/>
        <v>711140</v>
      </c>
      <c r="AA899" s="1">
        <f t="shared" si="43"/>
        <v>1066710</v>
      </c>
      <c r="AB899" s="1">
        <f t="shared" si="44"/>
        <v>355570</v>
      </c>
    </row>
    <row r="900" spans="1:28" x14ac:dyDescent="0.3">
      <c r="A900" s="1" t="s">
        <v>28</v>
      </c>
      <c r="B900" s="1" t="s">
        <v>95</v>
      </c>
      <c r="C900">
        <v>1</v>
      </c>
      <c r="D900">
        <v>1</v>
      </c>
      <c r="E900">
        <v>1859</v>
      </c>
      <c r="F900">
        <v>5847</v>
      </c>
      <c r="G900">
        <v>1</v>
      </c>
      <c r="H900">
        <v>2006</v>
      </c>
      <c r="I900">
        <v>2022</v>
      </c>
      <c r="J900" s="1" t="s">
        <v>30</v>
      </c>
      <c r="K900">
        <v>0</v>
      </c>
      <c r="L900" s="1" t="s">
        <v>23</v>
      </c>
      <c r="M900" s="1" t="s">
        <v>24</v>
      </c>
      <c r="N900" s="1" t="s">
        <v>46</v>
      </c>
      <c r="O900">
        <v>5</v>
      </c>
      <c r="P900">
        <v>3</v>
      </c>
      <c r="Q900" s="1" t="s">
        <v>126</v>
      </c>
      <c r="R900">
        <v>2</v>
      </c>
      <c r="S900" s="1" t="s">
        <v>27</v>
      </c>
      <c r="T900">
        <v>18745000</v>
      </c>
      <c r="U900" t="s">
        <v>183</v>
      </c>
      <c r="V900" s="1" t="s">
        <v>179</v>
      </c>
      <c r="W900" s="1" t="s">
        <v>180</v>
      </c>
      <c r="X900" s="1" t="str">
        <f>VLOOKUP(V900,Broker_Directory!A:C,3,FALSE)</f>
        <v>Tier B</v>
      </c>
      <c r="Y900" s="1">
        <f>HLOOKUP(X900, Commission_Rates!A$1:C$2, 2, FALSE)</f>
        <v>1.4999999999999999E-2</v>
      </c>
      <c r="Z900" s="1">
        <f t="shared" si="42"/>
        <v>0</v>
      </c>
      <c r="AA900" s="1">
        <f t="shared" si="43"/>
        <v>0</v>
      </c>
      <c r="AB900" s="1">
        <f t="shared" si="44"/>
        <v>0</v>
      </c>
    </row>
    <row r="901" spans="1:28" x14ac:dyDescent="0.3">
      <c r="A901" s="1" t="s">
        <v>53</v>
      </c>
      <c r="B901" s="1" t="s">
        <v>66</v>
      </c>
      <c r="C901">
        <v>1</v>
      </c>
      <c r="D901">
        <v>2</v>
      </c>
      <c r="E901">
        <v>4723</v>
      </c>
      <c r="F901">
        <v>8678</v>
      </c>
      <c r="G901">
        <v>2</v>
      </c>
      <c r="H901">
        <v>2012</v>
      </c>
      <c r="I901">
        <v>2019</v>
      </c>
      <c r="J901" s="1" t="s">
        <v>58</v>
      </c>
      <c r="K901">
        <v>1</v>
      </c>
      <c r="L901" s="1" t="s">
        <v>31</v>
      </c>
      <c r="M901" s="1" t="s">
        <v>27</v>
      </c>
      <c r="N901" s="1" t="s">
        <v>35</v>
      </c>
      <c r="O901">
        <v>9</v>
      </c>
      <c r="P901">
        <v>0</v>
      </c>
      <c r="Q901" s="1" t="s">
        <v>82</v>
      </c>
      <c r="R901">
        <v>3</v>
      </c>
      <c r="S901" s="1" t="s">
        <v>27</v>
      </c>
      <c r="T901">
        <v>42702000</v>
      </c>
      <c r="U901" t="s">
        <v>183</v>
      </c>
      <c r="V901" s="1" t="s">
        <v>174</v>
      </c>
      <c r="W901" s="1" t="s">
        <v>175</v>
      </c>
      <c r="X901" s="1" t="str">
        <f>VLOOKUP(V901,Broker_Directory!A:C,3,FALSE)</f>
        <v>Tier A</v>
      </c>
      <c r="Y901" s="1">
        <f>HLOOKUP(X901, Commission_Rates!A$1:C$2, 2, FALSE)</f>
        <v>0.02</v>
      </c>
      <c r="Z901" s="1">
        <f t="shared" si="42"/>
        <v>0</v>
      </c>
      <c r="AA901" s="1">
        <f t="shared" si="43"/>
        <v>0</v>
      </c>
      <c r="AB901" s="1">
        <f t="shared" si="44"/>
        <v>0</v>
      </c>
    </row>
    <row r="902" spans="1:28" x14ac:dyDescent="0.3">
      <c r="A902" s="1" t="s">
        <v>20</v>
      </c>
      <c r="B902" s="1" t="s">
        <v>133</v>
      </c>
      <c r="C902">
        <v>4</v>
      </c>
      <c r="D902">
        <v>4</v>
      </c>
      <c r="E902">
        <v>515</v>
      </c>
      <c r="F902">
        <v>1288</v>
      </c>
      <c r="G902">
        <v>3</v>
      </c>
      <c r="H902">
        <v>1956</v>
      </c>
      <c r="I902">
        <v>0</v>
      </c>
      <c r="J902" s="1" t="s">
        <v>30</v>
      </c>
      <c r="K902">
        <v>1</v>
      </c>
      <c r="L902" s="1" t="s">
        <v>41</v>
      </c>
      <c r="M902" s="1" t="s">
        <v>27</v>
      </c>
      <c r="N902" s="1" t="s">
        <v>35</v>
      </c>
      <c r="O902">
        <v>5</v>
      </c>
      <c r="P902">
        <v>0</v>
      </c>
      <c r="Q902" s="1" t="s">
        <v>148</v>
      </c>
      <c r="R902">
        <v>2</v>
      </c>
      <c r="S902" s="1" t="s">
        <v>24</v>
      </c>
      <c r="T902">
        <v>6640000</v>
      </c>
      <c r="U902" t="s">
        <v>182</v>
      </c>
      <c r="V902" s="1" t="s">
        <v>171</v>
      </c>
      <c r="W902" s="1" t="s">
        <v>172</v>
      </c>
      <c r="X902" s="1" t="str">
        <f>VLOOKUP(V902,Broker_Directory!A:C,3,FALSE)</f>
        <v>Tier B</v>
      </c>
      <c r="Y902" s="1">
        <f>HLOOKUP(X902, Commission_Rates!A$1:C$2, 2, FALSE)</f>
        <v>1.4999999999999999E-2</v>
      </c>
      <c r="Z902" s="1">
        <f t="shared" si="42"/>
        <v>0</v>
      </c>
      <c r="AA902" s="1">
        <f t="shared" si="43"/>
        <v>0</v>
      </c>
      <c r="AB902" s="1">
        <f t="shared" si="44"/>
        <v>0</v>
      </c>
    </row>
    <row r="903" spans="1:28" x14ac:dyDescent="0.3">
      <c r="A903" s="1" t="s">
        <v>37</v>
      </c>
      <c r="B903" s="1" t="s">
        <v>72</v>
      </c>
      <c r="C903">
        <v>5</v>
      </c>
      <c r="D903">
        <v>1</v>
      </c>
      <c r="E903">
        <v>2231</v>
      </c>
      <c r="F903">
        <v>5664</v>
      </c>
      <c r="G903">
        <v>1</v>
      </c>
      <c r="H903">
        <v>1984</v>
      </c>
      <c r="I903">
        <v>2015</v>
      </c>
      <c r="J903" s="1" t="s">
        <v>52</v>
      </c>
      <c r="K903">
        <v>2</v>
      </c>
      <c r="L903" s="1" t="s">
        <v>64</v>
      </c>
      <c r="M903" s="1" t="s">
        <v>24</v>
      </c>
      <c r="N903" s="1" t="s">
        <v>46</v>
      </c>
      <c r="O903">
        <v>4</v>
      </c>
      <c r="P903">
        <v>1</v>
      </c>
      <c r="Q903" s="1" t="s">
        <v>94</v>
      </c>
      <c r="R903">
        <v>0</v>
      </c>
      <c r="S903" s="1" t="s">
        <v>24</v>
      </c>
      <c r="T903">
        <v>18223000</v>
      </c>
      <c r="U903" t="s">
        <v>184</v>
      </c>
      <c r="V903" s="1" t="s">
        <v>179</v>
      </c>
      <c r="W903" s="1" t="s">
        <v>180</v>
      </c>
      <c r="X903" s="1" t="str">
        <f>VLOOKUP(V903,Broker_Directory!A:C,3,FALSE)</f>
        <v>Tier B</v>
      </c>
      <c r="Y903" s="1">
        <f>HLOOKUP(X903, Commission_Rates!A$1:C$2, 2, FALSE)</f>
        <v>1.4999999999999999E-2</v>
      </c>
      <c r="Z903" s="1">
        <f t="shared" si="42"/>
        <v>273345</v>
      </c>
      <c r="AA903" s="1">
        <f t="shared" si="43"/>
        <v>546690</v>
      </c>
      <c r="AB903" s="1">
        <f t="shared" si="44"/>
        <v>273345</v>
      </c>
    </row>
    <row r="904" spans="1:28" x14ac:dyDescent="0.3">
      <c r="A904" s="1" t="s">
        <v>37</v>
      </c>
      <c r="B904" s="1" t="s">
        <v>87</v>
      </c>
      <c r="C904">
        <v>4</v>
      </c>
      <c r="D904">
        <v>2</v>
      </c>
      <c r="E904">
        <v>2269</v>
      </c>
      <c r="F904">
        <v>5679</v>
      </c>
      <c r="G904">
        <v>3</v>
      </c>
      <c r="H904">
        <v>2021</v>
      </c>
      <c r="I904">
        <v>2023</v>
      </c>
      <c r="J904" s="1" t="s">
        <v>30</v>
      </c>
      <c r="K904">
        <v>0</v>
      </c>
      <c r="L904" s="1" t="s">
        <v>31</v>
      </c>
      <c r="M904" s="1" t="s">
        <v>24</v>
      </c>
      <c r="N904" s="1" t="s">
        <v>25</v>
      </c>
      <c r="O904">
        <v>0</v>
      </c>
      <c r="P904">
        <v>2</v>
      </c>
      <c r="Q904" s="1" t="s">
        <v>141</v>
      </c>
      <c r="R904">
        <v>0</v>
      </c>
      <c r="S904" s="1" t="s">
        <v>27</v>
      </c>
      <c r="T904">
        <v>18572000</v>
      </c>
      <c r="U904" t="s">
        <v>183</v>
      </c>
      <c r="V904" s="1" t="s">
        <v>174</v>
      </c>
      <c r="W904" s="1" t="s">
        <v>175</v>
      </c>
      <c r="X904" s="1" t="str">
        <f>VLOOKUP(V904,Broker_Directory!A:C,3,FALSE)</f>
        <v>Tier A</v>
      </c>
      <c r="Y904" s="1">
        <f>HLOOKUP(X904, Commission_Rates!A$1:C$2, 2, FALSE)</f>
        <v>0.02</v>
      </c>
      <c r="Z904" s="1">
        <f t="shared" si="42"/>
        <v>0</v>
      </c>
      <c r="AA904" s="1">
        <f t="shared" si="43"/>
        <v>0</v>
      </c>
      <c r="AB904" s="1">
        <f t="shared" si="44"/>
        <v>0</v>
      </c>
    </row>
    <row r="905" spans="1:28" x14ac:dyDescent="0.3">
      <c r="A905" s="1" t="s">
        <v>53</v>
      </c>
      <c r="B905" s="1" t="s">
        <v>100</v>
      </c>
      <c r="C905">
        <v>1</v>
      </c>
      <c r="D905">
        <v>1</v>
      </c>
      <c r="E905">
        <v>2443</v>
      </c>
      <c r="F905">
        <v>7617</v>
      </c>
      <c r="G905">
        <v>3</v>
      </c>
      <c r="H905">
        <v>1983</v>
      </c>
      <c r="I905">
        <v>2023</v>
      </c>
      <c r="J905" s="1" t="s">
        <v>52</v>
      </c>
      <c r="K905">
        <v>3</v>
      </c>
      <c r="L905" s="1" t="s">
        <v>41</v>
      </c>
      <c r="M905" s="1" t="s">
        <v>24</v>
      </c>
      <c r="N905" s="1" t="s">
        <v>35</v>
      </c>
      <c r="O905">
        <v>3</v>
      </c>
      <c r="P905">
        <v>3</v>
      </c>
      <c r="Q905" s="1" t="s">
        <v>101</v>
      </c>
      <c r="R905">
        <v>0</v>
      </c>
      <c r="S905" s="1" t="s">
        <v>27</v>
      </c>
      <c r="T905">
        <v>22152000</v>
      </c>
      <c r="U905" t="s">
        <v>183</v>
      </c>
      <c r="V905" s="1" t="s">
        <v>179</v>
      </c>
      <c r="W905" s="1" t="s">
        <v>180</v>
      </c>
      <c r="X905" s="1" t="str">
        <f>VLOOKUP(V905,Broker_Directory!A:C,3,FALSE)</f>
        <v>Tier B</v>
      </c>
      <c r="Y905" s="1">
        <f>HLOOKUP(X905, Commission_Rates!A$1:C$2, 2, FALSE)</f>
        <v>1.4999999999999999E-2</v>
      </c>
      <c r="Z905" s="1">
        <f t="shared" si="42"/>
        <v>0</v>
      </c>
      <c r="AA905" s="1">
        <f t="shared" si="43"/>
        <v>0</v>
      </c>
      <c r="AB905" s="1">
        <f t="shared" si="44"/>
        <v>0</v>
      </c>
    </row>
    <row r="906" spans="1:28" x14ac:dyDescent="0.3">
      <c r="A906" s="1" t="s">
        <v>53</v>
      </c>
      <c r="B906" s="1" t="s">
        <v>66</v>
      </c>
      <c r="C906">
        <v>2</v>
      </c>
      <c r="D906">
        <v>1</v>
      </c>
      <c r="E906">
        <v>1459</v>
      </c>
      <c r="F906">
        <v>8063</v>
      </c>
      <c r="G906">
        <v>3</v>
      </c>
      <c r="H906">
        <v>1987</v>
      </c>
      <c r="I906">
        <v>1996</v>
      </c>
      <c r="J906" s="1" t="s">
        <v>30</v>
      </c>
      <c r="K906">
        <v>3</v>
      </c>
      <c r="L906" s="1" t="s">
        <v>64</v>
      </c>
      <c r="M906" s="1" t="s">
        <v>24</v>
      </c>
      <c r="N906" s="1" t="s">
        <v>25</v>
      </c>
      <c r="O906">
        <v>3</v>
      </c>
      <c r="P906">
        <v>3</v>
      </c>
      <c r="Q906" s="1" t="s">
        <v>67</v>
      </c>
      <c r="R906">
        <v>2</v>
      </c>
      <c r="S906" s="1" t="s">
        <v>27</v>
      </c>
      <c r="T906">
        <v>13451000</v>
      </c>
      <c r="U906" t="s">
        <v>182</v>
      </c>
      <c r="V906" s="1" t="s">
        <v>176</v>
      </c>
      <c r="W906" s="1" t="s">
        <v>177</v>
      </c>
      <c r="X906" s="1" t="str">
        <f>VLOOKUP(V906,Broker_Directory!A:C,3,FALSE)</f>
        <v>Tier C</v>
      </c>
      <c r="Y906" s="1">
        <f>HLOOKUP(X906, Commission_Rates!A$1:C$2, 2, FALSE)</f>
        <v>0.01</v>
      </c>
      <c r="Z906" s="1">
        <f t="shared" si="42"/>
        <v>0</v>
      </c>
      <c r="AA906" s="1">
        <f t="shared" si="43"/>
        <v>0</v>
      </c>
      <c r="AB906" s="1">
        <f t="shared" si="44"/>
        <v>0</v>
      </c>
    </row>
    <row r="907" spans="1:28" x14ac:dyDescent="0.3">
      <c r="A907" s="1" t="s">
        <v>28</v>
      </c>
      <c r="B907" s="1" t="s">
        <v>60</v>
      </c>
      <c r="C907">
        <v>3</v>
      </c>
      <c r="D907">
        <v>3</v>
      </c>
      <c r="E907">
        <v>973</v>
      </c>
      <c r="F907">
        <v>8591</v>
      </c>
      <c r="G907">
        <v>1</v>
      </c>
      <c r="H907">
        <v>1999</v>
      </c>
      <c r="I907">
        <v>2007</v>
      </c>
      <c r="J907" s="1" t="s">
        <v>22</v>
      </c>
      <c r="K907">
        <v>1</v>
      </c>
      <c r="L907" s="1" t="s">
        <v>64</v>
      </c>
      <c r="M907" s="1" t="s">
        <v>27</v>
      </c>
      <c r="N907" s="1" t="s">
        <v>46</v>
      </c>
      <c r="O907">
        <v>0</v>
      </c>
      <c r="P907">
        <v>1</v>
      </c>
      <c r="Q907" s="1" t="s">
        <v>136</v>
      </c>
      <c r="R907">
        <v>1</v>
      </c>
      <c r="S907" s="1" t="s">
        <v>27</v>
      </c>
      <c r="T907">
        <v>10005000</v>
      </c>
      <c r="U907" t="s">
        <v>183</v>
      </c>
      <c r="V907" s="1" t="s">
        <v>168</v>
      </c>
      <c r="W907" s="1" t="s">
        <v>169</v>
      </c>
      <c r="X907" s="1" t="str">
        <f>VLOOKUP(V907,Broker_Directory!A:C,3,FALSE)</f>
        <v>Tier A</v>
      </c>
      <c r="Y907" s="1">
        <f>HLOOKUP(X907, Commission_Rates!A$1:C$2, 2, FALSE)</f>
        <v>0.02</v>
      </c>
      <c r="Z907" s="1">
        <f t="shared" si="42"/>
        <v>0</v>
      </c>
      <c r="AA907" s="1">
        <f t="shared" si="43"/>
        <v>0</v>
      </c>
      <c r="AB907" s="1">
        <f t="shared" si="44"/>
        <v>0</v>
      </c>
    </row>
    <row r="908" spans="1:28" x14ac:dyDescent="0.3">
      <c r="A908" s="1" t="s">
        <v>53</v>
      </c>
      <c r="B908" s="1" t="s">
        <v>100</v>
      </c>
      <c r="C908">
        <v>2</v>
      </c>
      <c r="D908">
        <v>3</v>
      </c>
      <c r="E908">
        <v>1870</v>
      </c>
      <c r="F908">
        <v>9777</v>
      </c>
      <c r="G908">
        <v>3</v>
      </c>
      <c r="H908">
        <v>1952</v>
      </c>
      <c r="I908">
        <v>1961</v>
      </c>
      <c r="J908" s="1" t="s">
        <v>22</v>
      </c>
      <c r="K908">
        <v>3</v>
      </c>
      <c r="L908" s="1" t="s">
        <v>64</v>
      </c>
      <c r="M908" s="1" t="s">
        <v>27</v>
      </c>
      <c r="N908" s="1" t="s">
        <v>46</v>
      </c>
      <c r="O908">
        <v>4</v>
      </c>
      <c r="P908">
        <v>4</v>
      </c>
      <c r="Q908" s="1" t="s">
        <v>131</v>
      </c>
      <c r="R908">
        <v>1</v>
      </c>
      <c r="S908" s="1" t="s">
        <v>24</v>
      </c>
      <c r="T908">
        <v>17145000</v>
      </c>
      <c r="U908" t="s">
        <v>182</v>
      </c>
      <c r="V908" s="1" t="s">
        <v>168</v>
      </c>
      <c r="W908" s="1" t="s">
        <v>169</v>
      </c>
      <c r="X908" s="1" t="str">
        <f>VLOOKUP(V908,Broker_Directory!A:C,3,FALSE)</f>
        <v>Tier A</v>
      </c>
      <c r="Y908" s="1">
        <f>HLOOKUP(X908, Commission_Rates!A$1:C$2, 2, FALSE)</f>
        <v>0.02</v>
      </c>
      <c r="Z908" s="1">
        <f t="shared" si="42"/>
        <v>0</v>
      </c>
      <c r="AA908" s="1">
        <f t="shared" si="43"/>
        <v>0</v>
      </c>
      <c r="AB908" s="1">
        <f t="shared" si="44"/>
        <v>0</v>
      </c>
    </row>
    <row r="909" spans="1:28" x14ac:dyDescent="0.3">
      <c r="A909" s="1" t="s">
        <v>53</v>
      </c>
      <c r="B909" s="1" t="s">
        <v>66</v>
      </c>
      <c r="C909">
        <v>5</v>
      </c>
      <c r="D909">
        <v>2</v>
      </c>
      <c r="E909">
        <v>2556</v>
      </c>
      <c r="F909">
        <v>5322</v>
      </c>
      <c r="G909">
        <v>3</v>
      </c>
      <c r="H909">
        <v>1967</v>
      </c>
      <c r="I909">
        <v>1995</v>
      </c>
      <c r="J909" s="1" t="s">
        <v>58</v>
      </c>
      <c r="K909">
        <v>2</v>
      </c>
      <c r="L909" s="1" t="s">
        <v>23</v>
      </c>
      <c r="M909" s="1" t="s">
        <v>27</v>
      </c>
      <c r="N909" s="1" t="s">
        <v>35</v>
      </c>
      <c r="O909">
        <v>10</v>
      </c>
      <c r="P909">
        <v>0</v>
      </c>
      <c r="Q909" s="1" t="s">
        <v>82</v>
      </c>
      <c r="R909">
        <v>1</v>
      </c>
      <c r="S909" s="1" t="s">
        <v>24</v>
      </c>
      <c r="T909">
        <v>23439000</v>
      </c>
      <c r="U909" t="s">
        <v>182</v>
      </c>
      <c r="V909" s="1" t="s">
        <v>174</v>
      </c>
      <c r="W909" s="1" t="s">
        <v>175</v>
      </c>
      <c r="X909" s="1" t="str">
        <f>VLOOKUP(V909,Broker_Directory!A:C,3,FALSE)</f>
        <v>Tier A</v>
      </c>
      <c r="Y909" s="1">
        <f>HLOOKUP(X909, Commission_Rates!A$1:C$2, 2, FALSE)</f>
        <v>0.02</v>
      </c>
      <c r="Z909" s="1">
        <f t="shared" si="42"/>
        <v>0</v>
      </c>
      <c r="AA909" s="1">
        <f t="shared" si="43"/>
        <v>0</v>
      </c>
      <c r="AB909" s="1">
        <f t="shared" si="44"/>
        <v>0</v>
      </c>
    </row>
    <row r="910" spans="1:28" x14ac:dyDescent="0.3">
      <c r="A910" s="1" t="s">
        <v>28</v>
      </c>
      <c r="B910" s="1" t="s">
        <v>110</v>
      </c>
      <c r="C910">
        <v>3</v>
      </c>
      <c r="D910">
        <v>2</v>
      </c>
      <c r="E910">
        <v>4610</v>
      </c>
      <c r="F910">
        <v>6771</v>
      </c>
      <c r="G910">
        <v>3</v>
      </c>
      <c r="H910">
        <v>1990</v>
      </c>
      <c r="I910">
        <v>1996</v>
      </c>
      <c r="J910" s="1" t="s">
        <v>22</v>
      </c>
      <c r="K910">
        <v>1</v>
      </c>
      <c r="L910" s="1" t="s">
        <v>31</v>
      </c>
      <c r="M910" s="1" t="s">
        <v>24</v>
      </c>
      <c r="N910" s="1" t="s">
        <v>25</v>
      </c>
      <c r="O910">
        <v>1</v>
      </c>
      <c r="P910">
        <v>5</v>
      </c>
      <c r="Q910" s="1" t="s">
        <v>155</v>
      </c>
      <c r="R910">
        <v>3</v>
      </c>
      <c r="S910" s="1" t="s">
        <v>24</v>
      </c>
      <c r="T910">
        <v>46565000</v>
      </c>
      <c r="U910" t="s">
        <v>184</v>
      </c>
      <c r="V910" s="1" t="s">
        <v>176</v>
      </c>
      <c r="W910" s="1" t="s">
        <v>177</v>
      </c>
      <c r="X910" s="1" t="str">
        <f>VLOOKUP(V910,Broker_Directory!A:C,3,FALSE)</f>
        <v>Tier C</v>
      </c>
      <c r="Y910" s="1">
        <f>HLOOKUP(X910, Commission_Rates!A$1:C$2, 2, FALSE)</f>
        <v>0.01</v>
      </c>
      <c r="Z910" s="1">
        <f t="shared" si="42"/>
        <v>465650</v>
      </c>
      <c r="AA910" s="1">
        <f t="shared" si="43"/>
        <v>1396950</v>
      </c>
      <c r="AB910" s="1">
        <f t="shared" si="44"/>
        <v>931300</v>
      </c>
    </row>
    <row r="911" spans="1:28" x14ac:dyDescent="0.3">
      <c r="A911" s="1" t="s">
        <v>33</v>
      </c>
      <c r="B911" s="1" t="s">
        <v>48</v>
      </c>
      <c r="C911">
        <v>5</v>
      </c>
      <c r="D911">
        <v>2</v>
      </c>
      <c r="E911">
        <v>2275</v>
      </c>
      <c r="F911">
        <v>7185</v>
      </c>
      <c r="G911">
        <v>1</v>
      </c>
      <c r="H911">
        <v>1975</v>
      </c>
      <c r="I911">
        <v>2005</v>
      </c>
      <c r="J911" s="1" t="s">
        <v>52</v>
      </c>
      <c r="K911">
        <v>1</v>
      </c>
      <c r="L911" s="1" t="s">
        <v>41</v>
      </c>
      <c r="M911" s="1" t="s">
        <v>27</v>
      </c>
      <c r="N911" s="1" t="s">
        <v>25</v>
      </c>
      <c r="O911">
        <v>0</v>
      </c>
      <c r="P911">
        <v>3</v>
      </c>
      <c r="Q911" s="1" t="s">
        <v>49</v>
      </c>
      <c r="R911">
        <v>0</v>
      </c>
      <c r="S911" s="1" t="s">
        <v>24</v>
      </c>
      <c r="T911">
        <v>19792500</v>
      </c>
      <c r="U911" t="s">
        <v>183</v>
      </c>
      <c r="V911" s="1" t="s">
        <v>179</v>
      </c>
      <c r="W911" s="1" t="s">
        <v>180</v>
      </c>
      <c r="X911" s="1" t="str">
        <f>VLOOKUP(V911,Broker_Directory!A:C,3,FALSE)</f>
        <v>Tier B</v>
      </c>
      <c r="Y911" s="1">
        <f>HLOOKUP(X911, Commission_Rates!A$1:C$2, 2, FALSE)</f>
        <v>1.4999999999999999E-2</v>
      </c>
      <c r="Z911" s="1">
        <f t="shared" si="42"/>
        <v>0</v>
      </c>
      <c r="AA911" s="1">
        <f t="shared" si="43"/>
        <v>0</v>
      </c>
      <c r="AB911" s="1">
        <f t="shared" si="44"/>
        <v>0</v>
      </c>
    </row>
    <row r="912" spans="1:28" x14ac:dyDescent="0.3">
      <c r="A912" s="1" t="s">
        <v>33</v>
      </c>
      <c r="B912" s="1" t="s">
        <v>43</v>
      </c>
      <c r="C912">
        <v>4</v>
      </c>
      <c r="D912">
        <v>3</v>
      </c>
      <c r="E912">
        <v>3489</v>
      </c>
      <c r="F912">
        <v>4319</v>
      </c>
      <c r="G912">
        <v>2</v>
      </c>
      <c r="H912">
        <v>2014</v>
      </c>
      <c r="I912">
        <v>2019</v>
      </c>
      <c r="J912" s="1" t="s">
        <v>58</v>
      </c>
      <c r="K912">
        <v>0</v>
      </c>
      <c r="L912" s="1" t="s">
        <v>31</v>
      </c>
      <c r="M912" s="1" t="s">
        <v>24</v>
      </c>
      <c r="N912" s="1" t="s">
        <v>25</v>
      </c>
      <c r="O912">
        <v>0</v>
      </c>
      <c r="P912">
        <v>4</v>
      </c>
      <c r="Q912" s="1" t="s">
        <v>83</v>
      </c>
      <c r="R912">
        <v>2</v>
      </c>
      <c r="S912" s="1" t="s">
        <v>27</v>
      </c>
      <c r="T912">
        <v>30116500</v>
      </c>
      <c r="U912" t="s">
        <v>184</v>
      </c>
      <c r="V912" s="1" t="s">
        <v>179</v>
      </c>
      <c r="W912" s="1" t="s">
        <v>180</v>
      </c>
      <c r="X912" s="1" t="str">
        <f>VLOOKUP(V912,Broker_Directory!A:C,3,FALSE)</f>
        <v>Tier B</v>
      </c>
      <c r="Y912" s="1">
        <f>HLOOKUP(X912, Commission_Rates!A$1:C$2, 2, FALSE)</f>
        <v>1.4999999999999999E-2</v>
      </c>
      <c r="Z912" s="1">
        <f t="shared" si="42"/>
        <v>451747.5</v>
      </c>
      <c r="AA912" s="1">
        <f t="shared" si="43"/>
        <v>903495</v>
      </c>
      <c r="AB912" s="1">
        <f t="shared" si="44"/>
        <v>451747.5</v>
      </c>
    </row>
    <row r="913" spans="1:28" x14ac:dyDescent="0.3">
      <c r="A913" s="1" t="s">
        <v>20</v>
      </c>
      <c r="B913" s="1" t="s">
        <v>133</v>
      </c>
      <c r="C913">
        <v>2</v>
      </c>
      <c r="D913">
        <v>1</v>
      </c>
      <c r="E913">
        <v>2302</v>
      </c>
      <c r="F913">
        <v>7991</v>
      </c>
      <c r="G913">
        <v>2</v>
      </c>
      <c r="H913">
        <v>1992</v>
      </c>
      <c r="I913">
        <v>2021</v>
      </c>
      <c r="J913" s="1" t="s">
        <v>22</v>
      </c>
      <c r="K913">
        <v>2</v>
      </c>
      <c r="L913" s="1" t="s">
        <v>64</v>
      </c>
      <c r="M913" s="1" t="s">
        <v>24</v>
      </c>
      <c r="N913" s="1" t="s">
        <v>35</v>
      </c>
      <c r="O913">
        <v>6</v>
      </c>
      <c r="P913">
        <v>0</v>
      </c>
      <c r="Q913" s="1" t="s">
        <v>134</v>
      </c>
      <c r="R913">
        <v>3</v>
      </c>
      <c r="S913" s="1" t="s">
        <v>27</v>
      </c>
      <c r="T913">
        <v>27864000</v>
      </c>
      <c r="U913" t="s">
        <v>182</v>
      </c>
      <c r="V913" s="1" t="s">
        <v>176</v>
      </c>
      <c r="W913" s="1" t="s">
        <v>177</v>
      </c>
      <c r="X913" s="1" t="str">
        <f>VLOOKUP(V913,Broker_Directory!A:C,3,FALSE)</f>
        <v>Tier C</v>
      </c>
      <c r="Y913" s="1">
        <f>HLOOKUP(X913, Commission_Rates!A$1:C$2, 2, FALSE)</f>
        <v>0.01</v>
      </c>
      <c r="Z913" s="1">
        <f t="shared" si="42"/>
        <v>0</v>
      </c>
      <c r="AA913" s="1">
        <f t="shared" si="43"/>
        <v>0</v>
      </c>
      <c r="AB913" s="1">
        <f t="shared" si="44"/>
        <v>0</v>
      </c>
    </row>
    <row r="914" spans="1:28" x14ac:dyDescent="0.3">
      <c r="A914" s="1" t="s">
        <v>33</v>
      </c>
      <c r="B914" s="1" t="s">
        <v>34</v>
      </c>
      <c r="C914">
        <v>2</v>
      </c>
      <c r="D914">
        <v>1</v>
      </c>
      <c r="E914">
        <v>924</v>
      </c>
      <c r="F914">
        <v>6073</v>
      </c>
      <c r="G914">
        <v>3</v>
      </c>
      <c r="H914">
        <v>1959</v>
      </c>
      <c r="I914">
        <v>1973</v>
      </c>
      <c r="J914" s="1" t="s">
        <v>30</v>
      </c>
      <c r="K914">
        <v>0</v>
      </c>
      <c r="L914" s="1" t="s">
        <v>64</v>
      </c>
      <c r="M914" s="1" t="s">
        <v>24</v>
      </c>
      <c r="N914" s="1" t="s">
        <v>25</v>
      </c>
      <c r="O914">
        <v>6</v>
      </c>
      <c r="P914">
        <v>4</v>
      </c>
      <c r="Q914" s="1" t="s">
        <v>85</v>
      </c>
      <c r="R914">
        <v>2</v>
      </c>
      <c r="S914" s="1" t="s">
        <v>24</v>
      </c>
      <c r="T914">
        <v>8224000</v>
      </c>
      <c r="U914" t="s">
        <v>182</v>
      </c>
      <c r="V914" s="1" t="s">
        <v>168</v>
      </c>
      <c r="W914" s="1" t="s">
        <v>169</v>
      </c>
      <c r="X914" s="1" t="str">
        <f>VLOOKUP(V914,Broker_Directory!A:C,3,FALSE)</f>
        <v>Tier A</v>
      </c>
      <c r="Y914" s="1">
        <f>HLOOKUP(X914, Commission_Rates!A$1:C$2, 2, FALSE)</f>
        <v>0.02</v>
      </c>
      <c r="Z914" s="1">
        <f t="shared" si="42"/>
        <v>0</v>
      </c>
      <c r="AA914" s="1">
        <f t="shared" si="43"/>
        <v>0</v>
      </c>
      <c r="AB914" s="1">
        <f t="shared" si="44"/>
        <v>0</v>
      </c>
    </row>
    <row r="915" spans="1:28" x14ac:dyDescent="0.3">
      <c r="A915" s="1" t="s">
        <v>33</v>
      </c>
      <c r="B915" s="1" t="s">
        <v>75</v>
      </c>
      <c r="C915">
        <v>4</v>
      </c>
      <c r="D915">
        <v>2</v>
      </c>
      <c r="E915">
        <v>1697</v>
      </c>
      <c r="F915">
        <v>4330</v>
      </c>
      <c r="G915">
        <v>1</v>
      </c>
      <c r="H915">
        <v>2014</v>
      </c>
      <c r="I915">
        <v>2015</v>
      </c>
      <c r="J915" s="1" t="s">
        <v>58</v>
      </c>
      <c r="K915">
        <v>1</v>
      </c>
      <c r="L915" s="1" t="s">
        <v>41</v>
      </c>
      <c r="M915" s="1" t="s">
        <v>27</v>
      </c>
      <c r="N915" s="1" t="s">
        <v>46</v>
      </c>
      <c r="O915">
        <v>5</v>
      </c>
      <c r="P915">
        <v>3</v>
      </c>
      <c r="Q915" s="1" t="s">
        <v>76</v>
      </c>
      <c r="R915">
        <v>0</v>
      </c>
      <c r="S915" s="1" t="s">
        <v>27</v>
      </c>
      <c r="T915">
        <v>14704500</v>
      </c>
      <c r="U915" t="s">
        <v>184</v>
      </c>
      <c r="V915" s="1" t="s">
        <v>179</v>
      </c>
      <c r="W915" s="1" t="s">
        <v>180</v>
      </c>
      <c r="X915" s="1" t="str">
        <f>VLOOKUP(V915,Broker_Directory!A:C,3,FALSE)</f>
        <v>Tier B</v>
      </c>
      <c r="Y915" s="1">
        <f>HLOOKUP(X915, Commission_Rates!A$1:C$2, 2, FALSE)</f>
        <v>1.4999999999999999E-2</v>
      </c>
      <c r="Z915" s="1">
        <f t="shared" si="42"/>
        <v>220567.5</v>
      </c>
      <c r="AA915" s="1">
        <f t="shared" si="43"/>
        <v>441135</v>
      </c>
      <c r="AB915" s="1">
        <f t="shared" si="44"/>
        <v>220567.5</v>
      </c>
    </row>
    <row r="916" spans="1:28" x14ac:dyDescent="0.3">
      <c r="A916" s="1" t="s">
        <v>20</v>
      </c>
      <c r="B916" s="1" t="s">
        <v>69</v>
      </c>
      <c r="C916">
        <v>2</v>
      </c>
      <c r="D916">
        <v>4</v>
      </c>
      <c r="E916">
        <v>651</v>
      </c>
      <c r="F916">
        <v>6711</v>
      </c>
      <c r="G916">
        <v>3</v>
      </c>
      <c r="H916">
        <v>1952</v>
      </c>
      <c r="I916">
        <v>1994</v>
      </c>
      <c r="J916" s="1" t="s">
        <v>52</v>
      </c>
      <c r="K916">
        <v>3</v>
      </c>
      <c r="L916" s="1" t="s">
        <v>41</v>
      </c>
      <c r="M916" s="1" t="s">
        <v>27</v>
      </c>
      <c r="N916" s="1" t="s">
        <v>46</v>
      </c>
      <c r="O916">
        <v>0</v>
      </c>
      <c r="P916">
        <v>4</v>
      </c>
      <c r="Q916" s="1" t="s">
        <v>74</v>
      </c>
      <c r="R916">
        <v>0</v>
      </c>
      <c r="S916" s="1" t="s">
        <v>24</v>
      </c>
      <c r="T916">
        <v>8142000</v>
      </c>
      <c r="U916" t="s">
        <v>182</v>
      </c>
      <c r="V916" s="1" t="s">
        <v>171</v>
      </c>
      <c r="W916" s="1" t="s">
        <v>172</v>
      </c>
      <c r="X916" s="1" t="str">
        <f>VLOOKUP(V916,Broker_Directory!A:C,3,FALSE)</f>
        <v>Tier B</v>
      </c>
      <c r="Y916" s="1">
        <f>HLOOKUP(X916, Commission_Rates!A$1:C$2, 2, FALSE)</f>
        <v>1.4999999999999999E-2</v>
      </c>
      <c r="Z916" s="1">
        <f t="shared" si="42"/>
        <v>0</v>
      </c>
      <c r="AA916" s="1">
        <f t="shared" si="43"/>
        <v>0</v>
      </c>
      <c r="AB916" s="1">
        <f t="shared" si="44"/>
        <v>0</v>
      </c>
    </row>
    <row r="917" spans="1:28" x14ac:dyDescent="0.3">
      <c r="A917" s="1" t="s">
        <v>37</v>
      </c>
      <c r="B917" s="1" t="s">
        <v>87</v>
      </c>
      <c r="C917">
        <v>1</v>
      </c>
      <c r="D917">
        <v>2</v>
      </c>
      <c r="E917">
        <v>753</v>
      </c>
      <c r="F917">
        <v>9326</v>
      </c>
      <c r="G917">
        <v>1</v>
      </c>
      <c r="H917">
        <v>1996</v>
      </c>
      <c r="I917">
        <v>2007</v>
      </c>
      <c r="J917" s="1" t="s">
        <v>22</v>
      </c>
      <c r="K917">
        <v>0</v>
      </c>
      <c r="L917" s="1" t="s">
        <v>23</v>
      </c>
      <c r="M917" s="1" t="s">
        <v>27</v>
      </c>
      <c r="N917" s="1" t="s">
        <v>25</v>
      </c>
      <c r="O917">
        <v>10</v>
      </c>
      <c r="P917">
        <v>3</v>
      </c>
      <c r="Q917" s="1" t="s">
        <v>141</v>
      </c>
      <c r="R917">
        <v>2</v>
      </c>
      <c r="S917" s="1" t="s">
        <v>24</v>
      </c>
      <c r="T917">
        <v>6309000</v>
      </c>
      <c r="U917" t="s">
        <v>183</v>
      </c>
      <c r="V917" s="1" t="s">
        <v>171</v>
      </c>
      <c r="W917" s="1" t="s">
        <v>172</v>
      </c>
      <c r="X917" s="1" t="str">
        <f>VLOOKUP(V917,Broker_Directory!A:C,3,FALSE)</f>
        <v>Tier B</v>
      </c>
      <c r="Y917" s="1">
        <f>HLOOKUP(X917, Commission_Rates!A$1:C$2, 2, FALSE)</f>
        <v>1.4999999999999999E-2</v>
      </c>
      <c r="Z917" s="1">
        <f t="shared" si="42"/>
        <v>0</v>
      </c>
      <c r="AA917" s="1">
        <f t="shared" si="43"/>
        <v>0</v>
      </c>
      <c r="AB917" s="1">
        <f t="shared" si="44"/>
        <v>0</v>
      </c>
    </row>
    <row r="918" spans="1:28" x14ac:dyDescent="0.3">
      <c r="A918" s="1" t="s">
        <v>20</v>
      </c>
      <c r="B918" s="1" t="s">
        <v>40</v>
      </c>
      <c r="C918">
        <v>2</v>
      </c>
      <c r="D918">
        <v>3</v>
      </c>
      <c r="E918">
        <v>3089</v>
      </c>
      <c r="F918">
        <v>6053</v>
      </c>
      <c r="G918">
        <v>1</v>
      </c>
      <c r="H918">
        <v>2005</v>
      </c>
      <c r="I918">
        <v>2020</v>
      </c>
      <c r="J918" s="1" t="s">
        <v>52</v>
      </c>
      <c r="K918">
        <v>3</v>
      </c>
      <c r="L918" s="1" t="s">
        <v>23</v>
      </c>
      <c r="M918" s="1" t="s">
        <v>27</v>
      </c>
      <c r="N918" s="1" t="s">
        <v>35</v>
      </c>
      <c r="O918">
        <v>7</v>
      </c>
      <c r="P918">
        <v>3</v>
      </c>
      <c r="Q918" s="1" t="s">
        <v>143</v>
      </c>
      <c r="R918">
        <v>1</v>
      </c>
      <c r="S918" s="1" t="s">
        <v>27</v>
      </c>
      <c r="T918">
        <v>37293000</v>
      </c>
      <c r="U918" t="s">
        <v>183</v>
      </c>
      <c r="V918" s="1" t="s">
        <v>174</v>
      </c>
      <c r="W918" s="1" t="s">
        <v>175</v>
      </c>
      <c r="X918" s="1" t="str">
        <f>VLOOKUP(V918,Broker_Directory!A:C,3,FALSE)</f>
        <v>Tier A</v>
      </c>
      <c r="Y918" s="1">
        <f>HLOOKUP(X918, Commission_Rates!A$1:C$2, 2, FALSE)</f>
        <v>0.02</v>
      </c>
      <c r="Z918" s="1">
        <f t="shared" si="42"/>
        <v>0</v>
      </c>
      <c r="AA918" s="1">
        <f t="shared" si="43"/>
        <v>0</v>
      </c>
      <c r="AB918" s="1">
        <f t="shared" si="44"/>
        <v>0</v>
      </c>
    </row>
    <row r="919" spans="1:28" x14ac:dyDescent="0.3">
      <c r="A919" s="1" t="s">
        <v>53</v>
      </c>
      <c r="B919" s="1" t="s">
        <v>105</v>
      </c>
      <c r="C919">
        <v>1</v>
      </c>
      <c r="D919">
        <v>2</v>
      </c>
      <c r="E919">
        <v>2790</v>
      </c>
      <c r="F919">
        <v>7382</v>
      </c>
      <c r="G919">
        <v>1</v>
      </c>
      <c r="H919">
        <v>2017</v>
      </c>
      <c r="I919">
        <v>2023</v>
      </c>
      <c r="J919" s="1" t="s">
        <v>52</v>
      </c>
      <c r="K919">
        <v>2</v>
      </c>
      <c r="L919" s="1" t="s">
        <v>64</v>
      </c>
      <c r="M919" s="1" t="s">
        <v>24</v>
      </c>
      <c r="N919" s="1" t="s">
        <v>46</v>
      </c>
      <c r="O919">
        <v>10</v>
      </c>
      <c r="P919">
        <v>4</v>
      </c>
      <c r="Q919" s="1" t="s">
        <v>116</v>
      </c>
      <c r="R919">
        <v>3</v>
      </c>
      <c r="S919" s="1" t="s">
        <v>24</v>
      </c>
      <c r="T919">
        <v>25360000</v>
      </c>
      <c r="U919" t="s">
        <v>184</v>
      </c>
      <c r="V919" s="1" t="s">
        <v>179</v>
      </c>
      <c r="W919" s="1" t="s">
        <v>180</v>
      </c>
      <c r="X919" s="1" t="str">
        <f>VLOOKUP(V919,Broker_Directory!A:C,3,FALSE)</f>
        <v>Tier B</v>
      </c>
      <c r="Y919" s="1">
        <f>HLOOKUP(X919, Commission_Rates!A$1:C$2, 2, FALSE)</f>
        <v>1.4999999999999999E-2</v>
      </c>
      <c r="Z919" s="1">
        <f t="shared" si="42"/>
        <v>380400</v>
      </c>
      <c r="AA919" s="1">
        <f t="shared" si="43"/>
        <v>760800</v>
      </c>
      <c r="AB919" s="1">
        <f t="shared" si="44"/>
        <v>380400</v>
      </c>
    </row>
    <row r="920" spans="1:28" x14ac:dyDescent="0.3">
      <c r="A920" s="1" t="s">
        <v>28</v>
      </c>
      <c r="B920" s="1" t="s">
        <v>110</v>
      </c>
      <c r="C920">
        <v>3</v>
      </c>
      <c r="D920">
        <v>1</v>
      </c>
      <c r="E920">
        <v>737</v>
      </c>
      <c r="F920">
        <v>2465</v>
      </c>
      <c r="G920">
        <v>3</v>
      </c>
      <c r="H920">
        <v>1997</v>
      </c>
      <c r="I920">
        <v>2010</v>
      </c>
      <c r="J920" s="1" t="s">
        <v>58</v>
      </c>
      <c r="K920">
        <v>0</v>
      </c>
      <c r="L920" s="1" t="s">
        <v>64</v>
      </c>
      <c r="M920" s="1" t="s">
        <v>24</v>
      </c>
      <c r="N920" s="1" t="s">
        <v>46</v>
      </c>
      <c r="O920">
        <v>4</v>
      </c>
      <c r="P920">
        <v>4</v>
      </c>
      <c r="Q920" s="1" t="s">
        <v>117</v>
      </c>
      <c r="R920">
        <v>0</v>
      </c>
      <c r="S920" s="1" t="s">
        <v>27</v>
      </c>
      <c r="T920">
        <v>7635000</v>
      </c>
      <c r="U920" t="s">
        <v>183</v>
      </c>
      <c r="V920" s="1" t="s">
        <v>168</v>
      </c>
      <c r="W920" s="1" t="s">
        <v>169</v>
      </c>
      <c r="X920" s="1" t="str">
        <f>VLOOKUP(V920,Broker_Directory!A:C,3,FALSE)</f>
        <v>Tier A</v>
      </c>
      <c r="Y920" s="1">
        <f>HLOOKUP(X920, Commission_Rates!A$1:C$2, 2, FALSE)</f>
        <v>0.02</v>
      </c>
      <c r="Z920" s="1">
        <f t="shared" si="42"/>
        <v>0</v>
      </c>
      <c r="AA920" s="1">
        <f t="shared" si="43"/>
        <v>0</v>
      </c>
      <c r="AB920" s="1">
        <f t="shared" si="44"/>
        <v>0</v>
      </c>
    </row>
    <row r="921" spans="1:28" x14ac:dyDescent="0.3">
      <c r="A921" s="1" t="s">
        <v>53</v>
      </c>
      <c r="B921" s="1" t="s">
        <v>100</v>
      </c>
      <c r="C921">
        <v>2</v>
      </c>
      <c r="D921">
        <v>4</v>
      </c>
      <c r="E921">
        <v>4992</v>
      </c>
      <c r="F921">
        <v>8488</v>
      </c>
      <c r="G921">
        <v>3</v>
      </c>
      <c r="H921">
        <v>2023</v>
      </c>
      <c r="I921">
        <v>2025</v>
      </c>
      <c r="J921" s="1" t="s">
        <v>30</v>
      </c>
      <c r="K921">
        <v>3</v>
      </c>
      <c r="L921" s="1" t="s">
        <v>23</v>
      </c>
      <c r="M921" s="1" t="s">
        <v>27</v>
      </c>
      <c r="N921" s="1" t="s">
        <v>25</v>
      </c>
      <c r="O921">
        <v>8</v>
      </c>
      <c r="P921">
        <v>2</v>
      </c>
      <c r="Q921" s="1" t="s">
        <v>104</v>
      </c>
      <c r="R921">
        <v>1</v>
      </c>
      <c r="S921" s="1" t="s">
        <v>24</v>
      </c>
      <c r="T921">
        <v>45348000</v>
      </c>
      <c r="U921" t="s">
        <v>184</v>
      </c>
      <c r="V921" s="1" t="s">
        <v>168</v>
      </c>
      <c r="W921" s="1" t="s">
        <v>169</v>
      </c>
      <c r="X921" s="1" t="str">
        <f>VLOOKUP(V921,Broker_Directory!A:C,3,FALSE)</f>
        <v>Tier A</v>
      </c>
      <c r="Y921" s="1">
        <f>HLOOKUP(X921, Commission_Rates!A$1:C$2, 2, FALSE)</f>
        <v>0.02</v>
      </c>
      <c r="Z921" s="1">
        <f t="shared" si="42"/>
        <v>906960</v>
      </c>
      <c r="AA921" s="1">
        <f t="shared" si="43"/>
        <v>1360440</v>
      </c>
      <c r="AB921" s="1">
        <f t="shared" si="44"/>
        <v>453480</v>
      </c>
    </row>
    <row r="922" spans="1:28" x14ac:dyDescent="0.3">
      <c r="A922" s="1" t="s">
        <v>53</v>
      </c>
      <c r="B922" s="1" t="s">
        <v>100</v>
      </c>
      <c r="C922">
        <v>1</v>
      </c>
      <c r="D922">
        <v>3</v>
      </c>
      <c r="E922">
        <v>474</v>
      </c>
      <c r="F922">
        <v>8723</v>
      </c>
      <c r="G922">
        <v>2</v>
      </c>
      <c r="H922">
        <v>2022</v>
      </c>
      <c r="I922">
        <v>2025</v>
      </c>
      <c r="J922" s="1" t="s">
        <v>52</v>
      </c>
      <c r="K922">
        <v>1</v>
      </c>
      <c r="L922" s="1" t="s">
        <v>31</v>
      </c>
      <c r="M922" s="1" t="s">
        <v>24</v>
      </c>
      <c r="N922" s="1" t="s">
        <v>25</v>
      </c>
      <c r="O922">
        <v>3</v>
      </c>
      <c r="P922">
        <v>2</v>
      </c>
      <c r="Q922" s="1" t="s">
        <v>101</v>
      </c>
      <c r="R922">
        <v>3</v>
      </c>
      <c r="S922" s="1" t="s">
        <v>27</v>
      </c>
      <c r="T922">
        <v>4591000</v>
      </c>
      <c r="U922" t="s">
        <v>182</v>
      </c>
      <c r="V922" s="1" t="s">
        <v>168</v>
      </c>
      <c r="W922" s="1" t="s">
        <v>169</v>
      </c>
      <c r="X922" s="1" t="str">
        <f>VLOOKUP(V922,Broker_Directory!A:C,3,FALSE)</f>
        <v>Tier A</v>
      </c>
      <c r="Y922" s="1">
        <f>HLOOKUP(X922, Commission_Rates!A$1:C$2, 2, FALSE)</f>
        <v>0.02</v>
      </c>
      <c r="Z922" s="1">
        <f t="shared" si="42"/>
        <v>0</v>
      </c>
      <c r="AA922" s="1">
        <f t="shared" si="43"/>
        <v>0</v>
      </c>
      <c r="AB922" s="1">
        <f t="shared" si="44"/>
        <v>0</v>
      </c>
    </row>
    <row r="923" spans="1:28" x14ac:dyDescent="0.3">
      <c r="A923" s="1" t="s">
        <v>33</v>
      </c>
      <c r="B923" s="1" t="s">
        <v>43</v>
      </c>
      <c r="C923">
        <v>1</v>
      </c>
      <c r="D923">
        <v>4</v>
      </c>
      <c r="E923">
        <v>488</v>
      </c>
      <c r="F923">
        <v>9678</v>
      </c>
      <c r="G923">
        <v>2</v>
      </c>
      <c r="H923">
        <v>1969</v>
      </c>
      <c r="I923">
        <v>1993</v>
      </c>
      <c r="J923" s="1" t="s">
        <v>58</v>
      </c>
      <c r="K923">
        <v>3</v>
      </c>
      <c r="L923" s="1" t="s">
        <v>41</v>
      </c>
      <c r="M923" s="1" t="s">
        <v>24</v>
      </c>
      <c r="N923" s="1" t="s">
        <v>35</v>
      </c>
      <c r="O923">
        <v>7</v>
      </c>
      <c r="P923">
        <v>1</v>
      </c>
      <c r="Q923" s="1" t="s">
        <v>130</v>
      </c>
      <c r="R923">
        <v>2</v>
      </c>
      <c r="S923" s="1" t="s">
        <v>24</v>
      </c>
      <c r="T923">
        <v>4463000</v>
      </c>
      <c r="U923" t="s">
        <v>183</v>
      </c>
      <c r="V923" s="1" t="s">
        <v>179</v>
      </c>
      <c r="W923" s="1" t="s">
        <v>180</v>
      </c>
      <c r="X923" s="1" t="str">
        <f>VLOOKUP(V923,Broker_Directory!A:C,3,FALSE)</f>
        <v>Tier B</v>
      </c>
      <c r="Y923" s="1">
        <f>HLOOKUP(X923, Commission_Rates!A$1:C$2, 2, FALSE)</f>
        <v>1.4999999999999999E-2</v>
      </c>
      <c r="Z923" s="1">
        <f t="shared" si="42"/>
        <v>0</v>
      </c>
      <c r="AA923" s="1">
        <f t="shared" si="43"/>
        <v>0</v>
      </c>
      <c r="AB923" s="1">
        <f t="shared" si="44"/>
        <v>0</v>
      </c>
    </row>
    <row r="924" spans="1:28" x14ac:dyDescent="0.3">
      <c r="A924" s="1" t="s">
        <v>33</v>
      </c>
      <c r="B924" s="1" t="s">
        <v>43</v>
      </c>
      <c r="C924">
        <v>2</v>
      </c>
      <c r="D924">
        <v>3</v>
      </c>
      <c r="E924">
        <v>3263</v>
      </c>
      <c r="F924">
        <v>8639</v>
      </c>
      <c r="G924">
        <v>1</v>
      </c>
      <c r="H924">
        <v>2016</v>
      </c>
      <c r="I924">
        <v>2017</v>
      </c>
      <c r="J924" s="1" t="s">
        <v>58</v>
      </c>
      <c r="K924">
        <v>2</v>
      </c>
      <c r="L924" s="1" t="s">
        <v>23</v>
      </c>
      <c r="M924" s="1" t="s">
        <v>27</v>
      </c>
      <c r="N924" s="1" t="s">
        <v>46</v>
      </c>
      <c r="O924">
        <v>10</v>
      </c>
      <c r="P924">
        <v>0</v>
      </c>
      <c r="Q924" s="1" t="s">
        <v>130</v>
      </c>
      <c r="R924">
        <v>3</v>
      </c>
      <c r="S924" s="1" t="s">
        <v>27</v>
      </c>
      <c r="T924">
        <v>27990500</v>
      </c>
      <c r="U924" t="s">
        <v>183</v>
      </c>
      <c r="V924" s="1" t="s">
        <v>171</v>
      </c>
      <c r="W924" s="1" t="s">
        <v>172</v>
      </c>
      <c r="X924" s="1" t="str">
        <f>VLOOKUP(V924,Broker_Directory!A:C,3,FALSE)</f>
        <v>Tier B</v>
      </c>
      <c r="Y924" s="1">
        <f>HLOOKUP(X924, Commission_Rates!A$1:C$2, 2, FALSE)</f>
        <v>1.4999999999999999E-2</v>
      </c>
      <c r="Z924" s="1">
        <f t="shared" si="42"/>
        <v>0</v>
      </c>
      <c r="AA924" s="1">
        <f t="shared" si="43"/>
        <v>0</v>
      </c>
      <c r="AB924" s="1">
        <f t="shared" si="44"/>
        <v>0</v>
      </c>
    </row>
    <row r="925" spans="1:28" x14ac:dyDescent="0.3">
      <c r="A925" s="1" t="s">
        <v>20</v>
      </c>
      <c r="B925" s="1" t="s">
        <v>133</v>
      </c>
      <c r="C925">
        <v>2</v>
      </c>
      <c r="D925">
        <v>4</v>
      </c>
      <c r="E925">
        <v>3238</v>
      </c>
      <c r="F925">
        <v>7748</v>
      </c>
      <c r="G925">
        <v>3</v>
      </c>
      <c r="H925">
        <v>1968</v>
      </c>
      <c r="I925">
        <v>1994</v>
      </c>
      <c r="J925" s="1" t="s">
        <v>30</v>
      </c>
      <c r="K925">
        <v>0</v>
      </c>
      <c r="L925" s="1" t="s">
        <v>41</v>
      </c>
      <c r="M925" s="1" t="s">
        <v>27</v>
      </c>
      <c r="N925" s="1" t="s">
        <v>46</v>
      </c>
      <c r="O925">
        <v>6</v>
      </c>
      <c r="P925">
        <v>5</v>
      </c>
      <c r="Q925" s="1" t="s">
        <v>162</v>
      </c>
      <c r="R925">
        <v>1</v>
      </c>
      <c r="S925" s="1" t="s">
        <v>24</v>
      </c>
      <c r="T925">
        <v>39201000</v>
      </c>
      <c r="U925" t="s">
        <v>182</v>
      </c>
      <c r="V925" s="1" t="s">
        <v>168</v>
      </c>
      <c r="W925" s="1" t="s">
        <v>169</v>
      </c>
      <c r="X925" s="1" t="str">
        <f>VLOOKUP(V925,Broker_Directory!A:C,3,FALSE)</f>
        <v>Tier A</v>
      </c>
      <c r="Y925" s="1">
        <f>HLOOKUP(X925, Commission_Rates!A$1:C$2, 2, FALSE)</f>
        <v>0.02</v>
      </c>
      <c r="Z925" s="1">
        <f t="shared" si="42"/>
        <v>0</v>
      </c>
      <c r="AA925" s="1">
        <f t="shared" si="43"/>
        <v>0</v>
      </c>
      <c r="AB925" s="1">
        <f t="shared" si="44"/>
        <v>0</v>
      </c>
    </row>
    <row r="926" spans="1:28" x14ac:dyDescent="0.3">
      <c r="A926" s="1" t="s">
        <v>33</v>
      </c>
      <c r="B926" s="1" t="s">
        <v>98</v>
      </c>
      <c r="C926">
        <v>4</v>
      </c>
      <c r="D926">
        <v>1</v>
      </c>
      <c r="E926">
        <v>1493</v>
      </c>
      <c r="F926">
        <v>4660</v>
      </c>
      <c r="G926">
        <v>3</v>
      </c>
      <c r="H926">
        <v>1990</v>
      </c>
      <c r="I926">
        <v>2025</v>
      </c>
      <c r="J926" s="1" t="s">
        <v>30</v>
      </c>
      <c r="K926">
        <v>0</v>
      </c>
      <c r="L926" s="1" t="s">
        <v>64</v>
      </c>
      <c r="M926" s="1" t="s">
        <v>24</v>
      </c>
      <c r="N926" s="1" t="s">
        <v>46</v>
      </c>
      <c r="O926">
        <v>6</v>
      </c>
      <c r="P926">
        <v>4</v>
      </c>
      <c r="Q926" s="1" t="s">
        <v>123</v>
      </c>
      <c r="R926">
        <v>1</v>
      </c>
      <c r="S926" s="1" t="s">
        <v>27</v>
      </c>
      <c r="T926">
        <v>13020500</v>
      </c>
      <c r="U926" t="s">
        <v>182</v>
      </c>
      <c r="V926" s="1" t="s">
        <v>168</v>
      </c>
      <c r="W926" s="1" t="s">
        <v>169</v>
      </c>
      <c r="X926" s="1" t="str">
        <f>VLOOKUP(V926,Broker_Directory!A:C,3,FALSE)</f>
        <v>Tier A</v>
      </c>
      <c r="Y926" s="1">
        <f>HLOOKUP(X926, Commission_Rates!A$1:C$2, 2, FALSE)</f>
        <v>0.02</v>
      </c>
      <c r="Z926" s="1">
        <f t="shared" si="42"/>
        <v>0</v>
      </c>
      <c r="AA926" s="1">
        <f t="shared" si="43"/>
        <v>0</v>
      </c>
      <c r="AB926" s="1">
        <f t="shared" si="44"/>
        <v>0</v>
      </c>
    </row>
    <row r="927" spans="1:28" x14ac:dyDescent="0.3">
      <c r="A927" s="1" t="s">
        <v>33</v>
      </c>
      <c r="B927" s="1" t="s">
        <v>34</v>
      </c>
      <c r="C927">
        <v>1</v>
      </c>
      <c r="D927">
        <v>1</v>
      </c>
      <c r="E927">
        <v>1645</v>
      </c>
      <c r="F927">
        <v>9533</v>
      </c>
      <c r="G927">
        <v>1</v>
      </c>
      <c r="H927">
        <v>1950</v>
      </c>
      <c r="I927">
        <v>0</v>
      </c>
      <c r="J927" s="1" t="s">
        <v>22</v>
      </c>
      <c r="K927">
        <v>3</v>
      </c>
      <c r="L927" s="1" t="s">
        <v>41</v>
      </c>
      <c r="M927" s="1" t="s">
        <v>24</v>
      </c>
      <c r="N927" s="1" t="s">
        <v>25</v>
      </c>
      <c r="O927">
        <v>1</v>
      </c>
      <c r="P927">
        <v>3</v>
      </c>
      <c r="Q927" s="1" t="s">
        <v>132</v>
      </c>
      <c r="R927">
        <v>0</v>
      </c>
      <c r="S927" s="1" t="s">
        <v>24</v>
      </c>
      <c r="T927">
        <v>14232500</v>
      </c>
      <c r="U927" t="s">
        <v>184</v>
      </c>
      <c r="V927" s="1" t="s">
        <v>176</v>
      </c>
      <c r="W927" s="1" t="s">
        <v>177</v>
      </c>
      <c r="X927" s="1" t="str">
        <f>VLOOKUP(V927,Broker_Directory!A:C,3,FALSE)</f>
        <v>Tier C</v>
      </c>
      <c r="Y927" s="1">
        <f>HLOOKUP(X927, Commission_Rates!A$1:C$2, 2, FALSE)</f>
        <v>0.01</v>
      </c>
      <c r="Z927" s="1">
        <f t="shared" si="42"/>
        <v>142325</v>
      </c>
      <c r="AA927" s="1">
        <f t="shared" si="43"/>
        <v>426975</v>
      </c>
      <c r="AB927" s="1">
        <f t="shared" si="44"/>
        <v>284650</v>
      </c>
    </row>
    <row r="928" spans="1:28" x14ac:dyDescent="0.3">
      <c r="A928" s="1" t="s">
        <v>28</v>
      </c>
      <c r="B928" s="1" t="s">
        <v>95</v>
      </c>
      <c r="C928">
        <v>3</v>
      </c>
      <c r="D928">
        <v>1</v>
      </c>
      <c r="E928">
        <v>692</v>
      </c>
      <c r="F928">
        <v>1826</v>
      </c>
      <c r="G928">
        <v>2</v>
      </c>
      <c r="H928">
        <v>2017</v>
      </c>
      <c r="I928">
        <v>0</v>
      </c>
      <c r="J928" s="1" t="s">
        <v>30</v>
      </c>
      <c r="K928">
        <v>0</v>
      </c>
      <c r="L928" s="1" t="s">
        <v>64</v>
      </c>
      <c r="M928" s="1" t="s">
        <v>24</v>
      </c>
      <c r="N928" s="1" t="s">
        <v>35</v>
      </c>
      <c r="O928">
        <v>5</v>
      </c>
      <c r="P928">
        <v>0</v>
      </c>
      <c r="Q928" s="1" t="s">
        <v>146</v>
      </c>
      <c r="R928">
        <v>3</v>
      </c>
      <c r="S928" s="1" t="s">
        <v>24</v>
      </c>
      <c r="T928">
        <v>7260000</v>
      </c>
      <c r="U928" t="s">
        <v>182</v>
      </c>
      <c r="V928" s="1" t="s">
        <v>174</v>
      </c>
      <c r="W928" s="1" t="s">
        <v>175</v>
      </c>
      <c r="X928" s="1" t="str">
        <f>VLOOKUP(V928,Broker_Directory!A:C,3,FALSE)</f>
        <v>Tier A</v>
      </c>
      <c r="Y928" s="1">
        <f>HLOOKUP(X928, Commission_Rates!A$1:C$2, 2, FALSE)</f>
        <v>0.02</v>
      </c>
      <c r="Z928" s="1">
        <f t="shared" si="42"/>
        <v>0</v>
      </c>
      <c r="AA928" s="1">
        <f t="shared" si="43"/>
        <v>0</v>
      </c>
      <c r="AB928" s="1">
        <f t="shared" si="44"/>
        <v>0</v>
      </c>
    </row>
    <row r="929" spans="1:28" x14ac:dyDescent="0.3">
      <c r="A929" s="1" t="s">
        <v>33</v>
      </c>
      <c r="B929" s="1" t="s">
        <v>75</v>
      </c>
      <c r="C929">
        <v>5</v>
      </c>
      <c r="D929">
        <v>4</v>
      </c>
      <c r="E929">
        <v>3668</v>
      </c>
      <c r="F929">
        <v>8854</v>
      </c>
      <c r="G929">
        <v>1</v>
      </c>
      <c r="H929">
        <v>1956</v>
      </c>
      <c r="I929">
        <v>2002</v>
      </c>
      <c r="J929" s="1" t="s">
        <v>52</v>
      </c>
      <c r="K929">
        <v>2</v>
      </c>
      <c r="L929" s="1" t="s">
        <v>64</v>
      </c>
      <c r="M929" s="1" t="s">
        <v>24</v>
      </c>
      <c r="N929" s="1" t="s">
        <v>46</v>
      </c>
      <c r="O929">
        <v>7</v>
      </c>
      <c r="P929">
        <v>3</v>
      </c>
      <c r="Q929" s="1" t="s">
        <v>161</v>
      </c>
      <c r="R929">
        <v>3</v>
      </c>
      <c r="S929" s="1" t="s">
        <v>24</v>
      </c>
      <c r="T929">
        <v>31688000</v>
      </c>
      <c r="U929" t="s">
        <v>182</v>
      </c>
      <c r="V929" s="1" t="s">
        <v>174</v>
      </c>
      <c r="W929" s="1" t="s">
        <v>175</v>
      </c>
      <c r="X929" s="1" t="str">
        <f>VLOOKUP(V929,Broker_Directory!A:C,3,FALSE)</f>
        <v>Tier A</v>
      </c>
      <c r="Y929" s="1">
        <f>HLOOKUP(X929, Commission_Rates!A$1:C$2, 2, FALSE)</f>
        <v>0.02</v>
      </c>
      <c r="Z929" s="1">
        <f t="shared" si="42"/>
        <v>0</v>
      </c>
      <c r="AA929" s="1">
        <f t="shared" si="43"/>
        <v>0</v>
      </c>
      <c r="AB929" s="1">
        <f t="shared" si="44"/>
        <v>0</v>
      </c>
    </row>
    <row r="930" spans="1:28" x14ac:dyDescent="0.3">
      <c r="A930" s="1" t="s">
        <v>20</v>
      </c>
      <c r="B930" s="1" t="s">
        <v>50</v>
      </c>
      <c r="C930">
        <v>2</v>
      </c>
      <c r="D930">
        <v>4</v>
      </c>
      <c r="E930">
        <v>3672</v>
      </c>
      <c r="F930">
        <v>9222</v>
      </c>
      <c r="G930">
        <v>1</v>
      </c>
      <c r="H930">
        <v>1967</v>
      </c>
      <c r="I930">
        <v>1988</v>
      </c>
      <c r="J930" s="1" t="s">
        <v>58</v>
      </c>
      <c r="K930">
        <v>0</v>
      </c>
      <c r="L930" s="1" t="s">
        <v>41</v>
      </c>
      <c r="M930" s="1" t="s">
        <v>27</v>
      </c>
      <c r="N930" s="1" t="s">
        <v>46</v>
      </c>
      <c r="O930">
        <v>0</v>
      </c>
      <c r="P930">
        <v>1</v>
      </c>
      <c r="Q930" s="1" t="s">
        <v>113</v>
      </c>
      <c r="R930">
        <v>2</v>
      </c>
      <c r="S930" s="1" t="s">
        <v>24</v>
      </c>
      <c r="T930">
        <v>44384000</v>
      </c>
      <c r="U930" t="s">
        <v>183</v>
      </c>
      <c r="V930" s="1" t="s">
        <v>171</v>
      </c>
      <c r="W930" s="1" t="s">
        <v>172</v>
      </c>
      <c r="X930" s="1" t="str">
        <f>VLOOKUP(V930,Broker_Directory!A:C,3,FALSE)</f>
        <v>Tier B</v>
      </c>
      <c r="Y930" s="1">
        <f>HLOOKUP(X930, Commission_Rates!A$1:C$2, 2, FALSE)</f>
        <v>1.4999999999999999E-2</v>
      </c>
      <c r="Z930" s="1">
        <f t="shared" si="42"/>
        <v>0</v>
      </c>
      <c r="AA930" s="1">
        <f t="shared" si="43"/>
        <v>0</v>
      </c>
      <c r="AB930" s="1">
        <f t="shared" si="44"/>
        <v>0</v>
      </c>
    </row>
    <row r="931" spans="1:28" x14ac:dyDescent="0.3">
      <c r="A931" s="1" t="s">
        <v>37</v>
      </c>
      <c r="B931" s="1" t="s">
        <v>45</v>
      </c>
      <c r="C931">
        <v>5</v>
      </c>
      <c r="D931">
        <v>3</v>
      </c>
      <c r="E931">
        <v>850</v>
      </c>
      <c r="F931">
        <v>4099</v>
      </c>
      <c r="G931">
        <v>1</v>
      </c>
      <c r="H931">
        <v>1975</v>
      </c>
      <c r="I931">
        <v>2003</v>
      </c>
      <c r="J931" s="1" t="s">
        <v>52</v>
      </c>
      <c r="K931">
        <v>0</v>
      </c>
      <c r="L931" s="1" t="s">
        <v>31</v>
      </c>
      <c r="M931" s="1" t="s">
        <v>27</v>
      </c>
      <c r="N931" s="1" t="s">
        <v>46</v>
      </c>
      <c r="O931">
        <v>2</v>
      </c>
      <c r="P931">
        <v>1</v>
      </c>
      <c r="Q931" s="1" t="s">
        <v>77</v>
      </c>
      <c r="R931">
        <v>3</v>
      </c>
      <c r="S931" s="1" t="s">
        <v>24</v>
      </c>
      <c r="T931">
        <v>7255000</v>
      </c>
      <c r="U931" t="s">
        <v>182</v>
      </c>
      <c r="V931" s="1" t="s">
        <v>176</v>
      </c>
      <c r="W931" s="1" t="s">
        <v>177</v>
      </c>
      <c r="X931" s="1" t="str">
        <f>VLOOKUP(V931,Broker_Directory!A:C,3,FALSE)</f>
        <v>Tier C</v>
      </c>
      <c r="Y931" s="1">
        <f>HLOOKUP(X931, Commission_Rates!A$1:C$2, 2, FALSE)</f>
        <v>0.01</v>
      </c>
      <c r="Z931" s="1">
        <f t="shared" si="42"/>
        <v>0</v>
      </c>
      <c r="AA931" s="1">
        <f t="shared" si="43"/>
        <v>0</v>
      </c>
      <c r="AB931" s="1">
        <f t="shared" si="44"/>
        <v>0</v>
      </c>
    </row>
    <row r="932" spans="1:28" x14ac:dyDescent="0.3">
      <c r="A932" s="1" t="s">
        <v>37</v>
      </c>
      <c r="B932" s="1" t="s">
        <v>45</v>
      </c>
      <c r="C932">
        <v>1</v>
      </c>
      <c r="D932">
        <v>4</v>
      </c>
      <c r="E932">
        <v>387</v>
      </c>
      <c r="F932">
        <v>3794</v>
      </c>
      <c r="G932">
        <v>1</v>
      </c>
      <c r="H932">
        <v>1963</v>
      </c>
      <c r="I932">
        <v>1972</v>
      </c>
      <c r="J932" s="1" t="s">
        <v>52</v>
      </c>
      <c r="K932">
        <v>0</v>
      </c>
      <c r="L932" s="1" t="s">
        <v>41</v>
      </c>
      <c r="M932" s="1" t="s">
        <v>24</v>
      </c>
      <c r="N932" s="1" t="s">
        <v>25</v>
      </c>
      <c r="O932">
        <v>6</v>
      </c>
      <c r="P932">
        <v>1</v>
      </c>
      <c r="Q932" s="1" t="s">
        <v>77</v>
      </c>
      <c r="R932">
        <v>1</v>
      </c>
      <c r="S932" s="1" t="s">
        <v>27</v>
      </c>
      <c r="T932">
        <v>3401000</v>
      </c>
      <c r="U932" t="s">
        <v>184</v>
      </c>
      <c r="V932" s="1" t="s">
        <v>176</v>
      </c>
      <c r="W932" s="1" t="s">
        <v>177</v>
      </c>
      <c r="X932" s="1" t="str">
        <f>VLOOKUP(V932,Broker_Directory!A:C,3,FALSE)</f>
        <v>Tier C</v>
      </c>
      <c r="Y932" s="1">
        <f>HLOOKUP(X932, Commission_Rates!A$1:C$2, 2, FALSE)</f>
        <v>0.01</v>
      </c>
      <c r="Z932" s="1">
        <f t="shared" si="42"/>
        <v>34010</v>
      </c>
      <c r="AA932" s="1">
        <f t="shared" si="43"/>
        <v>102030</v>
      </c>
      <c r="AB932" s="1">
        <f t="shared" si="44"/>
        <v>68020</v>
      </c>
    </row>
    <row r="933" spans="1:28" x14ac:dyDescent="0.3">
      <c r="A933" s="1" t="s">
        <v>37</v>
      </c>
      <c r="B933" s="1" t="s">
        <v>45</v>
      </c>
      <c r="C933">
        <v>5</v>
      </c>
      <c r="D933">
        <v>3</v>
      </c>
      <c r="E933">
        <v>3380</v>
      </c>
      <c r="F933">
        <v>4423</v>
      </c>
      <c r="G933">
        <v>1</v>
      </c>
      <c r="H933">
        <v>1977</v>
      </c>
      <c r="I933">
        <v>2004</v>
      </c>
      <c r="J933" s="1" t="s">
        <v>58</v>
      </c>
      <c r="K933">
        <v>2</v>
      </c>
      <c r="L933" s="1" t="s">
        <v>64</v>
      </c>
      <c r="M933" s="1" t="s">
        <v>27</v>
      </c>
      <c r="N933" s="1" t="s">
        <v>35</v>
      </c>
      <c r="O933">
        <v>0</v>
      </c>
      <c r="P933">
        <v>5</v>
      </c>
      <c r="Q933" s="1" t="s">
        <v>124</v>
      </c>
      <c r="R933">
        <v>2</v>
      </c>
      <c r="S933" s="1" t="s">
        <v>24</v>
      </c>
      <c r="T933">
        <v>27480000</v>
      </c>
      <c r="U933" t="s">
        <v>184</v>
      </c>
      <c r="V933" s="1" t="s">
        <v>171</v>
      </c>
      <c r="W933" s="1" t="s">
        <v>172</v>
      </c>
      <c r="X933" s="1" t="str">
        <f>VLOOKUP(V933,Broker_Directory!A:C,3,FALSE)</f>
        <v>Tier B</v>
      </c>
      <c r="Y933" s="1">
        <f>HLOOKUP(X933, Commission_Rates!A$1:C$2, 2, FALSE)</f>
        <v>1.4999999999999999E-2</v>
      </c>
      <c r="Z933" s="1">
        <f t="shared" si="42"/>
        <v>412200</v>
      </c>
      <c r="AA933" s="1">
        <f t="shared" si="43"/>
        <v>824400</v>
      </c>
      <c r="AB933" s="1">
        <f t="shared" si="44"/>
        <v>412200</v>
      </c>
    </row>
    <row r="934" spans="1:28" x14ac:dyDescent="0.3">
      <c r="A934" s="1" t="s">
        <v>28</v>
      </c>
      <c r="B934" s="1" t="s">
        <v>29</v>
      </c>
      <c r="C934">
        <v>3</v>
      </c>
      <c r="D934">
        <v>1</v>
      </c>
      <c r="E934">
        <v>1074</v>
      </c>
      <c r="F934">
        <v>8188</v>
      </c>
      <c r="G934">
        <v>2</v>
      </c>
      <c r="H934">
        <v>1986</v>
      </c>
      <c r="I934">
        <v>1988</v>
      </c>
      <c r="J934" s="1" t="s">
        <v>52</v>
      </c>
      <c r="K934">
        <v>3</v>
      </c>
      <c r="L934" s="1" t="s">
        <v>31</v>
      </c>
      <c r="M934" s="1" t="s">
        <v>27</v>
      </c>
      <c r="N934" s="1" t="s">
        <v>25</v>
      </c>
      <c r="O934">
        <v>6</v>
      </c>
      <c r="P934">
        <v>3</v>
      </c>
      <c r="Q934" s="1" t="s">
        <v>32</v>
      </c>
      <c r="R934">
        <v>1</v>
      </c>
      <c r="S934" s="1" t="s">
        <v>27</v>
      </c>
      <c r="T934">
        <v>11050000</v>
      </c>
      <c r="U934" t="s">
        <v>182</v>
      </c>
      <c r="V934" s="1" t="s">
        <v>179</v>
      </c>
      <c r="W934" s="1" t="s">
        <v>180</v>
      </c>
      <c r="X934" s="1" t="str">
        <f>VLOOKUP(V934,Broker_Directory!A:C,3,FALSE)</f>
        <v>Tier B</v>
      </c>
      <c r="Y934" s="1">
        <f>HLOOKUP(X934, Commission_Rates!A$1:C$2, 2, FALSE)</f>
        <v>1.4999999999999999E-2</v>
      </c>
      <c r="Z934" s="1">
        <f t="shared" si="42"/>
        <v>0</v>
      </c>
      <c r="AA934" s="1">
        <f t="shared" si="43"/>
        <v>0</v>
      </c>
      <c r="AB934" s="1">
        <f t="shared" si="44"/>
        <v>0</v>
      </c>
    </row>
    <row r="935" spans="1:28" x14ac:dyDescent="0.3">
      <c r="A935" s="1" t="s">
        <v>37</v>
      </c>
      <c r="B935" s="1" t="s">
        <v>45</v>
      </c>
      <c r="C935">
        <v>2</v>
      </c>
      <c r="D935">
        <v>2</v>
      </c>
      <c r="E935">
        <v>915</v>
      </c>
      <c r="F935">
        <v>1194</v>
      </c>
      <c r="G935">
        <v>1</v>
      </c>
      <c r="H935">
        <v>1961</v>
      </c>
      <c r="I935">
        <v>2022</v>
      </c>
      <c r="J935" s="1" t="s">
        <v>52</v>
      </c>
      <c r="K935">
        <v>0</v>
      </c>
      <c r="L935" s="1" t="s">
        <v>31</v>
      </c>
      <c r="M935" s="1" t="s">
        <v>27</v>
      </c>
      <c r="N935" s="1" t="s">
        <v>35</v>
      </c>
      <c r="O935">
        <v>6</v>
      </c>
      <c r="P935">
        <v>1</v>
      </c>
      <c r="Q935" s="1" t="s">
        <v>77</v>
      </c>
      <c r="R935">
        <v>3</v>
      </c>
      <c r="S935" s="1" t="s">
        <v>27</v>
      </c>
      <c r="T935">
        <v>7545000</v>
      </c>
      <c r="U935" t="s">
        <v>182</v>
      </c>
      <c r="V935" s="1" t="s">
        <v>176</v>
      </c>
      <c r="W935" s="1" t="s">
        <v>177</v>
      </c>
      <c r="X935" s="1" t="str">
        <f>VLOOKUP(V935,Broker_Directory!A:C,3,FALSE)</f>
        <v>Tier C</v>
      </c>
      <c r="Y935" s="1">
        <f>HLOOKUP(X935, Commission_Rates!A$1:C$2, 2, FALSE)</f>
        <v>0.01</v>
      </c>
      <c r="Z935" s="1">
        <f t="shared" si="42"/>
        <v>0</v>
      </c>
      <c r="AA935" s="1">
        <f t="shared" si="43"/>
        <v>0</v>
      </c>
      <c r="AB935" s="1">
        <f t="shared" si="44"/>
        <v>0</v>
      </c>
    </row>
    <row r="936" spans="1:28" x14ac:dyDescent="0.3">
      <c r="A936" s="1" t="s">
        <v>28</v>
      </c>
      <c r="B936" s="1" t="s">
        <v>29</v>
      </c>
      <c r="C936">
        <v>2</v>
      </c>
      <c r="D936">
        <v>2</v>
      </c>
      <c r="E936">
        <v>1241</v>
      </c>
      <c r="F936">
        <v>9733</v>
      </c>
      <c r="G936">
        <v>1</v>
      </c>
      <c r="H936">
        <v>2019</v>
      </c>
      <c r="I936">
        <v>2023</v>
      </c>
      <c r="J936" s="1" t="s">
        <v>22</v>
      </c>
      <c r="K936">
        <v>0</v>
      </c>
      <c r="L936" s="1" t="s">
        <v>64</v>
      </c>
      <c r="M936" s="1" t="s">
        <v>24</v>
      </c>
      <c r="N936" s="1" t="s">
        <v>35</v>
      </c>
      <c r="O936">
        <v>7</v>
      </c>
      <c r="P936">
        <v>5</v>
      </c>
      <c r="Q936" s="1" t="s">
        <v>32</v>
      </c>
      <c r="R936">
        <v>3</v>
      </c>
      <c r="S936" s="1" t="s">
        <v>27</v>
      </c>
      <c r="T936">
        <v>12660000</v>
      </c>
      <c r="U936" t="s">
        <v>183</v>
      </c>
      <c r="V936" s="1" t="s">
        <v>171</v>
      </c>
      <c r="W936" s="1" t="s">
        <v>172</v>
      </c>
      <c r="X936" s="1" t="str">
        <f>VLOOKUP(V936,Broker_Directory!A:C,3,FALSE)</f>
        <v>Tier B</v>
      </c>
      <c r="Y936" s="1">
        <f>HLOOKUP(X936, Commission_Rates!A$1:C$2, 2, FALSE)</f>
        <v>1.4999999999999999E-2</v>
      </c>
      <c r="Z936" s="1">
        <f t="shared" si="42"/>
        <v>0</v>
      </c>
      <c r="AA936" s="1">
        <f t="shared" si="43"/>
        <v>0</v>
      </c>
      <c r="AB936" s="1">
        <f t="shared" si="44"/>
        <v>0</v>
      </c>
    </row>
    <row r="937" spans="1:28" x14ac:dyDescent="0.3">
      <c r="A937" s="1" t="s">
        <v>37</v>
      </c>
      <c r="B937" s="1" t="s">
        <v>87</v>
      </c>
      <c r="C937">
        <v>4</v>
      </c>
      <c r="D937">
        <v>4</v>
      </c>
      <c r="E937">
        <v>800</v>
      </c>
      <c r="F937">
        <v>7447</v>
      </c>
      <c r="G937">
        <v>2</v>
      </c>
      <c r="H937">
        <v>1980</v>
      </c>
      <c r="I937">
        <v>2004</v>
      </c>
      <c r="J937" s="1" t="s">
        <v>52</v>
      </c>
      <c r="K937">
        <v>0</v>
      </c>
      <c r="L937" s="1" t="s">
        <v>64</v>
      </c>
      <c r="M937" s="1" t="s">
        <v>24</v>
      </c>
      <c r="N937" s="1" t="s">
        <v>46</v>
      </c>
      <c r="O937">
        <v>8</v>
      </c>
      <c r="P937">
        <v>1</v>
      </c>
      <c r="Q937" s="1" t="s">
        <v>141</v>
      </c>
      <c r="R937">
        <v>1</v>
      </c>
      <c r="S937" s="1" t="s">
        <v>24</v>
      </c>
      <c r="T937">
        <v>6850000</v>
      </c>
      <c r="U937" t="s">
        <v>184</v>
      </c>
      <c r="V937" s="1" t="s">
        <v>171</v>
      </c>
      <c r="W937" s="1" t="s">
        <v>172</v>
      </c>
      <c r="X937" s="1" t="str">
        <f>VLOOKUP(V937,Broker_Directory!A:C,3,FALSE)</f>
        <v>Tier B</v>
      </c>
      <c r="Y937" s="1">
        <f>HLOOKUP(X937, Commission_Rates!A$1:C$2, 2, FALSE)</f>
        <v>1.4999999999999999E-2</v>
      </c>
      <c r="Z937" s="1">
        <f t="shared" si="42"/>
        <v>102750</v>
      </c>
      <c r="AA937" s="1">
        <f t="shared" si="43"/>
        <v>205500</v>
      </c>
      <c r="AB937" s="1">
        <f t="shared" si="44"/>
        <v>102750</v>
      </c>
    </row>
    <row r="938" spans="1:28" x14ac:dyDescent="0.3">
      <c r="A938" s="1" t="s">
        <v>28</v>
      </c>
      <c r="B938" s="1" t="s">
        <v>79</v>
      </c>
      <c r="C938">
        <v>3</v>
      </c>
      <c r="D938">
        <v>2</v>
      </c>
      <c r="E938">
        <v>1006</v>
      </c>
      <c r="F938">
        <v>7500</v>
      </c>
      <c r="G938">
        <v>3</v>
      </c>
      <c r="H938">
        <v>1996</v>
      </c>
      <c r="I938">
        <v>0</v>
      </c>
      <c r="J938" s="1" t="s">
        <v>30</v>
      </c>
      <c r="K938">
        <v>3</v>
      </c>
      <c r="L938" s="1" t="s">
        <v>23</v>
      </c>
      <c r="M938" s="1" t="s">
        <v>27</v>
      </c>
      <c r="N938" s="1" t="s">
        <v>46</v>
      </c>
      <c r="O938">
        <v>9</v>
      </c>
      <c r="P938">
        <v>1</v>
      </c>
      <c r="Q938" s="1" t="s">
        <v>80</v>
      </c>
      <c r="R938">
        <v>1</v>
      </c>
      <c r="S938" s="1" t="s">
        <v>24</v>
      </c>
      <c r="T938">
        <v>10395000</v>
      </c>
      <c r="U938" t="s">
        <v>182</v>
      </c>
      <c r="V938" s="1" t="s">
        <v>168</v>
      </c>
      <c r="W938" s="1" t="s">
        <v>169</v>
      </c>
      <c r="X938" s="1" t="str">
        <f>VLOOKUP(V938,Broker_Directory!A:C,3,FALSE)</f>
        <v>Tier A</v>
      </c>
      <c r="Y938" s="1">
        <f>HLOOKUP(X938, Commission_Rates!A$1:C$2, 2, FALSE)</f>
        <v>0.02</v>
      </c>
      <c r="Z938" s="1">
        <f t="shared" si="42"/>
        <v>0</v>
      </c>
      <c r="AA938" s="1">
        <f t="shared" si="43"/>
        <v>0</v>
      </c>
      <c r="AB938" s="1">
        <f t="shared" si="44"/>
        <v>0</v>
      </c>
    </row>
    <row r="939" spans="1:28" x14ac:dyDescent="0.3">
      <c r="A939" s="1" t="s">
        <v>33</v>
      </c>
      <c r="B939" s="1" t="s">
        <v>75</v>
      </c>
      <c r="C939">
        <v>3</v>
      </c>
      <c r="D939">
        <v>4</v>
      </c>
      <c r="E939">
        <v>4041</v>
      </c>
      <c r="F939">
        <v>8958</v>
      </c>
      <c r="G939">
        <v>1</v>
      </c>
      <c r="H939">
        <v>2021</v>
      </c>
      <c r="I939">
        <v>2024</v>
      </c>
      <c r="J939" s="1" t="s">
        <v>30</v>
      </c>
      <c r="K939">
        <v>1</v>
      </c>
      <c r="L939" s="1" t="s">
        <v>41</v>
      </c>
      <c r="M939" s="1" t="s">
        <v>27</v>
      </c>
      <c r="N939" s="1" t="s">
        <v>35</v>
      </c>
      <c r="O939">
        <v>0</v>
      </c>
      <c r="P939">
        <v>1</v>
      </c>
      <c r="Q939" s="1" t="s">
        <v>135</v>
      </c>
      <c r="R939">
        <v>0</v>
      </c>
      <c r="S939" s="1" t="s">
        <v>27</v>
      </c>
      <c r="T939">
        <v>34638500</v>
      </c>
      <c r="U939" t="s">
        <v>184</v>
      </c>
      <c r="V939" s="1" t="s">
        <v>179</v>
      </c>
      <c r="W939" s="1" t="s">
        <v>180</v>
      </c>
      <c r="X939" s="1" t="str">
        <f>VLOOKUP(V939,Broker_Directory!A:C,3,FALSE)</f>
        <v>Tier B</v>
      </c>
      <c r="Y939" s="1">
        <f>HLOOKUP(X939, Commission_Rates!A$1:C$2, 2, FALSE)</f>
        <v>1.4999999999999999E-2</v>
      </c>
      <c r="Z939" s="1">
        <f t="shared" si="42"/>
        <v>519577.5</v>
      </c>
      <c r="AA939" s="1">
        <f t="shared" si="43"/>
        <v>1039155</v>
      </c>
      <c r="AB939" s="1">
        <f t="shared" si="44"/>
        <v>519577.5</v>
      </c>
    </row>
    <row r="940" spans="1:28" x14ac:dyDescent="0.3">
      <c r="A940" s="1" t="s">
        <v>20</v>
      </c>
      <c r="B940" s="1" t="s">
        <v>133</v>
      </c>
      <c r="C940">
        <v>2</v>
      </c>
      <c r="D940">
        <v>4</v>
      </c>
      <c r="E940">
        <v>2354</v>
      </c>
      <c r="F940">
        <v>6560</v>
      </c>
      <c r="G940">
        <v>2</v>
      </c>
      <c r="H940">
        <v>1966</v>
      </c>
      <c r="I940">
        <v>1984</v>
      </c>
      <c r="J940" s="1" t="s">
        <v>30</v>
      </c>
      <c r="K940">
        <v>0</v>
      </c>
      <c r="L940" s="1" t="s">
        <v>23</v>
      </c>
      <c r="M940" s="1" t="s">
        <v>27</v>
      </c>
      <c r="N940" s="1" t="s">
        <v>46</v>
      </c>
      <c r="O940">
        <v>7</v>
      </c>
      <c r="P940">
        <v>5</v>
      </c>
      <c r="Q940" s="1" t="s">
        <v>158</v>
      </c>
      <c r="R940">
        <v>0</v>
      </c>
      <c r="S940" s="1" t="s">
        <v>27</v>
      </c>
      <c r="T940">
        <v>28508000</v>
      </c>
      <c r="U940" t="s">
        <v>183</v>
      </c>
      <c r="V940" s="1" t="s">
        <v>179</v>
      </c>
      <c r="W940" s="1" t="s">
        <v>180</v>
      </c>
      <c r="X940" s="1" t="str">
        <f>VLOOKUP(V940,Broker_Directory!A:C,3,FALSE)</f>
        <v>Tier B</v>
      </c>
      <c r="Y940" s="1">
        <f>HLOOKUP(X940, Commission_Rates!A$1:C$2, 2, FALSE)</f>
        <v>1.4999999999999999E-2</v>
      </c>
      <c r="Z940" s="1">
        <f t="shared" si="42"/>
        <v>0</v>
      </c>
      <c r="AA940" s="1">
        <f t="shared" si="43"/>
        <v>0</v>
      </c>
      <c r="AB940" s="1">
        <f t="shared" si="44"/>
        <v>0</v>
      </c>
    </row>
    <row r="941" spans="1:28" x14ac:dyDescent="0.3">
      <c r="A941" s="1" t="s">
        <v>20</v>
      </c>
      <c r="B941" s="1" t="s">
        <v>69</v>
      </c>
      <c r="C941">
        <v>2</v>
      </c>
      <c r="D941">
        <v>2</v>
      </c>
      <c r="E941">
        <v>4756</v>
      </c>
      <c r="F941">
        <v>8096</v>
      </c>
      <c r="G941">
        <v>2</v>
      </c>
      <c r="H941">
        <v>1999</v>
      </c>
      <c r="I941">
        <v>2013</v>
      </c>
      <c r="J941" s="1" t="s">
        <v>52</v>
      </c>
      <c r="K941">
        <v>1</v>
      </c>
      <c r="L941" s="1" t="s">
        <v>23</v>
      </c>
      <c r="M941" s="1" t="s">
        <v>27</v>
      </c>
      <c r="N941" s="1" t="s">
        <v>46</v>
      </c>
      <c r="O941">
        <v>6</v>
      </c>
      <c r="P941">
        <v>0</v>
      </c>
      <c r="Q941" s="1" t="s">
        <v>74</v>
      </c>
      <c r="R941">
        <v>3</v>
      </c>
      <c r="S941" s="1" t="s">
        <v>27</v>
      </c>
      <c r="T941">
        <v>57317000</v>
      </c>
      <c r="U941" t="s">
        <v>183</v>
      </c>
      <c r="V941" s="1" t="s">
        <v>171</v>
      </c>
      <c r="W941" s="1" t="s">
        <v>172</v>
      </c>
      <c r="X941" s="1" t="str">
        <f>VLOOKUP(V941,Broker_Directory!A:C,3,FALSE)</f>
        <v>Tier B</v>
      </c>
      <c r="Y941" s="1">
        <f>HLOOKUP(X941, Commission_Rates!A$1:C$2, 2, FALSE)</f>
        <v>1.4999999999999999E-2</v>
      </c>
      <c r="Z941" s="1">
        <f t="shared" si="42"/>
        <v>0</v>
      </c>
      <c r="AA941" s="1">
        <f t="shared" si="43"/>
        <v>0</v>
      </c>
      <c r="AB941" s="1">
        <f t="shared" si="44"/>
        <v>0</v>
      </c>
    </row>
    <row r="942" spans="1:28" x14ac:dyDescent="0.3">
      <c r="A942" s="1" t="s">
        <v>33</v>
      </c>
      <c r="B942" s="1" t="s">
        <v>43</v>
      </c>
      <c r="C942">
        <v>4</v>
      </c>
      <c r="D942">
        <v>4</v>
      </c>
      <c r="E942">
        <v>4739</v>
      </c>
      <c r="F942">
        <v>6017</v>
      </c>
      <c r="G942">
        <v>3</v>
      </c>
      <c r="H942">
        <v>2023</v>
      </c>
      <c r="I942">
        <v>2025</v>
      </c>
      <c r="J942" s="1" t="s">
        <v>22</v>
      </c>
      <c r="K942">
        <v>1</v>
      </c>
      <c r="L942" s="1" t="s">
        <v>31</v>
      </c>
      <c r="M942" s="1" t="s">
        <v>27</v>
      </c>
      <c r="N942" s="1" t="s">
        <v>35</v>
      </c>
      <c r="O942">
        <v>9</v>
      </c>
      <c r="P942">
        <v>1</v>
      </c>
      <c r="Q942" s="1" t="s">
        <v>44</v>
      </c>
      <c r="R942">
        <v>0</v>
      </c>
      <c r="S942" s="1" t="s">
        <v>27</v>
      </c>
      <c r="T942">
        <v>40661500</v>
      </c>
      <c r="U942" t="s">
        <v>183</v>
      </c>
      <c r="V942" s="1" t="s">
        <v>168</v>
      </c>
      <c r="W942" s="1" t="s">
        <v>169</v>
      </c>
      <c r="X942" s="1" t="str">
        <f>VLOOKUP(V942,Broker_Directory!A:C,3,FALSE)</f>
        <v>Tier A</v>
      </c>
      <c r="Y942" s="1">
        <f>HLOOKUP(X942, Commission_Rates!A$1:C$2, 2, FALSE)</f>
        <v>0.02</v>
      </c>
      <c r="Z942" s="1">
        <f t="shared" si="42"/>
        <v>0</v>
      </c>
      <c r="AA942" s="1">
        <f t="shared" si="43"/>
        <v>0</v>
      </c>
      <c r="AB942" s="1">
        <f t="shared" si="44"/>
        <v>0</v>
      </c>
    </row>
    <row r="943" spans="1:28" x14ac:dyDescent="0.3">
      <c r="A943" s="1" t="s">
        <v>33</v>
      </c>
      <c r="B943" s="1" t="s">
        <v>48</v>
      </c>
      <c r="C943">
        <v>4</v>
      </c>
      <c r="D943">
        <v>2</v>
      </c>
      <c r="E943">
        <v>2245</v>
      </c>
      <c r="F943">
        <v>5315</v>
      </c>
      <c r="G943">
        <v>1</v>
      </c>
      <c r="H943">
        <v>1984</v>
      </c>
      <c r="I943">
        <v>1984</v>
      </c>
      <c r="J943" s="1" t="s">
        <v>30</v>
      </c>
      <c r="K943">
        <v>3</v>
      </c>
      <c r="L943" s="1" t="s">
        <v>41</v>
      </c>
      <c r="M943" s="1" t="s">
        <v>27</v>
      </c>
      <c r="N943" s="1" t="s">
        <v>35</v>
      </c>
      <c r="O943">
        <v>7</v>
      </c>
      <c r="P943">
        <v>4</v>
      </c>
      <c r="Q943" s="1" t="s">
        <v>49</v>
      </c>
      <c r="R943">
        <v>0</v>
      </c>
      <c r="S943" s="1" t="s">
        <v>24</v>
      </c>
      <c r="T943">
        <v>19412500</v>
      </c>
      <c r="U943" t="s">
        <v>183</v>
      </c>
      <c r="V943" s="1" t="s">
        <v>171</v>
      </c>
      <c r="W943" s="1" t="s">
        <v>172</v>
      </c>
      <c r="X943" s="1" t="str">
        <f>VLOOKUP(V943,Broker_Directory!A:C,3,FALSE)</f>
        <v>Tier B</v>
      </c>
      <c r="Y943" s="1">
        <f>HLOOKUP(X943, Commission_Rates!A$1:C$2, 2, FALSE)</f>
        <v>1.4999999999999999E-2</v>
      </c>
      <c r="Z943" s="1">
        <f t="shared" si="42"/>
        <v>0</v>
      </c>
      <c r="AA943" s="1">
        <f t="shared" si="43"/>
        <v>0</v>
      </c>
      <c r="AB943" s="1">
        <f t="shared" si="44"/>
        <v>0</v>
      </c>
    </row>
    <row r="944" spans="1:28" x14ac:dyDescent="0.3">
      <c r="A944" s="1" t="s">
        <v>28</v>
      </c>
      <c r="B944" s="1" t="s">
        <v>79</v>
      </c>
      <c r="C944">
        <v>5</v>
      </c>
      <c r="D944">
        <v>2</v>
      </c>
      <c r="E944">
        <v>3106</v>
      </c>
      <c r="F944">
        <v>6224</v>
      </c>
      <c r="G944">
        <v>2</v>
      </c>
      <c r="H944">
        <v>1982</v>
      </c>
      <c r="I944">
        <v>1992</v>
      </c>
      <c r="J944" s="1" t="s">
        <v>22</v>
      </c>
      <c r="K944">
        <v>3</v>
      </c>
      <c r="L944" s="1" t="s">
        <v>41</v>
      </c>
      <c r="M944" s="1" t="s">
        <v>24</v>
      </c>
      <c r="N944" s="1" t="s">
        <v>25</v>
      </c>
      <c r="O944">
        <v>5</v>
      </c>
      <c r="P944">
        <v>4</v>
      </c>
      <c r="Q944" s="1" t="s">
        <v>92</v>
      </c>
      <c r="R944">
        <v>1</v>
      </c>
      <c r="S944" s="1" t="s">
        <v>24</v>
      </c>
      <c r="T944">
        <v>31575000</v>
      </c>
      <c r="U944" t="s">
        <v>182</v>
      </c>
      <c r="V944" s="1" t="s">
        <v>179</v>
      </c>
      <c r="W944" s="1" t="s">
        <v>180</v>
      </c>
      <c r="X944" s="1" t="str">
        <f>VLOOKUP(V944,Broker_Directory!A:C,3,FALSE)</f>
        <v>Tier B</v>
      </c>
      <c r="Y944" s="1">
        <f>HLOOKUP(X944, Commission_Rates!A$1:C$2, 2, FALSE)</f>
        <v>1.4999999999999999E-2</v>
      </c>
      <c r="Z944" s="1">
        <f t="shared" si="42"/>
        <v>0</v>
      </c>
      <c r="AA944" s="1">
        <f t="shared" si="43"/>
        <v>0</v>
      </c>
      <c r="AB944" s="1">
        <f t="shared" si="44"/>
        <v>0</v>
      </c>
    </row>
    <row r="945" spans="1:28" x14ac:dyDescent="0.3">
      <c r="A945" s="1" t="s">
        <v>28</v>
      </c>
      <c r="B945" s="1" t="s">
        <v>95</v>
      </c>
      <c r="C945">
        <v>5</v>
      </c>
      <c r="D945">
        <v>3</v>
      </c>
      <c r="E945">
        <v>3506</v>
      </c>
      <c r="F945">
        <v>5376</v>
      </c>
      <c r="G945">
        <v>1</v>
      </c>
      <c r="H945">
        <v>2019</v>
      </c>
      <c r="I945">
        <v>2019</v>
      </c>
      <c r="J945" s="1" t="s">
        <v>30</v>
      </c>
      <c r="K945">
        <v>3</v>
      </c>
      <c r="L945" s="1" t="s">
        <v>31</v>
      </c>
      <c r="M945" s="1" t="s">
        <v>27</v>
      </c>
      <c r="N945" s="1" t="s">
        <v>25</v>
      </c>
      <c r="O945">
        <v>10</v>
      </c>
      <c r="P945">
        <v>5</v>
      </c>
      <c r="Q945" s="1" t="s">
        <v>129</v>
      </c>
      <c r="R945">
        <v>1</v>
      </c>
      <c r="S945" s="1" t="s">
        <v>27</v>
      </c>
      <c r="T945">
        <v>35510000</v>
      </c>
      <c r="U945" t="s">
        <v>184</v>
      </c>
      <c r="V945" s="1" t="s">
        <v>176</v>
      </c>
      <c r="W945" s="1" t="s">
        <v>177</v>
      </c>
      <c r="X945" s="1" t="str">
        <f>VLOOKUP(V945,Broker_Directory!A:C,3,FALSE)</f>
        <v>Tier C</v>
      </c>
      <c r="Y945" s="1">
        <f>HLOOKUP(X945, Commission_Rates!A$1:C$2, 2, FALSE)</f>
        <v>0.01</v>
      </c>
      <c r="Z945" s="1">
        <f t="shared" si="42"/>
        <v>355100</v>
      </c>
      <c r="AA945" s="1">
        <f t="shared" si="43"/>
        <v>1065300</v>
      </c>
      <c r="AB945" s="1">
        <f t="shared" si="44"/>
        <v>710200</v>
      </c>
    </row>
    <row r="946" spans="1:28" x14ac:dyDescent="0.3">
      <c r="A946" s="1" t="s">
        <v>37</v>
      </c>
      <c r="B946" s="1" t="s">
        <v>62</v>
      </c>
      <c r="C946">
        <v>3</v>
      </c>
      <c r="D946">
        <v>4</v>
      </c>
      <c r="E946">
        <v>1673</v>
      </c>
      <c r="F946">
        <v>4538</v>
      </c>
      <c r="G946">
        <v>2</v>
      </c>
      <c r="H946">
        <v>2025</v>
      </c>
      <c r="I946">
        <v>0</v>
      </c>
      <c r="J946" s="1" t="s">
        <v>52</v>
      </c>
      <c r="K946">
        <v>2</v>
      </c>
      <c r="L946" s="1" t="s">
        <v>64</v>
      </c>
      <c r="M946" s="1" t="s">
        <v>24</v>
      </c>
      <c r="N946" s="1" t="s">
        <v>25</v>
      </c>
      <c r="O946">
        <v>8</v>
      </c>
      <c r="P946">
        <v>0</v>
      </c>
      <c r="Q946" s="1" t="s">
        <v>97</v>
      </c>
      <c r="R946">
        <v>2</v>
      </c>
      <c r="S946" s="1" t="s">
        <v>27</v>
      </c>
      <c r="T946">
        <v>13824000</v>
      </c>
      <c r="U946" t="s">
        <v>182</v>
      </c>
      <c r="V946" s="1" t="s">
        <v>176</v>
      </c>
      <c r="W946" s="1" t="s">
        <v>177</v>
      </c>
      <c r="X946" s="1" t="str">
        <f>VLOOKUP(V946,Broker_Directory!A:C,3,FALSE)</f>
        <v>Tier C</v>
      </c>
      <c r="Y946" s="1">
        <f>HLOOKUP(X946, Commission_Rates!A$1:C$2, 2, FALSE)</f>
        <v>0.01</v>
      </c>
      <c r="Z946" s="1">
        <f t="shared" si="42"/>
        <v>0</v>
      </c>
      <c r="AA946" s="1">
        <f t="shared" si="43"/>
        <v>0</v>
      </c>
      <c r="AB946" s="1">
        <f t="shared" si="44"/>
        <v>0</v>
      </c>
    </row>
    <row r="947" spans="1:28" x14ac:dyDescent="0.3">
      <c r="A947" s="1" t="s">
        <v>20</v>
      </c>
      <c r="B947" s="1" t="s">
        <v>50</v>
      </c>
      <c r="C947">
        <v>5</v>
      </c>
      <c r="D947">
        <v>3</v>
      </c>
      <c r="E947">
        <v>3464</v>
      </c>
      <c r="F947">
        <v>8090</v>
      </c>
      <c r="G947">
        <v>2</v>
      </c>
      <c r="H947">
        <v>1952</v>
      </c>
      <c r="I947">
        <v>1992</v>
      </c>
      <c r="J947" s="1" t="s">
        <v>22</v>
      </c>
      <c r="K947">
        <v>2</v>
      </c>
      <c r="L947" s="1" t="s">
        <v>64</v>
      </c>
      <c r="M947" s="1" t="s">
        <v>24</v>
      </c>
      <c r="N947" s="1" t="s">
        <v>25</v>
      </c>
      <c r="O947">
        <v>3</v>
      </c>
      <c r="P947">
        <v>2</v>
      </c>
      <c r="Q947" s="1" t="s">
        <v>113</v>
      </c>
      <c r="R947">
        <v>0</v>
      </c>
      <c r="S947" s="1" t="s">
        <v>24</v>
      </c>
      <c r="T947">
        <v>42098000</v>
      </c>
      <c r="U947" t="s">
        <v>182</v>
      </c>
      <c r="V947" s="1" t="s">
        <v>176</v>
      </c>
      <c r="W947" s="1" t="s">
        <v>177</v>
      </c>
      <c r="X947" s="1" t="str">
        <f>VLOOKUP(V947,Broker_Directory!A:C,3,FALSE)</f>
        <v>Tier C</v>
      </c>
      <c r="Y947" s="1">
        <f>HLOOKUP(X947, Commission_Rates!A$1:C$2, 2, FALSE)</f>
        <v>0.01</v>
      </c>
      <c r="Z947" s="1">
        <f t="shared" si="42"/>
        <v>0</v>
      </c>
      <c r="AA947" s="1">
        <f t="shared" si="43"/>
        <v>0</v>
      </c>
      <c r="AB947" s="1">
        <f t="shared" si="44"/>
        <v>0</v>
      </c>
    </row>
    <row r="948" spans="1:28" x14ac:dyDescent="0.3">
      <c r="A948" s="1" t="s">
        <v>37</v>
      </c>
      <c r="B948" s="1" t="s">
        <v>45</v>
      </c>
      <c r="C948">
        <v>4</v>
      </c>
      <c r="D948">
        <v>2</v>
      </c>
      <c r="E948">
        <v>684</v>
      </c>
      <c r="F948">
        <v>3996</v>
      </c>
      <c r="G948">
        <v>3</v>
      </c>
      <c r="H948">
        <v>1992</v>
      </c>
      <c r="I948">
        <v>2006</v>
      </c>
      <c r="J948" s="1" t="s">
        <v>30</v>
      </c>
      <c r="K948">
        <v>0</v>
      </c>
      <c r="L948" s="1" t="s">
        <v>23</v>
      </c>
      <c r="M948" s="1" t="s">
        <v>27</v>
      </c>
      <c r="N948" s="1" t="s">
        <v>25</v>
      </c>
      <c r="O948">
        <v>6</v>
      </c>
      <c r="P948">
        <v>2</v>
      </c>
      <c r="Q948" s="1" t="s">
        <v>47</v>
      </c>
      <c r="R948">
        <v>2</v>
      </c>
      <c r="S948" s="1" t="s">
        <v>27</v>
      </c>
      <c r="T948">
        <v>5897000</v>
      </c>
      <c r="U948" t="s">
        <v>184</v>
      </c>
      <c r="V948" s="1" t="s">
        <v>171</v>
      </c>
      <c r="W948" s="1" t="s">
        <v>172</v>
      </c>
      <c r="X948" s="1" t="str">
        <f>VLOOKUP(V948,Broker_Directory!A:C,3,FALSE)</f>
        <v>Tier B</v>
      </c>
      <c r="Y948" s="1">
        <f>HLOOKUP(X948, Commission_Rates!A$1:C$2, 2, FALSE)</f>
        <v>1.4999999999999999E-2</v>
      </c>
      <c r="Z948" s="1">
        <f t="shared" si="42"/>
        <v>88455</v>
      </c>
      <c r="AA948" s="1">
        <f t="shared" si="43"/>
        <v>176910</v>
      </c>
      <c r="AB948" s="1">
        <f t="shared" si="44"/>
        <v>88455</v>
      </c>
    </row>
    <row r="949" spans="1:28" x14ac:dyDescent="0.3">
      <c r="A949" s="1" t="s">
        <v>37</v>
      </c>
      <c r="B949" s="1" t="s">
        <v>87</v>
      </c>
      <c r="C949">
        <v>3</v>
      </c>
      <c r="D949">
        <v>3</v>
      </c>
      <c r="E949">
        <v>1957</v>
      </c>
      <c r="F949">
        <v>2885</v>
      </c>
      <c r="G949">
        <v>1</v>
      </c>
      <c r="H949">
        <v>1972</v>
      </c>
      <c r="I949">
        <v>1994</v>
      </c>
      <c r="J949" s="1" t="s">
        <v>52</v>
      </c>
      <c r="K949">
        <v>3</v>
      </c>
      <c r="L949" s="1" t="s">
        <v>41</v>
      </c>
      <c r="M949" s="1" t="s">
        <v>24</v>
      </c>
      <c r="N949" s="1" t="s">
        <v>25</v>
      </c>
      <c r="O949">
        <v>6</v>
      </c>
      <c r="P949">
        <v>3</v>
      </c>
      <c r="Q949" s="1" t="s">
        <v>88</v>
      </c>
      <c r="R949">
        <v>0</v>
      </c>
      <c r="S949" s="1" t="s">
        <v>24</v>
      </c>
      <c r="T949">
        <v>16066000</v>
      </c>
      <c r="U949" t="s">
        <v>183</v>
      </c>
      <c r="V949" s="1" t="s">
        <v>176</v>
      </c>
      <c r="W949" s="1" t="s">
        <v>177</v>
      </c>
      <c r="X949" s="1" t="str">
        <f>VLOOKUP(V949,Broker_Directory!A:C,3,FALSE)</f>
        <v>Tier C</v>
      </c>
      <c r="Y949" s="1">
        <f>HLOOKUP(X949, Commission_Rates!A$1:C$2, 2, FALSE)</f>
        <v>0.01</v>
      </c>
      <c r="Z949" s="1">
        <f t="shared" si="42"/>
        <v>0</v>
      </c>
      <c r="AA949" s="1">
        <f t="shared" si="43"/>
        <v>0</v>
      </c>
      <c r="AB949" s="1">
        <f t="shared" si="44"/>
        <v>0</v>
      </c>
    </row>
    <row r="950" spans="1:28" x14ac:dyDescent="0.3">
      <c r="A950" s="1" t="s">
        <v>33</v>
      </c>
      <c r="B950" s="1" t="s">
        <v>34</v>
      </c>
      <c r="C950">
        <v>2</v>
      </c>
      <c r="D950">
        <v>1</v>
      </c>
      <c r="E950">
        <v>2622</v>
      </c>
      <c r="F950">
        <v>8977</v>
      </c>
      <c r="G950">
        <v>1</v>
      </c>
      <c r="H950">
        <v>1954</v>
      </c>
      <c r="I950">
        <v>1998</v>
      </c>
      <c r="J950" s="1" t="s">
        <v>52</v>
      </c>
      <c r="K950">
        <v>3</v>
      </c>
      <c r="L950" s="1" t="s">
        <v>41</v>
      </c>
      <c r="M950" s="1" t="s">
        <v>24</v>
      </c>
      <c r="N950" s="1" t="s">
        <v>35</v>
      </c>
      <c r="O950">
        <v>9</v>
      </c>
      <c r="P950">
        <v>4</v>
      </c>
      <c r="Q950" s="1" t="s">
        <v>85</v>
      </c>
      <c r="R950">
        <v>0</v>
      </c>
      <c r="S950" s="1" t="s">
        <v>24</v>
      </c>
      <c r="T950">
        <v>22512000</v>
      </c>
      <c r="U950" t="s">
        <v>184</v>
      </c>
      <c r="V950" s="1" t="s">
        <v>171</v>
      </c>
      <c r="W950" s="1" t="s">
        <v>172</v>
      </c>
      <c r="X950" s="1" t="str">
        <f>VLOOKUP(V950,Broker_Directory!A:C,3,FALSE)</f>
        <v>Tier B</v>
      </c>
      <c r="Y950" s="1">
        <f>HLOOKUP(X950, Commission_Rates!A$1:C$2, 2, FALSE)</f>
        <v>1.4999999999999999E-2</v>
      </c>
      <c r="Z950" s="1">
        <f t="shared" si="42"/>
        <v>337680</v>
      </c>
      <c r="AA950" s="1">
        <f t="shared" si="43"/>
        <v>675360</v>
      </c>
      <c r="AB950" s="1">
        <f t="shared" si="44"/>
        <v>337680</v>
      </c>
    </row>
    <row r="951" spans="1:28" x14ac:dyDescent="0.3">
      <c r="A951" s="1" t="s">
        <v>37</v>
      </c>
      <c r="B951" s="1" t="s">
        <v>87</v>
      </c>
      <c r="C951">
        <v>3</v>
      </c>
      <c r="D951">
        <v>3</v>
      </c>
      <c r="E951">
        <v>1363</v>
      </c>
      <c r="F951">
        <v>5263</v>
      </c>
      <c r="G951">
        <v>3</v>
      </c>
      <c r="H951">
        <v>2017</v>
      </c>
      <c r="I951">
        <v>2024</v>
      </c>
      <c r="J951" s="1" t="s">
        <v>30</v>
      </c>
      <c r="K951">
        <v>3</v>
      </c>
      <c r="L951" s="1" t="s">
        <v>31</v>
      </c>
      <c r="M951" s="1" t="s">
        <v>24</v>
      </c>
      <c r="N951" s="1" t="s">
        <v>46</v>
      </c>
      <c r="O951">
        <v>8</v>
      </c>
      <c r="P951">
        <v>3</v>
      </c>
      <c r="Q951" s="1" t="s">
        <v>138</v>
      </c>
      <c r="R951">
        <v>0</v>
      </c>
      <c r="S951" s="1" t="s">
        <v>27</v>
      </c>
      <c r="T951">
        <v>11229000</v>
      </c>
      <c r="U951" t="s">
        <v>182</v>
      </c>
      <c r="V951" s="1" t="s">
        <v>174</v>
      </c>
      <c r="W951" s="1" t="s">
        <v>175</v>
      </c>
      <c r="X951" s="1" t="str">
        <f>VLOOKUP(V951,Broker_Directory!A:C,3,FALSE)</f>
        <v>Tier A</v>
      </c>
      <c r="Y951" s="1">
        <f>HLOOKUP(X951, Commission_Rates!A$1:C$2, 2, FALSE)</f>
        <v>0.02</v>
      </c>
      <c r="Z951" s="1">
        <f t="shared" si="42"/>
        <v>0</v>
      </c>
      <c r="AA951" s="1">
        <f t="shared" si="43"/>
        <v>0</v>
      </c>
      <c r="AB951" s="1">
        <f t="shared" si="44"/>
        <v>0</v>
      </c>
    </row>
    <row r="952" spans="1:28" x14ac:dyDescent="0.3">
      <c r="A952" s="1" t="s">
        <v>33</v>
      </c>
      <c r="B952" s="1" t="s">
        <v>43</v>
      </c>
      <c r="C952">
        <v>4</v>
      </c>
      <c r="D952">
        <v>4</v>
      </c>
      <c r="E952">
        <v>4714</v>
      </c>
      <c r="F952">
        <v>8386</v>
      </c>
      <c r="G952">
        <v>2</v>
      </c>
      <c r="H952">
        <v>1988</v>
      </c>
      <c r="I952">
        <v>1997</v>
      </c>
      <c r="J952" s="1" t="s">
        <v>52</v>
      </c>
      <c r="K952">
        <v>3</v>
      </c>
      <c r="L952" s="1" t="s">
        <v>64</v>
      </c>
      <c r="M952" s="1" t="s">
        <v>27</v>
      </c>
      <c r="N952" s="1" t="s">
        <v>35</v>
      </c>
      <c r="O952">
        <v>10</v>
      </c>
      <c r="P952">
        <v>2</v>
      </c>
      <c r="Q952" s="1" t="s">
        <v>71</v>
      </c>
      <c r="R952">
        <v>3</v>
      </c>
      <c r="S952" s="1" t="s">
        <v>27</v>
      </c>
      <c r="T952">
        <v>40474000</v>
      </c>
      <c r="U952" t="s">
        <v>182</v>
      </c>
      <c r="V952" s="1" t="s">
        <v>171</v>
      </c>
      <c r="W952" s="1" t="s">
        <v>172</v>
      </c>
      <c r="X952" s="1" t="str">
        <f>VLOOKUP(V952,Broker_Directory!A:C,3,FALSE)</f>
        <v>Tier B</v>
      </c>
      <c r="Y952" s="1">
        <f>HLOOKUP(X952, Commission_Rates!A$1:C$2, 2, FALSE)</f>
        <v>1.4999999999999999E-2</v>
      </c>
      <c r="Z952" s="1">
        <f t="shared" si="42"/>
        <v>0</v>
      </c>
      <c r="AA952" s="1">
        <f t="shared" si="43"/>
        <v>0</v>
      </c>
      <c r="AB952" s="1">
        <f t="shared" si="44"/>
        <v>0</v>
      </c>
    </row>
    <row r="953" spans="1:28" x14ac:dyDescent="0.3">
      <c r="A953" s="1" t="s">
        <v>53</v>
      </c>
      <c r="B953" s="1" t="s">
        <v>100</v>
      </c>
      <c r="C953">
        <v>3</v>
      </c>
      <c r="D953">
        <v>2</v>
      </c>
      <c r="E953">
        <v>4412</v>
      </c>
      <c r="F953">
        <v>5517</v>
      </c>
      <c r="G953">
        <v>2</v>
      </c>
      <c r="H953">
        <v>1965</v>
      </c>
      <c r="I953">
        <v>2025</v>
      </c>
      <c r="J953" s="1" t="s">
        <v>58</v>
      </c>
      <c r="K953">
        <v>3</v>
      </c>
      <c r="L953" s="1" t="s">
        <v>64</v>
      </c>
      <c r="M953" s="1" t="s">
        <v>24</v>
      </c>
      <c r="N953" s="1" t="s">
        <v>25</v>
      </c>
      <c r="O953">
        <v>0</v>
      </c>
      <c r="P953">
        <v>0</v>
      </c>
      <c r="Q953" s="1" t="s">
        <v>131</v>
      </c>
      <c r="R953">
        <v>1</v>
      </c>
      <c r="S953" s="1" t="s">
        <v>27</v>
      </c>
      <c r="T953">
        <v>40073000</v>
      </c>
      <c r="U953" t="s">
        <v>182</v>
      </c>
      <c r="V953" s="1" t="s">
        <v>176</v>
      </c>
      <c r="W953" s="1" t="s">
        <v>177</v>
      </c>
      <c r="X953" s="1" t="str">
        <f>VLOOKUP(V953,Broker_Directory!A:C,3,FALSE)</f>
        <v>Tier C</v>
      </c>
      <c r="Y953" s="1">
        <f>HLOOKUP(X953, Commission_Rates!A$1:C$2, 2, FALSE)</f>
        <v>0.01</v>
      </c>
      <c r="Z953" s="1">
        <f t="shared" si="42"/>
        <v>0</v>
      </c>
      <c r="AA953" s="1">
        <f t="shared" si="43"/>
        <v>0</v>
      </c>
      <c r="AB953" s="1">
        <f t="shared" si="44"/>
        <v>0</v>
      </c>
    </row>
    <row r="954" spans="1:28" x14ac:dyDescent="0.3">
      <c r="A954" s="1" t="s">
        <v>53</v>
      </c>
      <c r="B954" s="1" t="s">
        <v>66</v>
      </c>
      <c r="C954">
        <v>5</v>
      </c>
      <c r="D954">
        <v>2</v>
      </c>
      <c r="E954">
        <v>895</v>
      </c>
      <c r="F954">
        <v>4818</v>
      </c>
      <c r="G954">
        <v>1</v>
      </c>
      <c r="H954">
        <v>1964</v>
      </c>
      <c r="I954">
        <v>2014</v>
      </c>
      <c r="J954" s="1" t="s">
        <v>30</v>
      </c>
      <c r="K954">
        <v>2</v>
      </c>
      <c r="L954" s="1" t="s">
        <v>23</v>
      </c>
      <c r="M954" s="1" t="s">
        <v>24</v>
      </c>
      <c r="N954" s="1" t="s">
        <v>25</v>
      </c>
      <c r="O954">
        <v>5</v>
      </c>
      <c r="P954">
        <v>2</v>
      </c>
      <c r="Q954" s="1" t="s">
        <v>91</v>
      </c>
      <c r="R954">
        <v>0</v>
      </c>
      <c r="S954" s="1" t="s">
        <v>24</v>
      </c>
      <c r="T954">
        <v>8535000</v>
      </c>
      <c r="U954" t="s">
        <v>183</v>
      </c>
      <c r="V954" s="1" t="s">
        <v>174</v>
      </c>
      <c r="W954" s="1" t="s">
        <v>175</v>
      </c>
      <c r="X954" s="1" t="str">
        <f>VLOOKUP(V954,Broker_Directory!A:C,3,FALSE)</f>
        <v>Tier A</v>
      </c>
      <c r="Y954" s="1">
        <f>HLOOKUP(X954, Commission_Rates!A$1:C$2, 2, FALSE)</f>
        <v>0.02</v>
      </c>
      <c r="Z954" s="1">
        <f t="shared" si="42"/>
        <v>0</v>
      </c>
      <c r="AA954" s="1">
        <f t="shared" si="43"/>
        <v>0</v>
      </c>
      <c r="AB954" s="1">
        <f t="shared" si="44"/>
        <v>0</v>
      </c>
    </row>
    <row r="955" spans="1:28" x14ac:dyDescent="0.3">
      <c r="A955" s="1" t="s">
        <v>37</v>
      </c>
      <c r="B955" s="1" t="s">
        <v>45</v>
      </c>
      <c r="C955">
        <v>2</v>
      </c>
      <c r="D955">
        <v>1</v>
      </c>
      <c r="E955">
        <v>2625</v>
      </c>
      <c r="F955">
        <v>5159</v>
      </c>
      <c r="G955">
        <v>2</v>
      </c>
      <c r="H955">
        <v>2016</v>
      </c>
      <c r="I955">
        <v>2023</v>
      </c>
      <c r="J955" s="1" t="s">
        <v>22</v>
      </c>
      <c r="K955">
        <v>3</v>
      </c>
      <c r="L955" s="1" t="s">
        <v>41</v>
      </c>
      <c r="M955" s="1" t="s">
        <v>24</v>
      </c>
      <c r="N955" s="1" t="s">
        <v>46</v>
      </c>
      <c r="O955">
        <v>3</v>
      </c>
      <c r="P955">
        <v>3</v>
      </c>
      <c r="Q955" s="1" t="s">
        <v>122</v>
      </c>
      <c r="R955">
        <v>3</v>
      </c>
      <c r="S955" s="1" t="s">
        <v>27</v>
      </c>
      <c r="T955">
        <v>21240000</v>
      </c>
      <c r="U955" t="s">
        <v>184</v>
      </c>
      <c r="V955" s="1" t="s">
        <v>179</v>
      </c>
      <c r="W955" s="1" t="s">
        <v>180</v>
      </c>
      <c r="X955" s="1" t="str">
        <f>VLOOKUP(V955,Broker_Directory!A:C,3,FALSE)</f>
        <v>Tier B</v>
      </c>
      <c r="Y955" s="1">
        <f>HLOOKUP(X955, Commission_Rates!A$1:C$2, 2, FALSE)</f>
        <v>1.4999999999999999E-2</v>
      </c>
      <c r="Z955" s="1">
        <f t="shared" si="42"/>
        <v>318600</v>
      </c>
      <c r="AA955" s="1">
        <f t="shared" si="43"/>
        <v>637200</v>
      </c>
      <c r="AB955" s="1">
        <f t="shared" si="44"/>
        <v>318600</v>
      </c>
    </row>
    <row r="956" spans="1:28" x14ac:dyDescent="0.3">
      <c r="A956" s="1" t="s">
        <v>37</v>
      </c>
      <c r="B956" s="1" t="s">
        <v>62</v>
      </c>
      <c r="C956">
        <v>1</v>
      </c>
      <c r="D956">
        <v>2</v>
      </c>
      <c r="E956">
        <v>3300</v>
      </c>
      <c r="F956">
        <v>7571</v>
      </c>
      <c r="G956">
        <v>3</v>
      </c>
      <c r="H956">
        <v>1971</v>
      </c>
      <c r="I956">
        <v>1993</v>
      </c>
      <c r="J956" s="1" t="s">
        <v>30</v>
      </c>
      <c r="K956">
        <v>1</v>
      </c>
      <c r="L956" s="1" t="s">
        <v>23</v>
      </c>
      <c r="M956" s="1" t="s">
        <v>24</v>
      </c>
      <c r="N956" s="1" t="s">
        <v>25</v>
      </c>
      <c r="O956">
        <v>8</v>
      </c>
      <c r="P956">
        <v>0</v>
      </c>
      <c r="Q956" s="1" t="s">
        <v>63</v>
      </c>
      <c r="R956">
        <v>1</v>
      </c>
      <c r="S956" s="1" t="s">
        <v>24</v>
      </c>
      <c r="T956">
        <v>26735000</v>
      </c>
      <c r="U956" t="s">
        <v>183</v>
      </c>
      <c r="V956" s="1" t="s">
        <v>176</v>
      </c>
      <c r="W956" s="1" t="s">
        <v>177</v>
      </c>
      <c r="X956" s="1" t="str">
        <f>VLOOKUP(V956,Broker_Directory!A:C,3,FALSE)</f>
        <v>Tier C</v>
      </c>
      <c r="Y956" s="1">
        <f>HLOOKUP(X956, Commission_Rates!A$1:C$2, 2, FALSE)</f>
        <v>0.01</v>
      </c>
      <c r="Z956" s="1">
        <f t="shared" si="42"/>
        <v>0</v>
      </c>
      <c r="AA956" s="1">
        <f t="shared" si="43"/>
        <v>0</v>
      </c>
      <c r="AB956" s="1">
        <f t="shared" si="44"/>
        <v>0</v>
      </c>
    </row>
    <row r="957" spans="1:28" x14ac:dyDescent="0.3">
      <c r="A957" s="1" t="s">
        <v>28</v>
      </c>
      <c r="B957" s="1" t="s">
        <v>110</v>
      </c>
      <c r="C957">
        <v>5</v>
      </c>
      <c r="D957">
        <v>2</v>
      </c>
      <c r="E957">
        <v>358</v>
      </c>
      <c r="F957">
        <v>5402</v>
      </c>
      <c r="G957">
        <v>3</v>
      </c>
      <c r="H957">
        <v>1961</v>
      </c>
      <c r="I957">
        <v>1967</v>
      </c>
      <c r="J957" s="1" t="s">
        <v>22</v>
      </c>
      <c r="K957">
        <v>0</v>
      </c>
      <c r="L957" s="1" t="s">
        <v>23</v>
      </c>
      <c r="M957" s="1" t="s">
        <v>24</v>
      </c>
      <c r="N957" s="1" t="s">
        <v>46</v>
      </c>
      <c r="O957">
        <v>4</v>
      </c>
      <c r="P957">
        <v>3</v>
      </c>
      <c r="Q957" s="1" t="s">
        <v>117</v>
      </c>
      <c r="R957">
        <v>1</v>
      </c>
      <c r="S957" s="1" t="s">
        <v>27</v>
      </c>
      <c r="T957">
        <v>3990000</v>
      </c>
      <c r="U957" t="s">
        <v>184</v>
      </c>
      <c r="V957" s="1" t="s">
        <v>176</v>
      </c>
      <c r="W957" s="1" t="s">
        <v>177</v>
      </c>
      <c r="X957" s="1" t="str">
        <f>VLOOKUP(V957,Broker_Directory!A:C,3,FALSE)</f>
        <v>Tier C</v>
      </c>
      <c r="Y957" s="1">
        <f>HLOOKUP(X957, Commission_Rates!A$1:C$2, 2, FALSE)</f>
        <v>0.01</v>
      </c>
      <c r="Z957" s="1">
        <f t="shared" si="42"/>
        <v>39900</v>
      </c>
      <c r="AA957" s="1">
        <f t="shared" si="43"/>
        <v>119700</v>
      </c>
      <c r="AB957" s="1">
        <f t="shared" si="44"/>
        <v>79800</v>
      </c>
    </row>
    <row r="958" spans="1:28" x14ac:dyDescent="0.3">
      <c r="A958" s="1" t="s">
        <v>53</v>
      </c>
      <c r="B958" s="1" t="s">
        <v>105</v>
      </c>
      <c r="C958">
        <v>5</v>
      </c>
      <c r="D958">
        <v>2</v>
      </c>
      <c r="E958">
        <v>4163</v>
      </c>
      <c r="F958">
        <v>7522</v>
      </c>
      <c r="G958">
        <v>3</v>
      </c>
      <c r="H958">
        <v>1961</v>
      </c>
      <c r="I958">
        <v>2018</v>
      </c>
      <c r="J958" s="1" t="s">
        <v>52</v>
      </c>
      <c r="K958">
        <v>1</v>
      </c>
      <c r="L958" s="1" t="s">
        <v>64</v>
      </c>
      <c r="M958" s="1" t="s">
        <v>27</v>
      </c>
      <c r="N958" s="1" t="s">
        <v>46</v>
      </c>
      <c r="O958">
        <v>5</v>
      </c>
      <c r="P958">
        <v>2</v>
      </c>
      <c r="Q958" s="1" t="s">
        <v>160</v>
      </c>
      <c r="R958">
        <v>2</v>
      </c>
      <c r="S958" s="1" t="s">
        <v>27</v>
      </c>
      <c r="T958">
        <v>37867000</v>
      </c>
      <c r="U958" t="s">
        <v>182</v>
      </c>
      <c r="V958" s="1" t="s">
        <v>171</v>
      </c>
      <c r="W958" s="1" t="s">
        <v>172</v>
      </c>
      <c r="X958" s="1" t="str">
        <f>VLOOKUP(V958,Broker_Directory!A:C,3,FALSE)</f>
        <v>Tier B</v>
      </c>
      <c r="Y958" s="1">
        <f>HLOOKUP(X958, Commission_Rates!A$1:C$2, 2, FALSE)</f>
        <v>1.4999999999999999E-2</v>
      </c>
      <c r="Z958" s="1">
        <f t="shared" si="42"/>
        <v>0</v>
      </c>
      <c r="AA958" s="1">
        <f t="shared" si="43"/>
        <v>0</v>
      </c>
      <c r="AB958" s="1">
        <f t="shared" si="44"/>
        <v>0</v>
      </c>
    </row>
    <row r="959" spans="1:28" x14ac:dyDescent="0.3">
      <c r="A959" s="1" t="s">
        <v>28</v>
      </c>
      <c r="B959" s="1" t="s">
        <v>29</v>
      </c>
      <c r="C959">
        <v>2</v>
      </c>
      <c r="D959">
        <v>1</v>
      </c>
      <c r="E959">
        <v>2965</v>
      </c>
      <c r="F959">
        <v>4181</v>
      </c>
      <c r="G959">
        <v>3</v>
      </c>
      <c r="H959">
        <v>1961</v>
      </c>
      <c r="I959">
        <v>2025</v>
      </c>
      <c r="J959" s="1" t="s">
        <v>22</v>
      </c>
      <c r="K959">
        <v>3</v>
      </c>
      <c r="L959" s="1" t="s">
        <v>31</v>
      </c>
      <c r="M959" s="1" t="s">
        <v>24</v>
      </c>
      <c r="N959" s="1" t="s">
        <v>46</v>
      </c>
      <c r="O959">
        <v>0</v>
      </c>
      <c r="P959">
        <v>4</v>
      </c>
      <c r="Q959" s="1" t="s">
        <v>149</v>
      </c>
      <c r="R959">
        <v>3</v>
      </c>
      <c r="S959" s="1" t="s">
        <v>24</v>
      </c>
      <c r="T959">
        <v>29960000</v>
      </c>
      <c r="U959" t="s">
        <v>184</v>
      </c>
      <c r="V959" s="1" t="s">
        <v>168</v>
      </c>
      <c r="W959" s="1" t="s">
        <v>169</v>
      </c>
      <c r="X959" s="1" t="str">
        <f>VLOOKUP(V959,Broker_Directory!A:C,3,FALSE)</f>
        <v>Tier A</v>
      </c>
      <c r="Y959" s="1">
        <f>HLOOKUP(X959, Commission_Rates!A$1:C$2, 2, FALSE)</f>
        <v>0.02</v>
      </c>
      <c r="Z959" s="1">
        <f t="shared" si="42"/>
        <v>599200</v>
      </c>
      <c r="AA959" s="1">
        <f t="shared" si="43"/>
        <v>898800</v>
      </c>
      <c r="AB959" s="1">
        <f t="shared" si="44"/>
        <v>299600</v>
      </c>
    </row>
    <row r="960" spans="1:28" x14ac:dyDescent="0.3">
      <c r="A960" s="1" t="s">
        <v>37</v>
      </c>
      <c r="B960" s="1" t="s">
        <v>62</v>
      </c>
      <c r="C960">
        <v>1</v>
      </c>
      <c r="D960">
        <v>4</v>
      </c>
      <c r="E960">
        <v>2061</v>
      </c>
      <c r="F960">
        <v>3735</v>
      </c>
      <c r="G960">
        <v>2</v>
      </c>
      <c r="H960">
        <v>1977</v>
      </c>
      <c r="I960">
        <v>2012</v>
      </c>
      <c r="J960" s="1" t="s">
        <v>52</v>
      </c>
      <c r="K960">
        <v>0</v>
      </c>
      <c r="L960" s="1" t="s">
        <v>64</v>
      </c>
      <c r="M960" s="1" t="s">
        <v>24</v>
      </c>
      <c r="N960" s="1" t="s">
        <v>25</v>
      </c>
      <c r="O960">
        <v>2</v>
      </c>
      <c r="P960">
        <v>4</v>
      </c>
      <c r="Q960" s="1" t="s">
        <v>63</v>
      </c>
      <c r="R960">
        <v>3</v>
      </c>
      <c r="S960" s="1" t="s">
        <v>24</v>
      </c>
      <c r="T960">
        <v>16893000</v>
      </c>
      <c r="U960" t="s">
        <v>184</v>
      </c>
      <c r="V960" s="1" t="s">
        <v>174</v>
      </c>
      <c r="W960" s="1" t="s">
        <v>175</v>
      </c>
      <c r="X960" s="1" t="str">
        <f>VLOOKUP(V960,Broker_Directory!A:C,3,FALSE)</f>
        <v>Tier A</v>
      </c>
      <c r="Y960" s="1">
        <f>HLOOKUP(X960, Commission_Rates!A$1:C$2, 2, FALSE)</f>
        <v>0.02</v>
      </c>
      <c r="Z960" s="1">
        <f t="shared" si="42"/>
        <v>337860</v>
      </c>
      <c r="AA960" s="1">
        <f t="shared" si="43"/>
        <v>506790</v>
      </c>
      <c r="AB960" s="1">
        <f t="shared" si="44"/>
        <v>168930</v>
      </c>
    </row>
    <row r="961" spans="1:28" x14ac:dyDescent="0.3">
      <c r="A961" s="1" t="s">
        <v>20</v>
      </c>
      <c r="B961" s="1" t="s">
        <v>50</v>
      </c>
      <c r="C961">
        <v>3</v>
      </c>
      <c r="D961">
        <v>1</v>
      </c>
      <c r="E961">
        <v>2783</v>
      </c>
      <c r="F961">
        <v>4768</v>
      </c>
      <c r="G961">
        <v>3</v>
      </c>
      <c r="H961">
        <v>2020</v>
      </c>
      <c r="I961">
        <v>2020</v>
      </c>
      <c r="J961" s="1" t="s">
        <v>52</v>
      </c>
      <c r="K961">
        <v>1</v>
      </c>
      <c r="L961" s="1" t="s">
        <v>64</v>
      </c>
      <c r="M961" s="1" t="s">
        <v>27</v>
      </c>
      <c r="N961" s="1" t="s">
        <v>35</v>
      </c>
      <c r="O961">
        <v>3</v>
      </c>
      <c r="P961">
        <v>4</v>
      </c>
      <c r="Q961" s="1" t="s">
        <v>112</v>
      </c>
      <c r="R961">
        <v>2</v>
      </c>
      <c r="S961" s="1" t="s">
        <v>27</v>
      </c>
      <c r="T961">
        <v>33666000</v>
      </c>
      <c r="U961" t="s">
        <v>183</v>
      </c>
      <c r="V961" s="1" t="s">
        <v>174</v>
      </c>
      <c r="W961" s="1" t="s">
        <v>175</v>
      </c>
      <c r="X961" s="1" t="str">
        <f>VLOOKUP(V961,Broker_Directory!A:C,3,FALSE)</f>
        <v>Tier A</v>
      </c>
      <c r="Y961" s="1">
        <f>HLOOKUP(X961, Commission_Rates!A$1:C$2, 2, FALSE)</f>
        <v>0.02</v>
      </c>
      <c r="Z961" s="1">
        <f t="shared" si="42"/>
        <v>0</v>
      </c>
      <c r="AA961" s="1">
        <f t="shared" si="43"/>
        <v>0</v>
      </c>
      <c r="AB961" s="1">
        <f t="shared" si="44"/>
        <v>0</v>
      </c>
    </row>
    <row r="962" spans="1:28" x14ac:dyDescent="0.3">
      <c r="A962" s="1" t="s">
        <v>53</v>
      </c>
      <c r="B962" s="1" t="s">
        <v>54</v>
      </c>
      <c r="C962">
        <v>1</v>
      </c>
      <c r="D962">
        <v>4</v>
      </c>
      <c r="E962">
        <v>4093</v>
      </c>
      <c r="F962">
        <v>8182</v>
      </c>
      <c r="G962">
        <v>1</v>
      </c>
      <c r="H962">
        <v>1970</v>
      </c>
      <c r="I962">
        <v>2020</v>
      </c>
      <c r="J962" s="1" t="s">
        <v>22</v>
      </c>
      <c r="K962">
        <v>2</v>
      </c>
      <c r="L962" s="1" t="s">
        <v>31</v>
      </c>
      <c r="M962" s="1" t="s">
        <v>24</v>
      </c>
      <c r="N962" s="1" t="s">
        <v>35</v>
      </c>
      <c r="O962">
        <v>5</v>
      </c>
      <c r="P962">
        <v>2</v>
      </c>
      <c r="Q962" s="1" t="s">
        <v>144</v>
      </c>
      <c r="R962">
        <v>3</v>
      </c>
      <c r="S962" s="1" t="s">
        <v>24</v>
      </c>
      <c r="T962">
        <v>37147000</v>
      </c>
      <c r="U962" t="s">
        <v>183</v>
      </c>
      <c r="V962" s="1" t="s">
        <v>171</v>
      </c>
      <c r="W962" s="1" t="s">
        <v>172</v>
      </c>
      <c r="X962" s="1" t="str">
        <f>VLOOKUP(V962,Broker_Directory!A:C,3,FALSE)</f>
        <v>Tier B</v>
      </c>
      <c r="Y962" s="1">
        <f>HLOOKUP(X962, Commission_Rates!A$1:C$2, 2, FALSE)</f>
        <v>1.4999999999999999E-2</v>
      </c>
      <c r="Z962" s="1">
        <f t="shared" ref="Z962:Z1003" si="45">IF(U962="Sold",T962*Y962,0)</f>
        <v>0</v>
      </c>
      <c r="AA962" s="1">
        <f t="shared" ref="AA962:AA1003" si="46">IF(U962="Sold", T962 * 0.03, 0)</f>
        <v>0</v>
      </c>
      <c r="AB962" s="1">
        <f t="shared" ref="AB962:AB1025" si="47">AA962 - Z962</f>
        <v>0</v>
      </c>
    </row>
    <row r="963" spans="1:28" x14ac:dyDescent="0.3">
      <c r="A963" s="1" t="s">
        <v>28</v>
      </c>
      <c r="B963" s="1" t="s">
        <v>29</v>
      </c>
      <c r="C963">
        <v>5</v>
      </c>
      <c r="D963">
        <v>4</v>
      </c>
      <c r="E963">
        <v>322</v>
      </c>
      <c r="F963">
        <v>3432</v>
      </c>
      <c r="G963">
        <v>3</v>
      </c>
      <c r="H963">
        <v>1972</v>
      </c>
      <c r="I963">
        <v>1999</v>
      </c>
      <c r="J963" s="1" t="s">
        <v>58</v>
      </c>
      <c r="K963">
        <v>1</v>
      </c>
      <c r="L963" s="1" t="s">
        <v>23</v>
      </c>
      <c r="M963" s="1" t="s">
        <v>27</v>
      </c>
      <c r="N963" s="1" t="s">
        <v>25</v>
      </c>
      <c r="O963">
        <v>10</v>
      </c>
      <c r="P963">
        <v>4</v>
      </c>
      <c r="Q963" s="1" t="s">
        <v>81</v>
      </c>
      <c r="R963">
        <v>3</v>
      </c>
      <c r="S963" s="1" t="s">
        <v>24</v>
      </c>
      <c r="T963">
        <v>3820000</v>
      </c>
      <c r="U963" t="s">
        <v>182</v>
      </c>
      <c r="V963" s="1" t="s">
        <v>179</v>
      </c>
      <c r="W963" s="1" t="s">
        <v>180</v>
      </c>
      <c r="X963" s="1" t="str">
        <f>VLOOKUP(V963,Broker_Directory!A:C,3,FALSE)</f>
        <v>Tier B</v>
      </c>
      <c r="Y963" s="1">
        <f>HLOOKUP(X963, Commission_Rates!A$1:C$2, 2, FALSE)</f>
        <v>1.4999999999999999E-2</v>
      </c>
      <c r="Z963" s="1">
        <f t="shared" si="45"/>
        <v>0</v>
      </c>
      <c r="AA963" s="1">
        <f t="shared" si="46"/>
        <v>0</v>
      </c>
      <c r="AB963" s="1">
        <f t="shared" si="47"/>
        <v>0</v>
      </c>
    </row>
    <row r="964" spans="1:28" x14ac:dyDescent="0.3">
      <c r="A964" s="1" t="s">
        <v>28</v>
      </c>
      <c r="B964" s="1" t="s">
        <v>29</v>
      </c>
      <c r="C964">
        <v>3</v>
      </c>
      <c r="D964">
        <v>2</v>
      </c>
      <c r="E964">
        <v>4873</v>
      </c>
      <c r="F964">
        <v>9174</v>
      </c>
      <c r="G964">
        <v>1</v>
      </c>
      <c r="H964">
        <v>1966</v>
      </c>
      <c r="I964">
        <v>1974</v>
      </c>
      <c r="J964" s="1" t="s">
        <v>58</v>
      </c>
      <c r="K964">
        <v>0</v>
      </c>
      <c r="L964" s="1" t="s">
        <v>31</v>
      </c>
      <c r="M964" s="1" t="s">
        <v>27</v>
      </c>
      <c r="N964" s="1" t="s">
        <v>46</v>
      </c>
      <c r="O964">
        <v>0</v>
      </c>
      <c r="P964">
        <v>4</v>
      </c>
      <c r="Q964" s="1" t="s">
        <v>149</v>
      </c>
      <c r="R964">
        <v>1</v>
      </c>
      <c r="S964" s="1" t="s">
        <v>24</v>
      </c>
      <c r="T964">
        <v>49025000</v>
      </c>
      <c r="U964" t="s">
        <v>183</v>
      </c>
      <c r="V964" s="1" t="s">
        <v>171</v>
      </c>
      <c r="W964" s="1" t="s">
        <v>172</v>
      </c>
      <c r="X964" s="1" t="str">
        <f>VLOOKUP(V964,Broker_Directory!A:C,3,FALSE)</f>
        <v>Tier B</v>
      </c>
      <c r="Y964" s="1">
        <f>HLOOKUP(X964, Commission_Rates!A$1:C$2, 2, FALSE)</f>
        <v>1.4999999999999999E-2</v>
      </c>
      <c r="Z964" s="1">
        <f t="shared" si="45"/>
        <v>0</v>
      </c>
      <c r="AA964" s="1">
        <f t="shared" si="46"/>
        <v>0</v>
      </c>
      <c r="AB964" s="1">
        <f t="shared" si="47"/>
        <v>0</v>
      </c>
    </row>
    <row r="965" spans="1:28" x14ac:dyDescent="0.3">
      <c r="A965" s="1" t="s">
        <v>20</v>
      </c>
      <c r="B965" s="1" t="s">
        <v>69</v>
      </c>
      <c r="C965">
        <v>5</v>
      </c>
      <c r="D965">
        <v>4</v>
      </c>
      <c r="E965">
        <v>4114</v>
      </c>
      <c r="F965">
        <v>8412</v>
      </c>
      <c r="G965">
        <v>3</v>
      </c>
      <c r="H965">
        <v>2014</v>
      </c>
      <c r="I965">
        <v>2022</v>
      </c>
      <c r="J965" s="1" t="s">
        <v>22</v>
      </c>
      <c r="K965">
        <v>2</v>
      </c>
      <c r="L965" s="1" t="s">
        <v>31</v>
      </c>
      <c r="M965" s="1" t="s">
        <v>27</v>
      </c>
      <c r="N965" s="1" t="s">
        <v>35</v>
      </c>
      <c r="O965">
        <v>8</v>
      </c>
      <c r="P965">
        <v>2</v>
      </c>
      <c r="Q965" s="1" t="s">
        <v>70</v>
      </c>
      <c r="R965">
        <v>1</v>
      </c>
      <c r="S965" s="1" t="s">
        <v>27</v>
      </c>
      <c r="T965">
        <v>49813000</v>
      </c>
      <c r="U965" t="s">
        <v>182</v>
      </c>
      <c r="V965" s="1" t="s">
        <v>179</v>
      </c>
      <c r="W965" s="1" t="s">
        <v>180</v>
      </c>
      <c r="X965" s="1" t="str">
        <f>VLOOKUP(V965,Broker_Directory!A:C,3,FALSE)</f>
        <v>Tier B</v>
      </c>
      <c r="Y965" s="1">
        <f>HLOOKUP(X965, Commission_Rates!A$1:C$2, 2, FALSE)</f>
        <v>1.4999999999999999E-2</v>
      </c>
      <c r="Z965" s="1">
        <f t="shared" si="45"/>
        <v>0</v>
      </c>
      <c r="AA965" s="1">
        <f t="shared" si="46"/>
        <v>0</v>
      </c>
      <c r="AB965" s="1">
        <f t="shared" si="47"/>
        <v>0</v>
      </c>
    </row>
    <row r="966" spans="1:28" x14ac:dyDescent="0.3">
      <c r="A966" s="1" t="s">
        <v>20</v>
      </c>
      <c r="B966" s="1" t="s">
        <v>21</v>
      </c>
      <c r="C966">
        <v>2</v>
      </c>
      <c r="D966">
        <v>1</v>
      </c>
      <c r="E966">
        <v>2578</v>
      </c>
      <c r="F966">
        <v>5102</v>
      </c>
      <c r="G966">
        <v>1</v>
      </c>
      <c r="H966">
        <v>1999</v>
      </c>
      <c r="I966">
        <v>2018</v>
      </c>
      <c r="J966" s="1" t="s">
        <v>58</v>
      </c>
      <c r="K966">
        <v>2</v>
      </c>
      <c r="L966" s="1" t="s">
        <v>23</v>
      </c>
      <c r="M966" s="1" t="s">
        <v>27</v>
      </c>
      <c r="N966" s="1" t="s">
        <v>25</v>
      </c>
      <c r="O966">
        <v>5</v>
      </c>
      <c r="P966">
        <v>1</v>
      </c>
      <c r="Q966" s="1" t="s">
        <v>56</v>
      </c>
      <c r="R966">
        <v>0</v>
      </c>
      <c r="S966" s="1" t="s">
        <v>24</v>
      </c>
      <c r="T966">
        <v>31211000</v>
      </c>
      <c r="U966" t="s">
        <v>184</v>
      </c>
      <c r="V966" s="1" t="s">
        <v>174</v>
      </c>
      <c r="W966" s="1" t="s">
        <v>175</v>
      </c>
      <c r="X966" s="1" t="str">
        <f>VLOOKUP(V966,Broker_Directory!A:C,3,FALSE)</f>
        <v>Tier A</v>
      </c>
      <c r="Y966" s="1">
        <f>HLOOKUP(X966, Commission_Rates!A$1:C$2, 2, FALSE)</f>
        <v>0.02</v>
      </c>
      <c r="Z966" s="1">
        <f t="shared" si="45"/>
        <v>624220</v>
      </c>
      <c r="AA966" s="1">
        <f t="shared" si="46"/>
        <v>936330</v>
      </c>
      <c r="AB966" s="1">
        <f t="shared" si="47"/>
        <v>312110</v>
      </c>
    </row>
    <row r="967" spans="1:28" x14ac:dyDescent="0.3">
      <c r="A967" s="1" t="s">
        <v>28</v>
      </c>
      <c r="B967" s="1" t="s">
        <v>95</v>
      </c>
      <c r="C967">
        <v>2</v>
      </c>
      <c r="D967">
        <v>3</v>
      </c>
      <c r="E967">
        <v>496</v>
      </c>
      <c r="F967">
        <v>2061</v>
      </c>
      <c r="G967">
        <v>2</v>
      </c>
      <c r="H967">
        <v>1975</v>
      </c>
      <c r="I967">
        <v>2004</v>
      </c>
      <c r="J967" s="1" t="s">
        <v>30</v>
      </c>
      <c r="K967">
        <v>1</v>
      </c>
      <c r="L967" s="1" t="s">
        <v>23</v>
      </c>
      <c r="M967" s="1" t="s">
        <v>24</v>
      </c>
      <c r="N967" s="1" t="s">
        <v>25</v>
      </c>
      <c r="O967">
        <v>9</v>
      </c>
      <c r="P967">
        <v>3</v>
      </c>
      <c r="Q967" s="1" t="s">
        <v>146</v>
      </c>
      <c r="R967">
        <v>0</v>
      </c>
      <c r="S967" s="1" t="s">
        <v>24</v>
      </c>
      <c r="T967">
        <v>5340000</v>
      </c>
      <c r="U967" t="s">
        <v>182</v>
      </c>
      <c r="V967" s="1" t="s">
        <v>179</v>
      </c>
      <c r="W967" s="1" t="s">
        <v>180</v>
      </c>
      <c r="X967" s="1" t="str">
        <f>VLOOKUP(V967,Broker_Directory!A:C,3,FALSE)</f>
        <v>Tier B</v>
      </c>
      <c r="Y967" s="1">
        <f>HLOOKUP(X967, Commission_Rates!A$1:C$2, 2, FALSE)</f>
        <v>1.4999999999999999E-2</v>
      </c>
      <c r="Z967" s="1">
        <f t="shared" si="45"/>
        <v>0</v>
      </c>
      <c r="AA967" s="1">
        <f t="shared" si="46"/>
        <v>0</v>
      </c>
      <c r="AB967" s="1">
        <f t="shared" si="47"/>
        <v>0</v>
      </c>
    </row>
    <row r="968" spans="1:28" x14ac:dyDescent="0.3">
      <c r="A968" s="1" t="s">
        <v>33</v>
      </c>
      <c r="B968" s="1" t="s">
        <v>98</v>
      </c>
      <c r="C968">
        <v>1</v>
      </c>
      <c r="D968">
        <v>1</v>
      </c>
      <c r="E968">
        <v>1489</v>
      </c>
      <c r="F968">
        <v>8056</v>
      </c>
      <c r="G968">
        <v>1</v>
      </c>
      <c r="H968">
        <v>1969</v>
      </c>
      <c r="I968">
        <v>2014</v>
      </c>
      <c r="J968" s="1" t="s">
        <v>52</v>
      </c>
      <c r="K968">
        <v>0</v>
      </c>
      <c r="L968" s="1" t="s">
        <v>31</v>
      </c>
      <c r="M968" s="1" t="s">
        <v>24</v>
      </c>
      <c r="N968" s="1" t="s">
        <v>25</v>
      </c>
      <c r="O968">
        <v>10</v>
      </c>
      <c r="P968">
        <v>5</v>
      </c>
      <c r="Q968" s="1" t="s">
        <v>99</v>
      </c>
      <c r="R968">
        <v>3</v>
      </c>
      <c r="S968" s="1" t="s">
        <v>27</v>
      </c>
      <c r="T968">
        <v>12901500</v>
      </c>
      <c r="U968" t="s">
        <v>182</v>
      </c>
      <c r="V968" s="1" t="s">
        <v>179</v>
      </c>
      <c r="W968" s="1" t="s">
        <v>180</v>
      </c>
      <c r="X968" s="1" t="str">
        <f>VLOOKUP(V968,Broker_Directory!A:C,3,FALSE)</f>
        <v>Tier B</v>
      </c>
      <c r="Y968" s="1">
        <f>HLOOKUP(X968, Commission_Rates!A$1:C$2, 2, FALSE)</f>
        <v>1.4999999999999999E-2</v>
      </c>
      <c r="Z968" s="1">
        <f t="shared" si="45"/>
        <v>0</v>
      </c>
      <c r="AA968" s="1">
        <f t="shared" si="46"/>
        <v>0</v>
      </c>
      <c r="AB968" s="1">
        <f t="shared" si="47"/>
        <v>0</v>
      </c>
    </row>
    <row r="969" spans="1:28" x14ac:dyDescent="0.3">
      <c r="A969" s="1" t="s">
        <v>28</v>
      </c>
      <c r="B969" s="1" t="s">
        <v>60</v>
      </c>
      <c r="C969">
        <v>1</v>
      </c>
      <c r="D969">
        <v>1</v>
      </c>
      <c r="E969">
        <v>1249</v>
      </c>
      <c r="F969">
        <v>3145</v>
      </c>
      <c r="G969">
        <v>2</v>
      </c>
      <c r="H969">
        <v>2001</v>
      </c>
      <c r="I969">
        <v>2003</v>
      </c>
      <c r="J969" s="1" t="s">
        <v>52</v>
      </c>
      <c r="K969">
        <v>1</v>
      </c>
      <c r="L969" s="1" t="s">
        <v>23</v>
      </c>
      <c r="M969" s="1" t="s">
        <v>24</v>
      </c>
      <c r="N969" s="1" t="s">
        <v>35</v>
      </c>
      <c r="O969">
        <v>0</v>
      </c>
      <c r="P969">
        <v>3</v>
      </c>
      <c r="Q969" s="1" t="s">
        <v>121</v>
      </c>
      <c r="R969">
        <v>2</v>
      </c>
      <c r="S969" s="1" t="s">
        <v>27</v>
      </c>
      <c r="T969">
        <v>12665000</v>
      </c>
      <c r="U969" t="s">
        <v>182</v>
      </c>
      <c r="V969" s="1" t="s">
        <v>176</v>
      </c>
      <c r="W969" s="1" t="s">
        <v>177</v>
      </c>
      <c r="X969" s="1" t="str">
        <f>VLOOKUP(V969,Broker_Directory!A:C,3,FALSE)</f>
        <v>Tier C</v>
      </c>
      <c r="Y969" s="1">
        <f>HLOOKUP(X969, Commission_Rates!A$1:C$2, 2, FALSE)</f>
        <v>0.01</v>
      </c>
      <c r="Z969" s="1">
        <f t="shared" si="45"/>
        <v>0</v>
      </c>
      <c r="AA969" s="1">
        <f t="shared" si="46"/>
        <v>0</v>
      </c>
      <c r="AB969" s="1">
        <f t="shared" si="47"/>
        <v>0</v>
      </c>
    </row>
    <row r="970" spans="1:28" x14ac:dyDescent="0.3">
      <c r="A970" s="1" t="s">
        <v>28</v>
      </c>
      <c r="B970" s="1" t="s">
        <v>110</v>
      </c>
      <c r="C970">
        <v>5</v>
      </c>
      <c r="D970">
        <v>2</v>
      </c>
      <c r="E970">
        <v>603</v>
      </c>
      <c r="F970">
        <v>5463</v>
      </c>
      <c r="G970">
        <v>3</v>
      </c>
      <c r="H970">
        <v>1974</v>
      </c>
      <c r="I970">
        <v>2000</v>
      </c>
      <c r="J970" s="1" t="s">
        <v>22</v>
      </c>
      <c r="K970">
        <v>2</v>
      </c>
      <c r="L970" s="1" t="s">
        <v>31</v>
      </c>
      <c r="M970" s="1" t="s">
        <v>24</v>
      </c>
      <c r="N970" s="1" t="s">
        <v>35</v>
      </c>
      <c r="O970">
        <v>2</v>
      </c>
      <c r="P970">
        <v>3</v>
      </c>
      <c r="Q970" s="1" t="s">
        <v>111</v>
      </c>
      <c r="R970">
        <v>0</v>
      </c>
      <c r="S970" s="1" t="s">
        <v>24</v>
      </c>
      <c r="T970">
        <v>6475000</v>
      </c>
      <c r="U970" t="s">
        <v>184</v>
      </c>
      <c r="V970" s="1" t="s">
        <v>168</v>
      </c>
      <c r="W970" s="1" t="s">
        <v>169</v>
      </c>
      <c r="X970" s="1" t="str">
        <f>VLOOKUP(V970,Broker_Directory!A:C,3,FALSE)</f>
        <v>Tier A</v>
      </c>
      <c r="Y970" s="1">
        <f>HLOOKUP(X970, Commission_Rates!A$1:C$2, 2, FALSE)</f>
        <v>0.02</v>
      </c>
      <c r="Z970" s="1">
        <f t="shared" si="45"/>
        <v>129500</v>
      </c>
      <c r="AA970" s="1">
        <f t="shared" si="46"/>
        <v>194250</v>
      </c>
      <c r="AB970" s="1">
        <f t="shared" si="47"/>
        <v>64750</v>
      </c>
    </row>
    <row r="971" spans="1:28" x14ac:dyDescent="0.3">
      <c r="A971" s="1" t="s">
        <v>53</v>
      </c>
      <c r="B971" s="1" t="s">
        <v>66</v>
      </c>
      <c r="C971">
        <v>1</v>
      </c>
      <c r="D971">
        <v>1</v>
      </c>
      <c r="E971">
        <v>2630</v>
      </c>
      <c r="F971">
        <v>2866</v>
      </c>
      <c r="G971">
        <v>3</v>
      </c>
      <c r="H971">
        <v>2000</v>
      </c>
      <c r="I971">
        <v>2019</v>
      </c>
      <c r="J971" s="1" t="s">
        <v>52</v>
      </c>
      <c r="K971">
        <v>2</v>
      </c>
      <c r="L971" s="1" t="s">
        <v>23</v>
      </c>
      <c r="M971" s="1" t="s">
        <v>27</v>
      </c>
      <c r="N971" s="1" t="s">
        <v>25</v>
      </c>
      <c r="O971">
        <v>2</v>
      </c>
      <c r="P971">
        <v>4</v>
      </c>
      <c r="Q971" s="1" t="s">
        <v>82</v>
      </c>
      <c r="R971">
        <v>3</v>
      </c>
      <c r="S971" s="1" t="s">
        <v>24</v>
      </c>
      <c r="T971">
        <v>23980000</v>
      </c>
      <c r="U971" t="s">
        <v>182</v>
      </c>
      <c r="V971" s="1" t="s">
        <v>171</v>
      </c>
      <c r="W971" s="1" t="s">
        <v>172</v>
      </c>
      <c r="X971" s="1" t="str">
        <f>VLOOKUP(V971,Broker_Directory!A:C,3,FALSE)</f>
        <v>Tier B</v>
      </c>
      <c r="Y971" s="1">
        <f>HLOOKUP(X971, Commission_Rates!A$1:C$2, 2, FALSE)</f>
        <v>1.4999999999999999E-2</v>
      </c>
      <c r="Z971" s="1">
        <f t="shared" si="45"/>
        <v>0</v>
      </c>
      <c r="AA971" s="1">
        <f t="shared" si="46"/>
        <v>0</v>
      </c>
      <c r="AB971" s="1">
        <f t="shared" si="47"/>
        <v>0</v>
      </c>
    </row>
    <row r="972" spans="1:28" x14ac:dyDescent="0.3">
      <c r="A972" s="1" t="s">
        <v>20</v>
      </c>
      <c r="B972" s="1" t="s">
        <v>133</v>
      </c>
      <c r="C972">
        <v>2</v>
      </c>
      <c r="D972">
        <v>3</v>
      </c>
      <c r="E972">
        <v>3166</v>
      </c>
      <c r="F972">
        <v>9127</v>
      </c>
      <c r="G972">
        <v>2</v>
      </c>
      <c r="H972">
        <v>1958</v>
      </c>
      <c r="I972">
        <v>0</v>
      </c>
      <c r="J972" s="1" t="s">
        <v>52</v>
      </c>
      <c r="K972">
        <v>2</v>
      </c>
      <c r="L972" s="1" t="s">
        <v>31</v>
      </c>
      <c r="M972" s="1" t="s">
        <v>27</v>
      </c>
      <c r="N972" s="1" t="s">
        <v>25</v>
      </c>
      <c r="O972">
        <v>1</v>
      </c>
      <c r="P972">
        <v>1</v>
      </c>
      <c r="Q972" s="1" t="s">
        <v>158</v>
      </c>
      <c r="R972">
        <v>0</v>
      </c>
      <c r="S972" s="1" t="s">
        <v>24</v>
      </c>
      <c r="T972">
        <v>38347000</v>
      </c>
      <c r="U972" t="s">
        <v>183</v>
      </c>
      <c r="V972" s="1" t="s">
        <v>176</v>
      </c>
      <c r="W972" s="1" t="s">
        <v>177</v>
      </c>
      <c r="X972" s="1" t="str">
        <f>VLOOKUP(V972,Broker_Directory!A:C,3,FALSE)</f>
        <v>Tier C</v>
      </c>
      <c r="Y972" s="1">
        <f>HLOOKUP(X972, Commission_Rates!A$1:C$2, 2, FALSE)</f>
        <v>0.01</v>
      </c>
      <c r="Z972" s="1">
        <f t="shared" si="45"/>
        <v>0</v>
      </c>
      <c r="AA972" s="1">
        <f t="shared" si="46"/>
        <v>0</v>
      </c>
      <c r="AB972" s="1">
        <f t="shared" si="47"/>
        <v>0</v>
      </c>
    </row>
    <row r="973" spans="1:28" x14ac:dyDescent="0.3">
      <c r="A973" s="1" t="s">
        <v>53</v>
      </c>
      <c r="B973" s="1" t="s">
        <v>66</v>
      </c>
      <c r="C973">
        <v>4</v>
      </c>
      <c r="D973">
        <v>3</v>
      </c>
      <c r="E973">
        <v>4803</v>
      </c>
      <c r="F973">
        <v>7528</v>
      </c>
      <c r="G973">
        <v>3</v>
      </c>
      <c r="H973">
        <v>1996</v>
      </c>
      <c r="I973">
        <v>2007</v>
      </c>
      <c r="J973" s="1" t="s">
        <v>30</v>
      </c>
      <c r="K973">
        <v>1</v>
      </c>
      <c r="L973" s="1" t="s">
        <v>31</v>
      </c>
      <c r="M973" s="1" t="s">
        <v>24</v>
      </c>
      <c r="N973" s="1" t="s">
        <v>46</v>
      </c>
      <c r="O973">
        <v>1</v>
      </c>
      <c r="P973">
        <v>5</v>
      </c>
      <c r="Q973" s="1" t="s">
        <v>67</v>
      </c>
      <c r="R973">
        <v>0</v>
      </c>
      <c r="S973" s="1" t="s">
        <v>24</v>
      </c>
      <c r="T973">
        <v>43652000</v>
      </c>
      <c r="U973" t="s">
        <v>184</v>
      </c>
      <c r="V973" s="1" t="s">
        <v>174</v>
      </c>
      <c r="W973" s="1" t="s">
        <v>175</v>
      </c>
      <c r="X973" s="1" t="str">
        <f>VLOOKUP(V973,Broker_Directory!A:C,3,FALSE)</f>
        <v>Tier A</v>
      </c>
      <c r="Y973" s="1">
        <f>HLOOKUP(X973, Commission_Rates!A$1:C$2, 2, FALSE)</f>
        <v>0.02</v>
      </c>
      <c r="Z973" s="1">
        <f t="shared" si="45"/>
        <v>873040</v>
      </c>
      <c r="AA973" s="1">
        <f t="shared" si="46"/>
        <v>1309560</v>
      </c>
      <c r="AB973" s="1">
        <f t="shared" si="47"/>
        <v>436520</v>
      </c>
    </row>
    <row r="974" spans="1:28" x14ac:dyDescent="0.3">
      <c r="A974" s="1" t="s">
        <v>37</v>
      </c>
      <c r="B974" s="1" t="s">
        <v>87</v>
      </c>
      <c r="C974">
        <v>4</v>
      </c>
      <c r="D974">
        <v>1</v>
      </c>
      <c r="E974">
        <v>3264</v>
      </c>
      <c r="F974">
        <v>8345</v>
      </c>
      <c r="G974">
        <v>1</v>
      </c>
      <c r="H974">
        <v>2011</v>
      </c>
      <c r="I974">
        <v>2017</v>
      </c>
      <c r="J974" s="1" t="s">
        <v>22</v>
      </c>
      <c r="K974">
        <v>2</v>
      </c>
      <c r="L974" s="1" t="s">
        <v>23</v>
      </c>
      <c r="M974" s="1" t="s">
        <v>24</v>
      </c>
      <c r="N974" s="1" t="s">
        <v>35</v>
      </c>
      <c r="O974">
        <v>9</v>
      </c>
      <c r="P974">
        <v>0</v>
      </c>
      <c r="Q974" s="1" t="s">
        <v>138</v>
      </c>
      <c r="R974">
        <v>0</v>
      </c>
      <c r="S974" s="1" t="s">
        <v>27</v>
      </c>
      <c r="T974">
        <v>26387000</v>
      </c>
      <c r="U974" t="s">
        <v>182</v>
      </c>
      <c r="V974" s="1" t="s">
        <v>174</v>
      </c>
      <c r="W974" s="1" t="s">
        <v>175</v>
      </c>
      <c r="X974" s="1" t="str">
        <f>VLOOKUP(V974,Broker_Directory!A:C,3,FALSE)</f>
        <v>Tier A</v>
      </c>
      <c r="Y974" s="1">
        <f>HLOOKUP(X974, Commission_Rates!A$1:C$2, 2, FALSE)</f>
        <v>0.02</v>
      </c>
      <c r="Z974" s="1">
        <f t="shared" si="45"/>
        <v>0</v>
      </c>
      <c r="AA974" s="1">
        <f t="shared" si="46"/>
        <v>0</v>
      </c>
      <c r="AB974" s="1">
        <f t="shared" si="47"/>
        <v>0</v>
      </c>
    </row>
    <row r="975" spans="1:28" x14ac:dyDescent="0.3">
      <c r="A975" s="1" t="s">
        <v>37</v>
      </c>
      <c r="B975" s="1" t="s">
        <v>45</v>
      </c>
      <c r="C975">
        <v>1</v>
      </c>
      <c r="D975">
        <v>4</v>
      </c>
      <c r="E975">
        <v>2169</v>
      </c>
      <c r="F975">
        <v>3283</v>
      </c>
      <c r="G975">
        <v>1</v>
      </c>
      <c r="H975">
        <v>1986</v>
      </c>
      <c r="I975">
        <v>2018</v>
      </c>
      <c r="J975" s="1" t="s">
        <v>58</v>
      </c>
      <c r="K975">
        <v>2</v>
      </c>
      <c r="L975" s="1" t="s">
        <v>64</v>
      </c>
      <c r="M975" s="1" t="s">
        <v>27</v>
      </c>
      <c r="N975" s="1" t="s">
        <v>25</v>
      </c>
      <c r="O975">
        <v>10</v>
      </c>
      <c r="P975">
        <v>5</v>
      </c>
      <c r="Q975" s="1" t="s">
        <v>47</v>
      </c>
      <c r="R975">
        <v>1</v>
      </c>
      <c r="S975" s="1" t="s">
        <v>27</v>
      </c>
      <c r="T975">
        <v>17632000</v>
      </c>
      <c r="U975" t="s">
        <v>182</v>
      </c>
      <c r="V975" s="1" t="s">
        <v>179</v>
      </c>
      <c r="W975" s="1" t="s">
        <v>180</v>
      </c>
      <c r="X975" s="1" t="str">
        <f>VLOOKUP(V975,Broker_Directory!A:C,3,FALSE)</f>
        <v>Tier B</v>
      </c>
      <c r="Y975" s="1">
        <f>HLOOKUP(X975, Commission_Rates!A$1:C$2, 2, FALSE)</f>
        <v>1.4999999999999999E-2</v>
      </c>
      <c r="Z975" s="1">
        <f t="shared" si="45"/>
        <v>0</v>
      </c>
      <c r="AA975" s="1">
        <f t="shared" si="46"/>
        <v>0</v>
      </c>
      <c r="AB975" s="1">
        <f t="shared" si="47"/>
        <v>0</v>
      </c>
    </row>
    <row r="976" spans="1:28" x14ac:dyDescent="0.3">
      <c r="A976" s="1" t="s">
        <v>20</v>
      </c>
      <c r="B976" s="1" t="s">
        <v>40</v>
      </c>
      <c r="C976">
        <v>1</v>
      </c>
      <c r="D976">
        <v>1</v>
      </c>
      <c r="E976">
        <v>438</v>
      </c>
      <c r="F976">
        <v>6438</v>
      </c>
      <c r="G976">
        <v>2</v>
      </c>
      <c r="H976">
        <v>2013</v>
      </c>
      <c r="I976">
        <v>2021</v>
      </c>
      <c r="J976" s="1" t="s">
        <v>22</v>
      </c>
      <c r="K976">
        <v>2</v>
      </c>
      <c r="L976" s="1" t="s">
        <v>41</v>
      </c>
      <c r="M976" s="1" t="s">
        <v>27</v>
      </c>
      <c r="N976" s="1" t="s">
        <v>35</v>
      </c>
      <c r="O976">
        <v>1</v>
      </c>
      <c r="P976">
        <v>2</v>
      </c>
      <c r="Q976" s="1" t="s">
        <v>153</v>
      </c>
      <c r="R976">
        <v>2</v>
      </c>
      <c r="S976" s="1" t="s">
        <v>27</v>
      </c>
      <c r="T976">
        <v>5406000</v>
      </c>
      <c r="U976" t="s">
        <v>183</v>
      </c>
      <c r="V976" s="1" t="s">
        <v>171</v>
      </c>
      <c r="W976" s="1" t="s">
        <v>172</v>
      </c>
      <c r="X976" s="1" t="str">
        <f>VLOOKUP(V976,Broker_Directory!A:C,3,FALSE)</f>
        <v>Tier B</v>
      </c>
      <c r="Y976" s="1">
        <f>HLOOKUP(X976, Commission_Rates!A$1:C$2, 2, FALSE)</f>
        <v>1.4999999999999999E-2</v>
      </c>
      <c r="Z976" s="1">
        <f t="shared" si="45"/>
        <v>0</v>
      </c>
      <c r="AA976" s="1">
        <f t="shared" si="46"/>
        <v>0</v>
      </c>
      <c r="AB976" s="1">
        <f t="shared" si="47"/>
        <v>0</v>
      </c>
    </row>
    <row r="977" spans="1:28" x14ac:dyDescent="0.3">
      <c r="A977" s="1" t="s">
        <v>53</v>
      </c>
      <c r="B977" s="1" t="s">
        <v>54</v>
      </c>
      <c r="C977">
        <v>2</v>
      </c>
      <c r="D977">
        <v>2</v>
      </c>
      <c r="E977">
        <v>2358</v>
      </c>
      <c r="F977">
        <v>6336</v>
      </c>
      <c r="G977">
        <v>1</v>
      </c>
      <c r="H977">
        <v>1967</v>
      </c>
      <c r="I977">
        <v>2019</v>
      </c>
      <c r="J977" s="1" t="s">
        <v>30</v>
      </c>
      <c r="K977">
        <v>3</v>
      </c>
      <c r="L977" s="1" t="s">
        <v>41</v>
      </c>
      <c r="M977" s="1" t="s">
        <v>24</v>
      </c>
      <c r="N977" s="1" t="s">
        <v>25</v>
      </c>
      <c r="O977">
        <v>0</v>
      </c>
      <c r="P977">
        <v>4</v>
      </c>
      <c r="Q977" s="1" t="s">
        <v>156</v>
      </c>
      <c r="R977">
        <v>0</v>
      </c>
      <c r="S977" s="1" t="s">
        <v>24</v>
      </c>
      <c r="T977">
        <v>21552000</v>
      </c>
      <c r="U977" t="s">
        <v>182</v>
      </c>
      <c r="V977" s="1" t="s">
        <v>179</v>
      </c>
      <c r="W977" s="1" t="s">
        <v>180</v>
      </c>
      <c r="X977" s="1" t="str">
        <f>VLOOKUP(V977,Broker_Directory!A:C,3,FALSE)</f>
        <v>Tier B</v>
      </c>
      <c r="Y977" s="1">
        <f>HLOOKUP(X977, Commission_Rates!A$1:C$2, 2, FALSE)</f>
        <v>1.4999999999999999E-2</v>
      </c>
      <c r="Z977" s="1">
        <f t="shared" si="45"/>
        <v>0</v>
      </c>
      <c r="AA977" s="1">
        <f t="shared" si="46"/>
        <v>0</v>
      </c>
      <c r="AB977" s="1">
        <f t="shared" si="47"/>
        <v>0</v>
      </c>
    </row>
    <row r="978" spans="1:28" x14ac:dyDescent="0.3">
      <c r="A978" s="1" t="s">
        <v>20</v>
      </c>
      <c r="B978" s="1" t="s">
        <v>40</v>
      </c>
      <c r="C978">
        <v>1</v>
      </c>
      <c r="D978">
        <v>4</v>
      </c>
      <c r="E978">
        <v>4837</v>
      </c>
      <c r="F978">
        <v>6769</v>
      </c>
      <c r="G978">
        <v>1</v>
      </c>
      <c r="H978">
        <v>2007</v>
      </c>
      <c r="I978">
        <v>2018</v>
      </c>
      <c r="J978" s="1" t="s">
        <v>30</v>
      </c>
      <c r="K978">
        <v>0</v>
      </c>
      <c r="L978" s="1" t="s">
        <v>41</v>
      </c>
      <c r="M978" s="1" t="s">
        <v>24</v>
      </c>
      <c r="N978" s="1" t="s">
        <v>46</v>
      </c>
      <c r="O978">
        <v>8</v>
      </c>
      <c r="P978">
        <v>0</v>
      </c>
      <c r="Q978" s="1" t="s">
        <v>115</v>
      </c>
      <c r="R978">
        <v>0</v>
      </c>
      <c r="S978" s="1" t="s">
        <v>27</v>
      </c>
      <c r="T978">
        <v>58259000</v>
      </c>
      <c r="U978" t="s">
        <v>182</v>
      </c>
      <c r="V978" s="1" t="s">
        <v>171</v>
      </c>
      <c r="W978" s="1" t="s">
        <v>172</v>
      </c>
      <c r="X978" s="1" t="str">
        <f>VLOOKUP(V978,Broker_Directory!A:C,3,FALSE)</f>
        <v>Tier B</v>
      </c>
      <c r="Y978" s="1">
        <f>HLOOKUP(X978, Commission_Rates!A$1:C$2, 2, FALSE)</f>
        <v>1.4999999999999999E-2</v>
      </c>
      <c r="Z978" s="1">
        <f t="shared" si="45"/>
        <v>0</v>
      </c>
      <c r="AA978" s="1">
        <f t="shared" si="46"/>
        <v>0</v>
      </c>
      <c r="AB978" s="1">
        <f t="shared" si="47"/>
        <v>0</v>
      </c>
    </row>
    <row r="979" spans="1:28" x14ac:dyDescent="0.3">
      <c r="A979" s="1" t="s">
        <v>37</v>
      </c>
      <c r="B979" s="1" t="s">
        <v>87</v>
      </c>
      <c r="C979">
        <v>2</v>
      </c>
      <c r="D979">
        <v>1</v>
      </c>
      <c r="E979">
        <v>1186</v>
      </c>
      <c r="F979">
        <v>6851</v>
      </c>
      <c r="G979">
        <v>3</v>
      </c>
      <c r="H979">
        <v>1957</v>
      </c>
      <c r="I979">
        <v>2015</v>
      </c>
      <c r="J979" s="1" t="s">
        <v>58</v>
      </c>
      <c r="K979">
        <v>1</v>
      </c>
      <c r="L979" s="1" t="s">
        <v>23</v>
      </c>
      <c r="M979" s="1" t="s">
        <v>27</v>
      </c>
      <c r="N979" s="1" t="s">
        <v>46</v>
      </c>
      <c r="O979">
        <v>1</v>
      </c>
      <c r="P979">
        <v>1</v>
      </c>
      <c r="Q979" s="1" t="s">
        <v>141</v>
      </c>
      <c r="R979">
        <v>3</v>
      </c>
      <c r="S979" s="1" t="s">
        <v>24</v>
      </c>
      <c r="T979">
        <v>9773000</v>
      </c>
      <c r="U979" t="s">
        <v>182</v>
      </c>
      <c r="V979" s="1" t="s">
        <v>174</v>
      </c>
      <c r="W979" s="1" t="s">
        <v>175</v>
      </c>
      <c r="X979" s="1" t="str">
        <f>VLOOKUP(V979,Broker_Directory!A:C,3,FALSE)</f>
        <v>Tier A</v>
      </c>
      <c r="Y979" s="1">
        <f>HLOOKUP(X979, Commission_Rates!A$1:C$2, 2, FALSE)</f>
        <v>0.02</v>
      </c>
      <c r="Z979" s="1">
        <f t="shared" si="45"/>
        <v>0</v>
      </c>
      <c r="AA979" s="1">
        <f t="shared" si="46"/>
        <v>0</v>
      </c>
      <c r="AB979" s="1">
        <f t="shared" si="47"/>
        <v>0</v>
      </c>
    </row>
    <row r="980" spans="1:28" x14ac:dyDescent="0.3">
      <c r="A980" s="1" t="s">
        <v>53</v>
      </c>
      <c r="B980" s="1" t="s">
        <v>105</v>
      </c>
      <c r="C980">
        <v>1</v>
      </c>
      <c r="D980">
        <v>3</v>
      </c>
      <c r="E980">
        <v>3258</v>
      </c>
      <c r="F980">
        <v>7655</v>
      </c>
      <c r="G980">
        <v>2</v>
      </c>
      <c r="H980">
        <v>2012</v>
      </c>
      <c r="I980">
        <v>2015</v>
      </c>
      <c r="J980" s="1" t="s">
        <v>52</v>
      </c>
      <c r="K980">
        <v>3</v>
      </c>
      <c r="L980" s="1" t="s">
        <v>31</v>
      </c>
      <c r="M980" s="1" t="s">
        <v>24</v>
      </c>
      <c r="N980" s="1" t="s">
        <v>35</v>
      </c>
      <c r="O980">
        <v>3</v>
      </c>
      <c r="P980">
        <v>0</v>
      </c>
      <c r="Q980" s="1" t="s">
        <v>108</v>
      </c>
      <c r="R980">
        <v>3</v>
      </c>
      <c r="S980" s="1" t="s">
        <v>24</v>
      </c>
      <c r="T980">
        <v>29622000</v>
      </c>
      <c r="U980" t="s">
        <v>184</v>
      </c>
      <c r="V980" s="1" t="s">
        <v>174</v>
      </c>
      <c r="W980" s="1" t="s">
        <v>175</v>
      </c>
      <c r="X980" s="1" t="str">
        <f>VLOOKUP(V980,Broker_Directory!A:C,3,FALSE)</f>
        <v>Tier A</v>
      </c>
      <c r="Y980" s="1">
        <f>HLOOKUP(X980, Commission_Rates!A$1:C$2, 2, FALSE)</f>
        <v>0.02</v>
      </c>
      <c r="Z980" s="1">
        <f t="shared" si="45"/>
        <v>592440</v>
      </c>
      <c r="AA980" s="1">
        <f t="shared" si="46"/>
        <v>888660</v>
      </c>
      <c r="AB980" s="1">
        <f t="shared" si="47"/>
        <v>296220</v>
      </c>
    </row>
    <row r="981" spans="1:28" x14ac:dyDescent="0.3">
      <c r="A981" s="1" t="s">
        <v>53</v>
      </c>
      <c r="B981" s="1" t="s">
        <v>100</v>
      </c>
      <c r="C981">
        <v>5</v>
      </c>
      <c r="D981">
        <v>3</v>
      </c>
      <c r="E981">
        <v>3960</v>
      </c>
      <c r="F981">
        <v>7499</v>
      </c>
      <c r="G981">
        <v>3</v>
      </c>
      <c r="H981">
        <v>2004</v>
      </c>
      <c r="I981">
        <v>2022</v>
      </c>
      <c r="J981" s="1" t="s">
        <v>30</v>
      </c>
      <c r="K981">
        <v>3</v>
      </c>
      <c r="L981" s="1" t="s">
        <v>23</v>
      </c>
      <c r="M981" s="1" t="s">
        <v>24</v>
      </c>
      <c r="N981" s="1" t="s">
        <v>25</v>
      </c>
      <c r="O981">
        <v>8</v>
      </c>
      <c r="P981">
        <v>0</v>
      </c>
      <c r="Q981" s="1" t="s">
        <v>151</v>
      </c>
      <c r="R981">
        <v>1</v>
      </c>
      <c r="S981" s="1" t="s">
        <v>24</v>
      </c>
      <c r="T981">
        <v>36205000</v>
      </c>
      <c r="U981" t="s">
        <v>184</v>
      </c>
      <c r="V981" s="1" t="s">
        <v>171</v>
      </c>
      <c r="W981" s="1" t="s">
        <v>172</v>
      </c>
      <c r="X981" s="1" t="str">
        <f>VLOOKUP(V981,Broker_Directory!A:C,3,FALSE)</f>
        <v>Tier B</v>
      </c>
      <c r="Y981" s="1">
        <f>HLOOKUP(X981, Commission_Rates!A$1:C$2, 2, FALSE)</f>
        <v>1.4999999999999999E-2</v>
      </c>
      <c r="Z981" s="1">
        <f t="shared" si="45"/>
        <v>543075</v>
      </c>
      <c r="AA981" s="1">
        <f t="shared" si="46"/>
        <v>1086150</v>
      </c>
      <c r="AB981" s="1">
        <f t="shared" si="47"/>
        <v>543075</v>
      </c>
    </row>
    <row r="982" spans="1:28" x14ac:dyDescent="0.3">
      <c r="A982" s="1" t="s">
        <v>33</v>
      </c>
      <c r="B982" s="1" t="s">
        <v>98</v>
      </c>
      <c r="C982">
        <v>2</v>
      </c>
      <c r="D982">
        <v>4</v>
      </c>
      <c r="E982">
        <v>2382</v>
      </c>
      <c r="F982">
        <v>9299</v>
      </c>
      <c r="G982">
        <v>2</v>
      </c>
      <c r="H982">
        <v>2000</v>
      </c>
      <c r="I982">
        <v>2012</v>
      </c>
      <c r="J982" s="1" t="s">
        <v>52</v>
      </c>
      <c r="K982">
        <v>0</v>
      </c>
      <c r="L982" s="1" t="s">
        <v>64</v>
      </c>
      <c r="M982" s="1" t="s">
        <v>24</v>
      </c>
      <c r="N982" s="1" t="s">
        <v>35</v>
      </c>
      <c r="O982">
        <v>3</v>
      </c>
      <c r="P982">
        <v>1</v>
      </c>
      <c r="Q982" s="1" t="s">
        <v>99</v>
      </c>
      <c r="R982">
        <v>0</v>
      </c>
      <c r="S982" s="1" t="s">
        <v>24</v>
      </c>
      <c r="T982">
        <v>20582000</v>
      </c>
      <c r="U982" t="s">
        <v>182</v>
      </c>
      <c r="V982" s="1" t="s">
        <v>171</v>
      </c>
      <c r="W982" s="1" t="s">
        <v>172</v>
      </c>
      <c r="X982" s="1" t="str">
        <f>VLOOKUP(V982,Broker_Directory!A:C,3,FALSE)</f>
        <v>Tier B</v>
      </c>
      <c r="Y982" s="1">
        <f>HLOOKUP(X982, Commission_Rates!A$1:C$2, 2, FALSE)</f>
        <v>1.4999999999999999E-2</v>
      </c>
      <c r="Z982" s="1">
        <f t="shared" si="45"/>
        <v>0</v>
      </c>
      <c r="AA982" s="1">
        <f t="shared" si="46"/>
        <v>0</v>
      </c>
      <c r="AB982" s="1">
        <f t="shared" si="47"/>
        <v>0</v>
      </c>
    </row>
    <row r="983" spans="1:28" x14ac:dyDescent="0.3">
      <c r="A983" s="1" t="s">
        <v>20</v>
      </c>
      <c r="B983" s="1" t="s">
        <v>69</v>
      </c>
      <c r="C983">
        <v>4</v>
      </c>
      <c r="D983">
        <v>4</v>
      </c>
      <c r="E983">
        <v>3786</v>
      </c>
      <c r="F983">
        <v>4656</v>
      </c>
      <c r="G983">
        <v>2</v>
      </c>
      <c r="H983">
        <v>1992</v>
      </c>
      <c r="I983">
        <v>1992</v>
      </c>
      <c r="J983" s="1" t="s">
        <v>58</v>
      </c>
      <c r="K983">
        <v>0</v>
      </c>
      <c r="L983" s="1" t="s">
        <v>23</v>
      </c>
      <c r="M983" s="1" t="s">
        <v>27</v>
      </c>
      <c r="N983" s="1" t="s">
        <v>35</v>
      </c>
      <c r="O983">
        <v>7</v>
      </c>
      <c r="P983">
        <v>5</v>
      </c>
      <c r="Q983" s="1" t="s">
        <v>120</v>
      </c>
      <c r="R983">
        <v>0</v>
      </c>
      <c r="S983" s="1" t="s">
        <v>27</v>
      </c>
      <c r="T983">
        <v>45792000</v>
      </c>
      <c r="U983" t="s">
        <v>182</v>
      </c>
      <c r="V983" s="1" t="s">
        <v>171</v>
      </c>
      <c r="W983" s="1" t="s">
        <v>172</v>
      </c>
      <c r="X983" s="1" t="str">
        <f>VLOOKUP(V983,Broker_Directory!A:C,3,FALSE)</f>
        <v>Tier B</v>
      </c>
      <c r="Y983" s="1">
        <f>HLOOKUP(X983, Commission_Rates!A$1:C$2, 2, FALSE)</f>
        <v>1.4999999999999999E-2</v>
      </c>
      <c r="Z983" s="1">
        <f t="shared" si="45"/>
        <v>0</v>
      </c>
      <c r="AA983" s="1">
        <f t="shared" si="46"/>
        <v>0</v>
      </c>
      <c r="AB983" s="1">
        <f t="shared" si="47"/>
        <v>0</v>
      </c>
    </row>
    <row r="984" spans="1:28" x14ac:dyDescent="0.3">
      <c r="A984" s="1" t="s">
        <v>20</v>
      </c>
      <c r="B984" s="1" t="s">
        <v>21</v>
      </c>
      <c r="C984">
        <v>3</v>
      </c>
      <c r="D984">
        <v>2</v>
      </c>
      <c r="E984">
        <v>4755</v>
      </c>
      <c r="F984">
        <v>9327</v>
      </c>
      <c r="G984">
        <v>1</v>
      </c>
      <c r="H984">
        <v>2022</v>
      </c>
      <c r="I984">
        <v>2023</v>
      </c>
      <c r="J984" s="1" t="s">
        <v>58</v>
      </c>
      <c r="K984">
        <v>2</v>
      </c>
      <c r="L984" s="1" t="s">
        <v>31</v>
      </c>
      <c r="M984" s="1" t="s">
        <v>24</v>
      </c>
      <c r="N984" s="1" t="s">
        <v>46</v>
      </c>
      <c r="O984">
        <v>2</v>
      </c>
      <c r="P984">
        <v>0</v>
      </c>
      <c r="Q984" s="1" t="s">
        <v>114</v>
      </c>
      <c r="R984">
        <v>0</v>
      </c>
      <c r="S984" s="1" t="s">
        <v>27</v>
      </c>
      <c r="T984">
        <v>57315000</v>
      </c>
      <c r="U984" t="s">
        <v>184</v>
      </c>
      <c r="V984" s="1" t="s">
        <v>176</v>
      </c>
      <c r="W984" s="1" t="s">
        <v>177</v>
      </c>
      <c r="X984" s="1" t="str">
        <f>VLOOKUP(V984,Broker_Directory!A:C,3,FALSE)</f>
        <v>Tier C</v>
      </c>
      <c r="Y984" s="1">
        <f>HLOOKUP(X984, Commission_Rates!A$1:C$2, 2, FALSE)</f>
        <v>0.01</v>
      </c>
      <c r="Z984" s="1">
        <f t="shared" si="45"/>
        <v>573150</v>
      </c>
      <c r="AA984" s="1">
        <f t="shared" si="46"/>
        <v>1719450</v>
      </c>
      <c r="AB984" s="1">
        <f t="shared" si="47"/>
        <v>1146300</v>
      </c>
    </row>
    <row r="985" spans="1:28" x14ac:dyDescent="0.3">
      <c r="A985" s="1" t="s">
        <v>33</v>
      </c>
      <c r="B985" s="1" t="s">
        <v>98</v>
      </c>
      <c r="C985">
        <v>4</v>
      </c>
      <c r="D985">
        <v>4</v>
      </c>
      <c r="E985">
        <v>2132</v>
      </c>
      <c r="F985">
        <v>7490</v>
      </c>
      <c r="G985">
        <v>1</v>
      </c>
      <c r="H985">
        <v>1975</v>
      </c>
      <c r="I985">
        <v>2003</v>
      </c>
      <c r="J985" s="1" t="s">
        <v>22</v>
      </c>
      <c r="K985">
        <v>0</v>
      </c>
      <c r="L985" s="1" t="s">
        <v>41</v>
      </c>
      <c r="M985" s="1" t="s">
        <v>27</v>
      </c>
      <c r="N985" s="1" t="s">
        <v>35</v>
      </c>
      <c r="O985">
        <v>8</v>
      </c>
      <c r="P985">
        <v>5</v>
      </c>
      <c r="Q985" s="1" t="s">
        <v>150</v>
      </c>
      <c r="R985">
        <v>0</v>
      </c>
      <c r="S985" s="1" t="s">
        <v>27</v>
      </c>
      <c r="T985">
        <v>18462000</v>
      </c>
      <c r="U985" t="s">
        <v>183</v>
      </c>
      <c r="V985" s="1" t="s">
        <v>176</v>
      </c>
      <c r="W985" s="1" t="s">
        <v>177</v>
      </c>
      <c r="X985" s="1" t="str">
        <f>VLOOKUP(V985,Broker_Directory!A:C,3,FALSE)</f>
        <v>Tier C</v>
      </c>
      <c r="Y985" s="1">
        <f>HLOOKUP(X985, Commission_Rates!A$1:C$2, 2, FALSE)</f>
        <v>0.01</v>
      </c>
      <c r="Z985" s="1">
        <f t="shared" si="45"/>
        <v>0</v>
      </c>
      <c r="AA985" s="1">
        <f t="shared" si="46"/>
        <v>0</v>
      </c>
      <c r="AB985" s="1">
        <f t="shared" si="47"/>
        <v>0</v>
      </c>
    </row>
    <row r="986" spans="1:28" x14ac:dyDescent="0.3">
      <c r="A986" s="1" t="s">
        <v>37</v>
      </c>
      <c r="B986" s="1" t="s">
        <v>87</v>
      </c>
      <c r="C986">
        <v>2</v>
      </c>
      <c r="D986">
        <v>2</v>
      </c>
      <c r="E986">
        <v>4272</v>
      </c>
      <c r="F986">
        <v>6670</v>
      </c>
      <c r="G986">
        <v>1</v>
      </c>
      <c r="H986">
        <v>2012</v>
      </c>
      <c r="I986">
        <v>2018</v>
      </c>
      <c r="J986" s="1" t="s">
        <v>30</v>
      </c>
      <c r="K986">
        <v>1</v>
      </c>
      <c r="L986" s="1" t="s">
        <v>31</v>
      </c>
      <c r="M986" s="1" t="s">
        <v>24</v>
      </c>
      <c r="N986" s="1" t="s">
        <v>46</v>
      </c>
      <c r="O986">
        <v>6</v>
      </c>
      <c r="P986">
        <v>1</v>
      </c>
      <c r="Q986" s="1" t="s">
        <v>152</v>
      </c>
      <c r="R986">
        <v>2</v>
      </c>
      <c r="S986" s="1" t="s">
        <v>24</v>
      </c>
      <c r="T986">
        <v>34461000</v>
      </c>
      <c r="U986" t="s">
        <v>183</v>
      </c>
      <c r="V986" s="1" t="s">
        <v>176</v>
      </c>
      <c r="W986" s="1" t="s">
        <v>177</v>
      </c>
      <c r="X986" s="1" t="str">
        <f>VLOOKUP(V986,Broker_Directory!A:C,3,FALSE)</f>
        <v>Tier C</v>
      </c>
      <c r="Y986" s="1">
        <f>HLOOKUP(X986, Commission_Rates!A$1:C$2, 2, FALSE)</f>
        <v>0.01</v>
      </c>
      <c r="Z986" s="1">
        <f t="shared" si="45"/>
        <v>0</v>
      </c>
      <c r="AA986" s="1">
        <f t="shared" si="46"/>
        <v>0</v>
      </c>
      <c r="AB986" s="1">
        <f t="shared" si="47"/>
        <v>0</v>
      </c>
    </row>
    <row r="987" spans="1:28" x14ac:dyDescent="0.3">
      <c r="A987" s="1" t="s">
        <v>33</v>
      </c>
      <c r="B987" s="1" t="s">
        <v>98</v>
      </c>
      <c r="C987">
        <v>1</v>
      </c>
      <c r="D987">
        <v>1</v>
      </c>
      <c r="E987">
        <v>2463</v>
      </c>
      <c r="F987">
        <v>3865</v>
      </c>
      <c r="G987">
        <v>2</v>
      </c>
      <c r="H987">
        <v>1967</v>
      </c>
      <c r="I987">
        <v>1967</v>
      </c>
      <c r="J987" s="1" t="s">
        <v>52</v>
      </c>
      <c r="K987">
        <v>3</v>
      </c>
      <c r="L987" s="1" t="s">
        <v>23</v>
      </c>
      <c r="M987" s="1" t="s">
        <v>27</v>
      </c>
      <c r="N987" s="1" t="s">
        <v>35</v>
      </c>
      <c r="O987">
        <v>2</v>
      </c>
      <c r="P987">
        <v>0</v>
      </c>
      <c r="Q987" s="1" t="s">
        <v>145</v>
      </c>
      <c r="R987">
        <v>3</v>
      </c>
      <c r="S987" s="1" t="s">
        <v>24</v>
      </c>
      <c r="T987">
        <v>21150500</v>
      </c>
      <c r="U987" t="s">
        <v>182</v>
      </c>
      <c r="V987" s="1" t="s">
        <v>168</v>
      </c>
      <c r="W987" s="1" t="s">
        <v>169</v>
      </c>
      <c r="X987" s="1" t="str">
        <f>VLOOKUP(V987,Broker_Directory!A:C,3,FALSE)</f>
        <v>Tier A</v>
      </c>
      <c r="Y987" s="1">
        <f>HLOOKUP(X987, Commission_Rates!A$1:C$2, 2, FALSE)</f>
        <v>0.02</v>
      </c>
      <c r="Z987" s="1">
        <f t="shared" si="45"/>
        <v>0</v>
      </c>
      <c r="AA987" s="1">
        <f t="shared" si="46"/>
        <v>0</v>
      </c>
      <c r="AB987" s="1">
        <f t="shared" si="47"/>
        <v>0</v>
      </c>
    </row>
    <row r="988" spans="1:28" x14ac:dyDescent="0.3">
      <c r="A988" s="1" t="s">
        <v>28</v>
      </c>
      <c r="B988" s="1" t="s">
        <v>60</v>
      </c>
      <c r="C988">
        <v>3</v>
      </c>
      <c r="D988">
        <v>1</v>
      </c>
      <c r="E988">
        <v>4770</v>
      </c>
      <c r="F988">
        <v>5505</v>
      </c>
      <c r="G988">
        <v>1</v>
      </c>
      <c r="H988">
        <v>1997</v>
      </c>
      <c r="I988">
        <v>2017</v>
      </c>
      <c r="J988" s="1" t="s">
        <v>22</v>
      </c>
      <c r="K988">
        <v>1</v>
      </c>
      <c r="L988" s="1" t="s">
        <v>23</v>
      </c>
      <c r="M988" s="1" t="s">
        <v>24</v>
      </c>
      <c r="N988" s="1" t="s">
        <v>46</v>
      </c>
      <c r="O988">
        <v>0</v>
      </c>
      <c r="P988">
        <v>5</v>
      </c>
      <c r="Q988" s="1" t="s">
        <v>61</v>
      </c>
      <c r="R988">
        <v>0</v>
      </c>
      <c r="S988" s="1" t="s">
        <v>24</v>
      </c>
      <c r="T988">
        <v>47975000</v>
      </c>
      <c r="U988" t="s">
        <v>183</v>
      </c>
      <c r="V988" s="1" t="s">
        <v>168</v>
      </c>
      <c r="W988" s="1" t="s">
        <v>169</v>
      </c>
      <c r="X988" s="1" t="str">
        <f>VLOOKUP(V988,Broker_Directory!A:C,3,FALSE)</f>
        <v>Tier A</v>
      </c>
      <c r="Y988" s="1">
        <f>HLOOKUP(X988, Commission_Rates!A$1:C$2, 2, FALSE)</f>
        <v>0.02</v>
      </c>
      <c r="Z988" s="1">
        <f t="shared" si="45"/>
        <v>0</v>
      </c>
      <c r="AA988" s="1">
        <f t="shared" si="46"/>
        <v>0</v>
      </c>
      <c r="AB988" s="1">
        <f t="shared" si="47"/>
        <v>0</v>
      </c>
    </row>
    <row r="989" spans="1:28" x14ac:dyDescent="0.3">
      <c r="A989" s="1" t="s">
        <v>33</v>
      </c>
      <c r="B989" s="1" t="s">
        <v>98</v>
      </c>
      <c r="C989">
        <v>3</v>
      </c>
      <c r="D989">
        <v>3</v>
      </c>
      <c r="E989">
        <v>4683</v>
      </c>
      <c r="F989">
        <v>5865</v>
      </c>
      <c r="G989">
        <v>1</v>
      </c>
      <c r="H989">
        <v>1965</v>
      </c>
      <c r="I989">
        <v>1992</v>
      </c>
      <c r="J989" s="1" t="s">
        <v>30</v>
      </c>
      <c r="K989">
        <v>1</v>
      </c>
      <c r="L989" s="1" t="s">
        <v>41</v>
      </c>
      <c r="M989" s="1" t="s">
        <v>27</v>
      </c>
      <c r="N989" s="1" t="s">
        <v>46</v>
      </c>
      <c r="O989">
        <v>0</v>
      </c>
      <c r="P989">
        <v>4</v>
      </c>
      <c r="Q989" s="1" t="s">
        <v>123</v>
      </c>
      <c r="R989">
        <v>0</v>
      </c>
      <c r="S989" s="1" t="s">
        <v>24</v>
      </c>
      <c r="T989">
        <v>40115500</v>
      </c>
      <c r="U989" t="s">
        <v>182</v>
      </c>
      <c r="V989" s="1" t="s">
        <v>179</v>
      </c>
      <c r="W989" s="1" t="s">
        <v>180</v>
      </c>
      <c r="X989" s="1" t="str">
        <f>VLOOKUP(V989,Broker_Directory!A:C,3,FALSE)</f>
        <v>Tier B</v>
      </c>
      <c r="Y989" s="1">
        <f>HLOOKUP(X989, Commission_Rates!A$1:C$2, 2, FALSE)</f>
        <v>1.4999999999999999E-2</v>
      </c>
      <c r="Z989" s="1">
        <f t="shared" si="45"/>
        <v>0</v>
      </c>
      <c r="AA989" s="1">
        <f t="shared" si="46"/>
        <v>0</v>
      </c>
      <c r="AB989" s="1">
        <f t="shared" si="47"/>
        <v>0</v>
      </c>
    </row>
    <row r="990" spans="1:28" x14ac:dyDescent="0.3">
      <c r="A990" s="1" t="s">
        <v>53</v>
      </c>
      <c r="B990" s="1" t="s">
        <v>100</v>
      </c>
      <c r="C990">
        <v>1</v>
      </c>
      <c r="D990">
        <v>4</v>
      </c>
      <c r="E990">
        <v>4185</v>
      </c>
      <c r="F990">
        <v>6858</v>
      </c>
      <c r="G990">
        <v>2</v>
      </c>
      <c r="H990">
        <v>1961</v>
      </c>
      <c r="I990">
        <v>1983</v>
      </c>
      <c r="J990" s="1" t="s">
        <v>52</v>
      </c>
      <c r="K990">
        <v>3</v>
      </c>
      <c r="L990" s="1" t="s">
        <v>23</v>
      </c>
      <c r="M990" s="1" t="s">
        <v>27</v>
      </c>
      <c r="N990" s="1" t="s">
        <v>35</v>
      </c>
      <c r="O990">
        <v>6</v>
      </c>
      <c r="P990">
        <v>0</v>
      </c>
      <c r="Q990" s="1" t="s">
        <v>131</v>
      </c>
      <c r="R990">
        <v>1</v>
      </c>
      <c r="S990" s="1" t="s">
        <v>27</v>
      </c>
      <c r="T990">
        <v>37890000</v>
      </c>
      <c r="U990" t="s">
        <v>182</v>
      </c>
      <c r="V990" s="1" t="s">
        <v>176</v>
      </c>
      <c r="W990" s="1" t="s">
        <v>177</v>
      </c>
      <c r="X990" s="1" t="str">
        <f>VLOOKUP(V990,Broker_Directory!A:C,3,FALSE)</f>
        <v>Tier C</v>
      </c>
      <c r="Y990" s="1">
        <f>HLOOKUP(X990, Commission_Rates!A$1:C$2, 2, FALSE)</f>
        <v>0.01</v>
      </c>
      <c r="Z990" s="1">
        <f t="shared" si="45"/>
        <v>0</v>
      </c>
      <c r="AA990" s="1">
        <f t="shared" si="46"/>
        <v>0</v>
      </c>
      <c r="AB990" s="1">
        <f t="shared" si="47"/>
        <v>0</v>
      </c>
    </row>
    <row r="991" spans="1:28" x14ac:dyDescent="0.3">
      <c r="A991" s="1" t="s">
        <v>33</v>
      </c>
      <c r="B991" s="1" t="s">
        <v>34</v>
      </c>
      <c r="C991">
        <v>2</v>
      </c>
      <c r="D991">
        <v>4</v>
      </c>
      <c r="E991">
        <v>4884</v>
      </c>
      <c r="F991">
        <v>9068</v>
      </c>
      <c r="G991">
        <v>1</v>
      </c>
      <c r="H991">
        <v>2009</v>
      </c>
      <c r="I991">
        <v>2020</v>
      </c>
      <c r="J991" s="1" t="s">
        <v>22</v>
      </c>
      <c r="K991">
        <v>0</v>
      </c>
      <c r="L991" s="1" t="s">
        <v>64</v>
      </c>
      <c r="M991" s="1" t="s">
        <v>24</v>
      </c>
      <c r="N991" s="1" t="s">
        <v>35</v>
      </c>
      <c r="O991">
        <v>5</v>
      </c>
      <c r="P991">
        <v>1</v>
      </c>
      <c r="Q991" s="1" t="s">
        <v>36</v>
      </c>
      <c r="R991">
        <v>2</v>
      </c>
      <c r="S991" s="1" t="s">
        <v>24</v>
      </c>
      <c r="T991">
        <v>41859000</v>
      </c>
      <c r="U991" t="s">
        <v>183</v>
      </c>
      <c r="V991" s="1" t="s">
        <v>171</v>
      </c>
      <c r="W991" s="1" t="s">
        <v>172</v>
      </c>
      <c r="X991" s="1" t="str">
        <f>VLOOKUP(V991,Broker_Directory!A:C,3,FALSE)</f>
        <v>Tier B</v>
      </c>
      <c r="Y991" s="1">
        <f>HLOOKUP(X991, Commission_Rates!A$1:C$2, 2, FALSE)</f>
        <v>1.4999999999999999E-2</v>
      </c>
      <c r="Z991" s="1">
        <f t="shared" si="45"/>
        <v>0</v>
      </c>
      <c r="AA991" s="1">
        <f t="shared" si="46"/>
        <v>0</v>
      </c>
      <c r="AB991" s="1">
        <f t="shared" si="47"/>
        <v>0</v>
      </c>
    </row>
    <row r="992" spans="1:28" x14ac:dyDescent="0.3">
      <c r="A992" s="1" t="s">
        <v>33</v>
      </c>
      <c r="B992" s="1" t="s">
        <v>98</v>
      </c>
      <c r="C992">
        <v>1</v>
      </c>
      <c r="D992">
        <v>3</v>
      </c>
      <c r="E992">
        <v>3799</v>
      </c>
      <c r="F992">
        <v>4209</v>
      </c>
      <c r="G992">
        <v>2</v>
      </c>
      <c r="H992">
        <v>2020</v>
      </c>
      <c r="I992">
        <v>2024</v>
      </c>
      <c r="J992" s="1" t="s">
        <v>52</v>
      </c>
      <c r="K992">
        <v>1</v>
      </c>
      <c r="L992" s="1" t="s">
        <v>41</v>
      </c>
      <c r="M992" s="1" t="s">
        <v>27</v>
      </c>
      <c r="N992" s="1" t="s">
        <v>35</v>
      </c>
      <c r="O992">
        <v>8</v>
      </c>
      <c r="P992">
        <v>4</v>
      </c>
      <c r="Q992" s="1" t="s">
        <v>123</v>
      </c>
      <c r="R992">
        <v>2</v>
      </c>
      <c r="S992" s="1" t="s">
        <v>27</v>
      </c>
      <c r="T992">
        <v>32501500</v>
      </c>
      <c r="U992" t="s">
        <v>184</v>
      </c>
      <c r="V992" s="1" t="s">
        <v>168</v>
      </c>
      <c r="W992" s="1" t="s">
        <v>169</v>
      </c>
      <c r="X992" s="1" t="str">
        <f>VLOOKUP(V992,Broker_Directory!A:C,3,FALSE)</f>
        <v>Tier A</v>
      </c>
      <c r="Y992" s="1">
        <f>HLOOKUP(X992, Commission_Rates!A$1:C$2, 2, FALSE)</f>
        <v>0.02</v>
      </c>
      <c r="Z992" s="1">
        <f t="shared" si="45"/>
        <v>650030</v>
      </c>
      <c r="AA992" s="1">
        <f t="shared" si="46"/>
        <v>975045</v>
      </c>
      <c r="AB992" s="1">
        <f t="shared" si="47"/>
        <v>325015</v>
      </c>
    </row>
    <row r="993" spans="1:28" x14ac:dyDescent="0.3">
      <c r="A993" s="1" t="s">
        <v>53</v>
      </c>
      <c r="B993" s="1" t="s">
        <v>105</v>
      </c>
      <c r="C993">
        <v>4</v>
      </c>
      <c r="D993">
        <v>4</v>
      </c>
      <c r="E993">
        <v>1788</v>
      </c>
      <c r="F993">
        <v>4237</v>
      </c>
      <c r="G993">
        <v>3</v>
      </c>
      <c r="H993">
        <v>1955</v>
      </c>
      <c r="I993">
        <v>2007</v>
      </c>
      <c r="J993" s="1" t="s">
        <v>30</v>
      </c>
      <c r="K993">
        <v>3</v>
      </c>
      <c r="L993" s="1" t="s">
        <v>41</v>
      </c>
      <c r="M993" s="1" t="s">
        <v>24</v>
      </c>
      <c r="N993" s="1" t="s">
        <v>35</v>
      </c>
      <c r="O993">
        <v>4</v>
      </c>
      <c r="P993">
        <v>4</v>
      </c>
      <c r="Q993" s="1" t="s">
        <v>106</v>
      </c>
      <c r="R993">
        <v>0</v>
      </c>
      <c r="S993" s="1" t="s">
        <v>27</v>
      </c>
      <c r="T993">
        <v>16497000</v>
      </c>
      <c r="U993" t="s">
        <v>183</v>
      </c>
      <c r="V993" s="1" t="s">
        <v>171</v>
      </c>
      <c r="W993" s="1" t="s">
        <v>172</v>
      </c>
      <c r="X993" s="1" t="str">
        <f>VLOOKUP(V993,Broker_Directory!A:C,3,FALSE)</f>
        <v>Tier B</v>
      </c>
      <c r="Y993" s="1">
        <f>HLOOKUP(X993, Commission_Rates!A$1:C$2, 2, FALSE)</f>
        <v>1.4999999999999999E-2</v>
      </c>
      <c r="Z993" s="1">
        <f t="shared" si="45"/>
        <v>0</v>
      </c>
      <c r="AA993" s="1">
        <f t="shared" si="46"/>
        <v>0</v>
      </c>
      <c r="AB993" s="1">
        <f t="shared" si="47"/>
        <v>0</v>
      </c>
    </row>
    <row r="994" spans="1:28" x14ac:dyDescent="0.3">
      <c r="A994" s="1" t="s">
        <v>37</v>
      </c>
      <c r="B994" s="1" t="s">
        <v>45</v>
      </c>
      <c r="C994">
        <v>3</v>
      </c>
      <c r="D994">
        <v>2</v>
      </c>
      <c r="E994">
        <v>830</v>
      </c>
      <c r="F994">
        <v>8153</v>
      </c>
      <c r="G994">
        <v>1</v>
      </c>
      <c r="H994">
        <v>1969</v>
      </c>
      <c r="I994">
        <v>2003</v>
      </c>
      <c r="J994" s="1" t="s">
        <v>30</v>
      </c>
      <c r="K994">
        <v>0</v>
      </c>
      <c r="L994" s="1" t="s">
        <v>41</v>
      </c>
      <c r="M994" s="1" t="s">
        <v>24</v>
      </c>
      <c r="N994" s="1" t="s">
        <v>25</v>
      </c>
      <c r="O994">
        <v>5</v>
      </c>
      <c r="P994">
        <v>4</v>
      </c>
      <c r="Q994" s="1" t="s">
        <v>124</v>
      </c>
      <c r="R994">
        <v>3</v>
      </c>
      <c r="S994" s="1" t="s">
        <v>27</v>
      </c>
      <c r="T994">
        <v>7015000</v>
      </c>
      <c r="U994" t="s">
        <v>182</v>
      </c>
      <c r="V994" s="1" t="s">
        <v>171</v>
      </c>
      <c r="W994" s="1" t="s">
        <v>172</v>
      </c>
      <c r="X994" s="1" t="str">
        <f>VLOOKUP(V994,Broker_Directory!A:C,3,FALSE)</f>
        <v>Tier B</v>
      </c>
      <c r="Y994" s="1">
        <f>HLOOKUP(X994, Commission_Rates!A$1:C$2, 2, FALSE)</f>
        <v>1.4999999999999999E-2</v>
      </c>
      <c r="Z994" s="1">
        <f t="shared" si="45"/>
        <v>0</v>
      </c>
      <c r="AA994" s="1">
        <f t="shared" si="46"/>
        <v>0</v>
      </c>
      <c r="AB994" s="1">
        <f t="shared" si="47"/>
        <v>0</v>
      </c>
    </row>
    <row r="995" spans="1:28" x14ac:dyDescent="0.3">
      <c r="A995" s="1" t="s">
        <v>33</v>
      </c>
      <c r="B995" s="1" t="s">
        <v>43</v>
      </c>
      <c r="C995">
        <v>2</v>
      </c>
      <c r="D995">
        <v>1</v>
      </c>
      <c r="E995">
        <v>4416</v>
      </c>
      <c r="F995">
        <v>9167</v>
      </c>
      <c r="G995">
        <v>1</v>
      </c>
      <c r="H995">
        <v>1984</v>
      </c>
      <c r="I995">
        <v>2017</v>
      </c>
      <c r="J995" s="1" t="s">
        <v>22</v>
      </c>
      <c r="K995">
        <v>1</v>
      </c>
      <c r="L995" s="1" t="s">
        <v>23</v>
      </c>
      <c r="M995" s="1" t="s">
        <v>27</v>
      </c>
      <c r="N995" s="1" t="s">
        <v>25</v>
      </c>
      <c r="O995">
        <v>4</v>
      </c>
      <c r="P995">
        <v>3</v>
      </c>
      <c r="Q995" s="1" t="s">
        <v>44</v>
      </c>
      <c r="R995">
        <v>1</v>
      </c>
      <c r="S995" s="1" t="s">
        <v>27</v>
      </c>
      <c r="T995">
        <v>37776000</v>
      </c>
      <c r="U995" t="s">
        <v>182</v>
      </c>
      <c r="V995" s="1" t="s">
        <v>168</v>
      </c>
      <c r="W995" s="1" t="s">
        <v>169</v>
      </c>
      <c r="X995" s="1" t="str">
        <f>VLOOKUP(V995,Broker_Directory!A:C,3,FALSE)</f>
        <v>Tier A</v>
      </c>
      <c r="Y995" s="1">
        <f>HLOOKUP(X995, Commission_Rates!A$1:C$2, 2, FALSE)</f>
        <v>0.02</v>
      </c>
      <c r="Z995" s="1">
        <f t="shared" si="45"/>
        <v>0</v>
      </c>
      <c r="AA995" s="1">
        <f t="shared" si="46"/>
        <v>0</v>
      </c>
      <c r="AB995" s="1">
        <f t="shared" si="47"/>
        <v>0</v>
      </c>
    </row>
    <row r="996" spans="1:28" x14ac:dyDescent="0.3">
      <c r="A996" s="1" t="s">
        <v>33</v>
      </c>
      <c r="B996" s="1" t="s">
        <v>43</v>
      </c>
      <c r="C996">
        <v>1</v>
      </c>
      <c r="D996">
        <v>4</v>
      </c>
      <c r="E996">
        <v>480</v>
      </c>
      <c r="F996">
        <v>1568</v>
      </c>
      <c r="G996">
        <v>1</v>
      </c>
      <c r="H996">
        <v>1988</v>
      </c>
      <c r="I996">
        <v>1991</v>
      </c>
      <c r="J996" s="1" t="s">
        <v>52</v>
      </c>
      <c r="K996">
        <v>0</v>
      </c>
      <c r="L996" s="1" t="s">
        <v>31</v>
      </c>
      <c r="M996" s="1" t="s">
        <v>27</v>
      </c>
      <c r="N996" s="1" t="s">
        <v>35</v>
      </c>
      <c r="O996">
        <v>9</v>
      </c>
      <c r="P996">
        <v>5</v>
      </c>
      <c r="Q996" s="1" t="s">
        <v>130</v>
      </c>
      <c r="R996">
        <v>1</v>
      </c>
      <c r="S996" s="1" t="s">
        <v>27</v>
      </c>
      <c r="T996">
        <v>4285000</v>
      </c>
      <c r="U996" t="s">
        <v>184</v>
      </c>
      <c r="V996" s="1" t="s">
        <v>174</v>
      </c>
      <c r="W996" s="1" t="s">
        <v>175</v>
      </c>
      <c r="X996" s="1" t="str">
        <f>VLOOKUP(V996,Broker_Directory!A:C,3,FALSE)</f>
        <v>Tier A</v>
      </c>
      <c r="Y996" s="1">
        <f>HLOOKUP(X996, Commission_Rates!A$1:C$2, 2, FALSE)</f>
        <v>0.02</v>
      </c>
      <c r="Z996" s="1">
        <f t="shared" si="45"/>
        <v>85700</v>
      </c>
      <c r="AA996" s="1">
        <f t="shared" si="46"/>
        <v>128550</v>
      </c>
      <c r="AB996" s="1">
        <f t="shared" si="47"/>
        <v>42850</v>
      </c>
    </row>
    <row r="997" spans="1:28" x14ac:dyDescent="0.3">
      <c r="A997" s="1" t="s">
        <v>20</v>
      </c>
      <c r="B997" s="1" t="s">
        <v>40</v>
      </c>
      <c r="C997">
        <v>2</v>
      </c>
      <c r="D997">
        <v>4</v>
      </c>
      <c r="E997">
        <v>3639</v>
      </c>
      <c r="F997">
        <v>3692</v>
      </c>
      <c r="G997">
        <v>2</v>
      </c>
      <c r="H997">
        <v>1973</v>
      </c>
      <c r="I997">
        <v>1987</v>
      </c>
      <c r="J997" s="1" t="s">
        <v>58</v>
      </c>
      <c r="K997">
        <v>2</v>
      </c>
      <c r="L997" s="1" t="s">
        <v>64</v>
      </c>
      <c r="M997" s="1" t="s">
        <v>24</v>
      </c>
      <c r="N997" s="1" t="s">
        <v>46</v>
      </c>
      <c r="O997">
        <v>5</v>
      </c>
      <c r="P997">
        <v>5</v>
      </c>
      <c r="Q997" s="1" t="s">
        <v>115</v>
      </c>
      <c r="R997">
        <v>1</v>
      </c>
      <c r="S997" s="1" t="s">
        <v>27</v>
      </c>
      <c r="T997">
        <v>43968000</v>
      </c>
      <c r="U997" t="s">
        <v>183</v>
      </c>
      <c r="V997" s="1" t="s">
        <v>171</v>
      </c>
      <c r="W997" s="1" t="s">
        <v>172</v>
      </c>
      <c r="X997" s="1" t="str">
        <f>VLOOKUP(V997,Broker_Directory!A:C,3,FALSE)</f>
        <v>Tier B</v>
      </c>
      <c r="Y997" s="1">
        <f>HLOOKUP(X997, Commission_Rates!A$1:C$2, 2, FALSE)</f>
        <v>1.4999999999999999E-2</v>
      </c>
      <c r="Z997" s="1">
        <f t="shared" si="45"/>
        <v>0</v>
      </c>
      <c r="AA997" s="1">
        <f t="shared" si="46"/>
        <v>0</v>
      </c>
      <c r="AB997" s="1">
        <f t="shared" si="47"/>
        <v>0</v>
      </c>
    </row>
    <row r="998" spans="1:28" x14ac:dyDescent="0.3">
      <c r="A998" s="1" t="s">
        <v>53</v>
      </c>
      <c r="B998" s="1" t="s">
        <v>89</v>
      </c>
      <c r="C998">
        <v>4</v>
      </c>
      <c r="D998">
        <v>2</v>
      </c>
      <c r="E998">
        <v>2447</v>
      </c>
      <c r="F998">
        <v>3517</v>
      </c>
      <c r="G998">
        <v>3</v>
      </c>
      <c r="H998">
        <v>1962</v>
      </c>
      <c r="I998">
        <v>2015</v>
      </c>
      <c r="J998" s="1" t="s">
        <v>30</v>
      </c>
      <c r="K998">
        <v>0</v>
      </c>
      <c r="L998" s="1" t="s">
        <v>31</v>
      </c>
      <c r="M998" s="1" t="s">
        <v>27</v>
      </c>
      <c r="N998" s="1" t="s">
        <v>46</v>
      </c>
      <c r="O998">
        <v>0</v>
      </c>
      <c r="P998">
        <v>4</v>
      </c>
      <c r="Q998" s="1" t="s">
        <v>157</v>
      </c>
      <c r="R998">
        <v>3</v>
      </c>
      <c r="S998" s="1" t="s">
        <v>24</v>
      </c>
      <c r="T998">
        <v>22438000</v>
      </c>
      <c r="U998" t="s">
        <v>182</v>
      </c>
      <c r="V998" s="1" t="s">
        <v>168</v>
      </c>
      <c r="W998" s="1" t="s">
        <v>169</v>
      </c>
      <c r="X998" s="1" t="str">
        <f>VLOOKUP(V998,Broker_Directory!A:C,3,FALSE)</f>
        <v>Tier A</v>
      </c>
      <c r="Y998" s="1">
        <f>HLOOKUP(X998, Commission_Rates!A$1:C$2, 2, FALSE)</f>
        <v>0.02</v>
      </c>
      <c r="Z998" s="1">
        <f t="shared" si="45"/>
        <v>0</v>
      </c>
      <c r="AA998" s="1">
        <f t="shared" si="46"/>
        <v>0</v>
      </c>
      <c r="AB998" s="1">
        <f t="shared" si="47"/>
        <v>0</v>
      </c>
    </row>
    <row r="999" spans="1:28" x14ac:dyDescent="0.3">
      <c r="A999" s="1" t="s">
        <v>37</v>
      </c>
      <c r="B999" s="1" t="s">
        <v>72</v>
      </c>
      <c r="C999">
        <v>1</v>
      </c>
      <c r="D999">
        <v>2</v>
      </c>
      <c r="E999">
        <v>2419</v>
      </c>
      <c r="F999">
        <v>7339</v>
      </c>
      <c r="G999">
        <v>3</v>
      </c>
      <c r="H999">
        <v>2023</v>
      </c>
      <c r="I999">
        <v>0</v>
      </c>
      <c r="J999" s="1" t="s">
        <v>58</v>
      </c>
      <c r="K999">
        <v>3</v>
      </c>
      <c r="L999" s="1" t="s">
        <v>41</v>
      </c>
      <c r="M999" s="1" t="s">
        <v>24</v>
      </c>
      <c r="N999" s="1" t="s">
        <v>25</v>
      </c>
      <c r="O999">
        <v>4</v>
      </c>
      <c r="P999">
        <v>0</v>
      </c>
      <c r="Q999" s="1" t="s">
        <v>94</v>
      </c>
      <c r="R999">
        <v>2</v>
      </c>
      <c r="S999" s="1" t="s">
        <v>27</v>
      </c>
      <c r="T999">
        <v>19652000</v>
      </c>
      <c r="U999" t="s">
        <v>184</v>
      </c>
      <c r="V999" s="1" t="s">
        <v>179</v>
      </c>
      <c r="W999" s="1" t="s">
        <v>180</v>
      </c>
      <c r="X999" s="1" t="str">
        <f>VLOOKUP(V999,Broker_Directory!A:C,3,FALSE)</f>
        <v>Tier B</v>
      </c>
      <c r="Y999" s="1">
        <f>HLOOKUP(X999, Commission_Rates!A$1:C$2, 2, FALSE)</f>
        <v>1.4999999999999999E-2</v>
      </c>
      <c r="Z999" s="1">
        <f t="shared" si="45"/>
        <v>294780</v>
      </c>
      <c r="AA999" s="1">
        <f t="shared" si="46"/>
        <v>589560</v>
      </c>
      <c r="AB999" s="1">
        <f t="shared" si="47"/>
        <v>294780</v>
      </c>
    </row>
    <row r="1000" spans="1:28" x14ac:dyDescent="0.3">
      <c r="A1000" s="1" t="s">
        <v>33</v>
      </c>
      <c r="B1000" s="1" t="s">
        <v>48</v>
      </c>
      <c r="C1000">
        <v>2</v>
      </c>
      <c r="D1000">
        <v>3</v>
      </c>
      <c r="E1000">
        <v>1813</v>
      </c>
      <c r="F1000">
        <v>9392</v>
      </c>
      <c r="G1000">
        <v>2</v>
      </c>
      <c r="H1000">
        <v>1998</v>
      </c>
      <c r="I1000">
        <v>2005</v>
      </c>
      <c r="J1000" s="1" t="s">
        <v>22</v>
      </c>
      <c r="K1000">
        <v>1</v>
      </c>
      <c r="L1000" s="1" t="s">
        <v>41</v>
      </c>
      <c r="M1000" s="1" t="s">
        <v>27</v>
      </c>
      <c r="N1000" s="1" t="s">
        <v>46</v>
      </c>
      <c r="O1000">
        <v>8</v>
      </c>
      <c r="P1000">
        <v>3</v>
      </c>
      <c r="Q1000" s="1" t="s">
        <v>68</v>
      </c>
      <c r="R1000">
        <v>0</v>
      </c>
      <c r="S1000" s="1" t="s">
        <v>27</v>
      </c>
      <c r="T1000">
        <v>15640500</v>
      </c>
      <c r="U1000" t="s">
        <v>182</v>
      </c>
      <c r="V1000" s="1" t="s">
        <v>174</v>
      </c>
      <c r="W1000" s="1" t="s">
        <v>175</v>
      </c>
      <c r="X1000" s="1" t="str">
        <f>VLOOKUP(V1000,Broker_Directory!A:C,3,FALSE)</f>
        <v>Tier A</v>
      </c>
      <c r="Y1000" s="1">
        <f>HLOOKUP(X1000, Commission_Rates!A$1:C$2, 2, FALSE)</f>
        <v>0.02</v>
      </c>
      <c r="Z1000" s="1">
        <f t="shared" si="45"/>
        <v>0</v>
      </c>
      <c r="AA1000" s="1">
        <f t="shared" si="46"/>
        <v>0</v>
      </c>
      <c r="AB1000" s="1">
        <f t="shared" si="47"/>
        <v>0</v>
      </c>
    </row>
    <row r="1001" spans="1:28" x14ac:dyDescent="0.3">
      <c r="A1001" s="1" t="s">
        <v>53</v>
      </c>
      <c r="B1001" s="1" t="s">
        <v>100</v>
      </c>
      <c r="C1001">
        <v>3</v>
      </c>
      <c r="D1001">
        <v>3</v>
      </c>
      <c r="E1001">
        <v>703</v>
      </c>
      <c r="F1001">
        <v>2565</v>
      </c>
      <c r="G1001">
        <v>1</v>
      </c>
      <c r="H1001">
        <v>1967</v>
      </c>
      <c r="I1001">
        <v>2012</v>
      </c>
      <c r="J1001" s="1" t="s">
        <v>52</v>
      </c>
      <c r="K1001">
        <v>0</v>
      </c>
      <c r="L1001" s="1" t="s">
        <v>41</v>
      </c>
      <c r="M1001" s="1" t="s">
        <v>27</v>
      </c>
      <c r="N1001" s="1" t="s">
        <v>25</v>
      </c>
      <c r="O1001">
        <v>6</v>
      </c>
      <c r="P1001">
        <v>5</v>
      </c>
      <c r="Q1001" s="1" t="s">
        <v>131</v>
      </c>
      <c r="R1001">
        <v>2</v>
      </c>
      <c r="S1001" s="1" t="s">
        <v>24</v>
      </c>
      <c r="T1001">
        <v>6742000</v>
      </c>
      <c r="U1001" t="s">
        <v>184</v>
      </c>
      <c r="V1001" s="1" t="s">
        <v>179</v>
      </c>
      <c r="W1001" s="1" t="s">
        <v>180</v>
      </c>
      <c r="X1001" s="1" t="str">
        <f>VLOOKUP(V1001,Broker_Directory!A:C,3,FALSE)</f>
        <v>Tier B</v>
      </c>
      <c r="Y1001" s="1">
        <f>HLOOKUP(X1001, Commission_Rates!A$1:C$2, 2, FALSE)</f>
        <v>1.4999999999999999E-2</v>
      </c>
      <c r="Z1001" s="1">
        <f t="shared" si="45"/>
        <v>101130</v>
      </c>
      <c r="AA1001" s="1">
        <f t="shared" si="46"/>
        <v>202260</v>
      </c>
      <c r="AB1001" s="1">
        <f t="shared" si="47"/>
        <v>101130</v>
      </c>
    </row>
    <row r="1002" spans="1:28" x14ac:dyDescent="0.3">
      <c r="A1002" s="1"/>
      <c r="B1002" s="1"/>
      <c r="J1002" s="1"/>
      <c r="L1002" s="1"/>
      <c r="M1002" s="1"/>
      <c r="N1002" s="1"/>
      <c r="Q1002" s="1"/>
      <c r="S1002" s="1"/>
      <c r="U1002" s="1"/>
      <c r="V1002" s="1"/>
      <c r="W1002" s="1"/>
      <c r="X1002" s="1"/>
      <c r="Y1002" s="1"/>
      <c r="AA1002" s="1">
        <f t="shared" si="46"/>
        <v>0</v>
      </c>
      <c r="AB1002" s="1">
        <f t="shared" si="47"/>
        <v>0</v>
      </c>
    </row>
    <row r="1003" spans="1:28" x14ac:dyDescent="0.3">
      <c r="A1003" s="1"/>
      <c r="B1003" s="1"/>
      <c r="J1003" s="1"/>
      <c r="L1003" s="1"/>
      <c r="M1003" s="1"/>
      <c r="N1003" s="1"/>
      <c r="Q1003" s="1"/>
      <c r="S1003" s="1"/>
      <c r="U1003" s="1"/>
      <c r="V1003" s="1"/>
      <c r="W1003" s="1"/>
      <c r="X1003" s="1"/>
      <c r="Y1003" s="1"/>
      <c r="AA1003" s="1">
        <f t="shared" si="46"/>
        <v>0</v>
      </c>
      <c r="AB1003" s="1">
        <f t="shared" si="47"/>
        <v>0</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7547F-9506-41DD-BAB9-7535DA0F7A62}">
  <dimension ref="A1:C2"/>
  <sheetViews>
    <sheetView workbookViewId="0">
      <selection activeCell="E6" sqref="E6"/>
    </sheetView>
  </sheetViews>
  <sheetFormatPr defaultRowHeight="14.4" x14ac:dyDescent="0.3"/>
  <sheetData>
    <row r="1" spans="1:3" x14ac:dyDescent="0.3">
      <c r="A1" t="s">
        <v>170</v>
      </c>
      <c r="B1" t="s">
        <v>173</v>
      </c>
      <c r="C1" t="s">
        <v>178</v>
      </c>
    </row>
    <row r="2" spans="1:3" x14ac:dyDescent="0.3">
      <c r="A2">
        <v>0.02</v>
      </c>
      <c r="B2">
        <v>1.4999999999999999E-2</v>
      </c>
      <c r="C2">
        <v>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D9A16-6AA0-49E9-A612-49A2717543F5}">
  <dimension ref="A1:C6"/>
  <sheetViews>
    <sheetView workbookViewId="0">
      <selection activeCell="E5" sqref="E5"/>
    </sheetView>
  </sheetViews>
  <sheetFormatPr defaultRowHeight="14.4" x14ac:dyDescent="0.3"/>
  <sheetData>
    <row r="1" spans="1:3" ht="21" thickBot="1" x14ac:dyDescent="0.35">
      <c r="A1" s="2" t="s">
        <v>165</v>
      </c>
      <c r="B1" s="2" t="s">
        <v>166</v>
      </c>
      <c r="C1" s="2" t="s">
        <v>167</v>
      </c>
    </row>
    <row r="2" spans="1:3" ht="21" thickBot="1" x14ac:dyDescent="0.35">
      <c r="A2" s="3" t="s">
        <v>168</v>
      </c>
      <c r="B2" s="3" t="s">
        <v>169</v>
      </c>
      <c r="C2" s="3" t="s">
        <v>170</v>
      </c>
    </row>
    <row r="3" spans="1:3" ht="15" thickBot="1" x14ac:dyDescent="0.35">
      <c r="A3" s="3" t="s">
        <v>171</v>
      </c>
      <c r="B3" s="3" t="s">
        <v>172</v>
      </c>
      <c r="C3" s="3" t="s">
        <v>173</v>
      </c>
    </row>
    <row r="4" spans="1:3" ht="15" thickBot="1" x14ac:dyDescent="0.35">
      <c r="A4" s="3" t="s">
        <v>174</v>
      </c>
      <c r="B4" s="3" t="s">
        <v>175</v>
      </c>
      <c r="C4" s="3" t="s">
        <v>170</v>
      </c>
    </row>
    <row r="5" spans="1:3" ht="21" thickBot="1" x14ac:dyDescent="0.35">
      <c r="A5" s="3" t="s">
        <v>176</v>
      </c>
      <c r="B5" s="3" t="s">
        <v>177</v>
      </c>
      <c r="C5" s="3" t="s">
        <v>178</v>
      </c>
    </row>
    <row r="6" spans="1:3" x14ac:dyDescent="0.3">
      <c r="A6" s="4" t="s">
        <v>179</v>
      </c>
      <c r="B6" s="4" t="s">
        <v>180</v>
      </c>
      <c r="C6" s="4" t="s">
        <v>173</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847F078-A5AB-47E0-B788-DB54E5E722B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Dashboard_Calculations</vt:lpstr>
      <vt:lpstr>Executive_Dashboard</vt:lpstr>
      <vt:lpstr>indian_house_prices</vt:lpstr>
      <vt:lpstr>Commission_Rates</vt:lpstr>
      <vt:lpstr>Broker_Directory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Aadrika Srivastava</dc:creator>
  <cp:lastModifiedBy>Aadrika Srivastava</cp:lastModifiedBy>
  <cp:lastPrinted>2026-06-07T11:35:50Z</cp:lastPrinted>
  <dcterms:created xsi:type="dcterms:W3CDTF">2026-06-07T09:26:03Z</dcterms:created>
  <dcterms:modified xsi:type="dcterms:W3CDTF">2026-06-07T19:39:04Z</dcterms:modified>
</cp:coreProperties>
</file>